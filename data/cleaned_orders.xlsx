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/>
  <mc:AlternateContent xmlns:mc="http://schemas.openxmlformats.org/markup-compatibility/2006">
    <mc:Choice Requires="x15">
      <x15ac:absPath xmlns:x15ac="http://schemas.microsoft.com/office/spreadsheetml/2010/11/ac" url="C:\Users\ayubi\Downloads\ayushkumar_bitsom_ba_2511507_part1_data_cleaning\data\"/>
    </mc:Choice>
  </mc:AlternateContent>
  <xr:revisionPtr revIDLastSave="0" documentId="13_ncr:1_{0F5347C4-0469-4EAE-A919-7CFACBC09BD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leaned_orders" sheetId="1" r:id="rId1"/>
  </sheets>
  <definedNames>
    <definedName name="_xlnm._FilterDatabase" localSheetId="0" hidden="1">cleaned_orders!$AI$1:$AI$913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H3" i="1" l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AH367" i="1"/>
  <c r="AH368" i="1"/>
  <c r="AH369" i="1"/>
  <c r="AH370" i="1"/>
  <c r="AH371" i="1"/>
  <c r="AH372" i="1"/>
  <c r="AH373" i="1"/>
  <c r="AH374" i="1"/>
  <c r="AH375" i="1"/>
  <c r="AH376" i="1"/>
  <c r="AH377" i="1"/>
  <c r="AH378" i="1"/>
  <c r="AH379" i="1"/>
  <c r="AH380" i="1"/>
  <c r="AH381" i="1"/>
  <c r="AH382" i="1"/>
  <c r="AH383" i="1"/>
  <c r="AH384" i="1"/>
  <c r="AH385" i="1"/>
  <c r="AH386" i="1"/>
  <c r="AH387" i="1"/>
  <c r="AH388" i="1"/>
  <c r="AH389" i="1"/>
  <c r="AH390" i="1"/>
  <c r="AH391" i="1"/>
  <c r="AH392" i="1"/>
  <c r="AH393" i="1"/>
  <c r="AH394" i="1"/>
  <c r="AH395" i="1"/>
  <c r="AH396" i="1"/>
  <c r="AH397" i="1"/>
  <c r="AH398" i="1"/>
  <c r="AH399" i="1"/>
  <c r="AH400" i="1"/>
  <c r="AH401" i="1"/>
  <c r="AH402" i="1"/>
  <c r="AH403" i="1"/>
  <c r="AH404" i="1"/>
  <c r="AH405" i="1"/>
  <c r="AH406" i="1"/>
  <c r="AH407" i="1"/>
  <c r="AH408" i="1"/>
  <c r="AH409" i="1"/>
  <c r="AH410" i="1"/>
  <c r="AH411" i="1"/>
  <c r="AH412" i="1"/>
  <c r="AH413" i="1"/>
  <c r="AH414" i="1"/>
  <c r="AH415" i="1"/>
  <c r="AH416" i="1"/>
  <c r="AH417" i="1"/>
  <c r="AH418" i="1"/>
  <c r="AH419" i="1"/>
  <c r="AH420" i="1"/>
  <c r="AH421" i="1"/>
  <c r="AH422" i="1"/>
  <c r="AH423" i="1"/>
  <c r="AH424" i="1"/>
  <c r="AH425" i="1"/>
  <c r="AH426" i="1"/>
  <c r="AH427" i="1"/>
  <c r="AH428" i="1"/>
  <c r="AH429" i="1"/>
  <c r="AH430" i="1"/>
  <c r="AH431" i="1"/>
  <c r="AH432" i="1"/>
  <c r="AH433" i="1"/>
  <c r="AH434" i="1"/>
  <c r="AH435" i="1"/>
  <c r="AH436" i="1"/>
  <c r="AH437" i="1"/>
  <c r="AH438" i="1"/>
  <c r="AH439" i="1"/>
  <c r="AH440" i="1"/>
  <c r="AH441" i="1"/>
  <c r="AH442" i="1"/>
  <c r="AH443" i="1"/>
  <c r="AH444" i="1"/>
  <c r="AH445" i="1"/>
  <c r="AH446" i="1"/>
  <c r="AH447" i="1"/>
  <c r="AH448" i="1"/>
  <c r="AH449" i="1"/>
  <c r="AH450" i="1"/>
  <c r="AH451" i="1"/>
  <c r="AH452" i="1"/>
  <c r="AH453" i="1"/>
  <c r="AH454" i="1"/>
  <c r="AH455" i="1"/>
  <c r="AH456" i="1"/>
  <c r="AH457" i="1"/>
  <c r="AH458" i="1"/>
  <c r="AH459" i="1"/>
  <c r="AH460" i="1"/>
  <c r="AH461" i="1"/>
  <c r="AH462" i="1"/>
  <c r="AH463" i="1"/>
  <c r="AH464" i="1"/>
  <c r="AH465" i="1"/>
  <c r="AH466" i="1"/>
  <c r="AH467" i="1"/>
  <c r="AH468" i="1"/>
  <c r="AH469" i="1"/>
  <c r="AH470" i="1"/>
  <c r="AH471" i="1"/>
  <c r="AH472" i="1"/>
  <c r="AH473" i="1"/>
  <c r="AH474" i="1"/>
  <c r="AH475" i="1"/>
  <c r="AH476" i="1"/>
  <c r="AH477" i="1"/>
  <c r="AH478" i="1"/>
  <c r="AH479" i="1"/>
  <c r="AH480" i="1"/>
  <c r="AH481" i="1"/>
  <c r="AH482" i="1"/>
  <c r="AH483" i="1"/>
  <c r="AH484" i="1"/>
  <c r="AH485" i="1"/>
  <c r="AH486" i="1"/>
  <c r="AH487" i="1"/>
  <c r="AH488" i="1"/>
  <c r="AH489" i="1"/>
  <c r="AH490" i="1"/>
  <c r="AH491" i="1"/>
  <c r="AH492" i="1"/>
  <c r="AH493" i="1"/>
  <c r="AH494" i="1"/>
  <c r="AH495" i="1"/>
  <c r="AH496" i="1"/>
  <c r="AH497" i="1"/>
  <c r="AH498" i="1"/>
  <c r="AH499" i="1"/>
  <c r="AH500" i="1"/>
  <c r="AH501" i="1"/>
  <c r="AH502" i="1"/>
  <c r="AH503" i="1"/>
  <c r="AH504" i="1"/>
  <c r="AH505" i="1"/>
  <c r="AH506" i="1"/>
  <c r="AH507" i="1"/>
  <c r="AH508" i="1"/>
  <c r="AH509" i="1"/>
  <c r="AH510" i="1"/>
  <c r="AH511" i="1"/>
  <c r="AH512" i="1"/>
  <c r="AH513" i="1"/>
  <c r="AH514" i="1"/>
  <c r="AH515" i="1"/>
  <c r="AH516" i="1"/>
  <c r="AH517" i="1"/>
  <c r="AH518" i="1"/>
  <c r="AH519" i="1"/>
  <c r="AH520" i="1"/>
  <c r="AH521" i="1"/>
  <c r="AH522" i="1"/>
  <c r="AH523" i="1"/>
  <c r="AH524" i="1"/>
  <c r="AH525" i="1"/>
  <c r="AH526" i="1"/>
  <c r="AH527" i="1"/>
  <c r="AH528" i="1"/>
  <c r="AH529" i="1"/>
  <c r="AH530" i="1"/>
  <c r="AH531" i="1"/>
  <c r="AH532" i="1"/>
  <c r="AH533" i="1"/>
  <c r="AH534" i="1"/>
  <c r="AH535" i="1"/>
  <c r="AH536" i="1"/>
  <c r="AH537" i="1"/>
  <c r="AH538" i="1"/>
  <c r="AH539" i="1"/>
  <c r="AH540" i="1"/>
  <c r="AH541" i="1"/>
  <c r="AH542" i="1"/>
  <c r="AH543" i="1"/>
  <c r="AH544" i="1"/>
  <c r="AH545" i="1"/>
  <c r="AH546" i="1"/>
  <c r="AH547" i="1"/>
  <c r="AH548" i="1"/>
  <c r="AH549" i="1"/>
  <c r="AH550" i="1"/>
  <c r="AH551" i="1"/>
  <c r="AH552" i="1"/>
  <c r="AH553" i="1"/>
  <c r="AH554" i="1"/>
  <c r="AH555" i="1"/>
  <c r="AH556" i="1"/>
  <c r="AH557" i="1"/>
  <c r="AH558" i="1"/>
  <c r="AH559" i="1"/>
  <c r="AH560" i="1"/>
  <c r="AH561" i="1"/>
  <c r="AH562" i="1"/>
  <c r="AH563" i="1"/>
  <c r="AH564" i="1"/>
  <c r="AH565" i="1"/>
  <c r="AH566" i="1"/>
  <c r="AH567" i="1"/>
  <c r="AH568" i="1"/>
  <c r="AH569" i="1"/>
  <c r="AH570" i="1"/>
  <c r="AH571" i="1"/>
  <c r="AH572" i="1"/>
  <c r="AH573" i="1"/>
  <c r="AH574" i="1"/>
  <c r="AH575" i="1"/>
  <c r="AH576" i="1"/>
  <c r="AH577" i="1"/>
  <c r="AH578" i="1"/>
  <c r="AH579" i="1"/>
  <c r="AH580" i="1"/>
  <c r="AH581" i="1"/>
  <c r="AH582" i="1"/>
  <c r="AH583" i="1"/>
  <c r="AH584" i="1"/>
  <c r="AH585" i="1"/>
  <c r="AH586" i="1"/>
  <c r="AH587" i="1"/>
  <c r="AH588" i="1"/>
  <c r="AH589" i="1"/>
  <c r="AH590" i="1"/>
  <c r="AH591" i="1"/>
  <c r="AH592" i="1"/>
  <c r="AH593" i="1"/>
  <c r="AH594" i="1"/>
  <c r="AH595" i="1"/>
  <c r="AH596" i="1"/>
  <c r="AH597" i="1"/>
  <c r="AH598" i="1"/>
  <c r="AH599" i="1"/>
  <c r="AH600" i="1"/>
  <c r="AH601" i="1"/>
  <c r="AH602" i="1"/>
  <c r="AH603" i="1"/>
  <c r="AH604" i="1"/>
  <c r="AH605" i="1"/>
  <c r="AH606" i="1"/>
  <c r="AH607" i="1"/>
  <c r="AH608" i="1"/>
  <c r="AH609" i="1"/>
  <c r="AH610" i="1"/>
  <c r="AH611" i="1"/>
  <c r="AH612" i="1"/>
  <c r="AH613" i="1"/>
  <c r="AH614" i="1"/>
  <c r="AH615" i="1"/>
  <c r="AH616" i="1"/>
  <c r="AH617" i="1"/>
  <c r="AH618" i="1"/>
  <c r="AH619" i="1"/>
  <c r="AH620" i="1"/>
  <c r="AH621" i="1"/>
  <c r="AH622" i="1"/>
  <c r="AH623" i="1"/>
  <c r="AH624" i="1"/>
  <c r="AH625" i="1"/>
  <c r="AH626" i="1"/>
  <c r="AH627" i="1"/>
  <c r="AH628" i="1"/>
  <c r="AH629" i="1"/>
  <c r="AH630" i="1"/>
  <c r="AH631" i="1"/>
  <c r="AH632" i="1"/>
  <c r="AH633" i="1"/>
  <c r="AH634" i="1"/>
  <c r="AH635" i="1"/>
  <c r="AH636" i="1"/>
  <c r="AH637" i="1"/>
  <c r="AH638" i="1"/>
  <c r="AH639" i="1"/>
  <c r="AH640" i="1"/>
  <c r="AH641" i="1"/>
  <c r="AH642" i="1"/>
  <c r="AH643" i="1"/>
  <c r="AH644" i="1"/>
  <c r="AH645" i="1"/>
  <c r="AH646" i="1"/>
  <c r="AH647" i="1"/>
  <c r="AH648" i="1"/>
  <c r="AH649" i="1"/>
  <c r="AH650" i="1"/>
  <c r="AH651" i="1"/>
  <c r="AH652" i="1"/>
  <c r="AH653" i="1"/>
  <c r="AH654" i="1"/>
  <c r="AH655" i="1"/>
  <c r="AH656" i="1"/>
  <c r="AH657" i="1"/>
  <c r="AH658" i="1"/>
  <c r="AH659" i="1"/>
  <c r="AH660" i="1"/>
  <c r="AH661" i="1"/>
  <c r="AH662" i="1"/>
  <c r="AH663" i="1"/>
  <c r="AH664" i="1"/>
  <c r="AH665" i="1"/>
  <c r="AH666" i="1"/>
  <c r="AH667" i="1"/>
  <c r="AH668" i="1"/>
  <c r="AH669" i="1"/>
  <c r="AH670" i="1"/>
  <c r="AH671" i="1"/>
  <c r="AH672" i="1"/>
  <c r="AH673" i="1"/>
  <c r="AH674" i="1"/>
  <c r="AH675" i="1"/>
  <c r="AH676" i="1"/>
  <c r="AH677" i="1"/>
  <c r="AH678" i="1"/>
  <c r="AH679" i="1"/>
  <c r="AH680" i="1"/>
  <c r="AH681" i="1"/>
  <c r="AH682" i="1"/>
  <c r="AH683" i="1"/>
  <c r="AH684" i="1"/>
  <c r="AH685" i="1"/>
  <c r="AH686" i="1"/>
  <c r="AH687" i="1"/>
  <c r="AH688" i="1"/>
  <c r="AH689" i="1"/>
  <c r="AH690" i="1"/>
  <c r="AH691" i="1"/>
  <c r="AH692" i="1"/>
  <c r="AH693" i="1"/>
  <c r="AH694" i="1"/>
  <c r="AH695" i="1"/>
  <c r="AH696" i="1"/>
  <c r="AH697" i="1"/>
  <c r="AH698" i="1"/>
  <c r="AH699" i="1"/>
  <c r="AH700" i="1"/>
  <c r="AH701" i="1"/>
  <c r="AH702" i="1"/>
  <c r="AH703" i="1"/>
  <c r="AH704" i="1"/>
  <c r="AH705" i="1"/>
  <c r="AH706" i="1"/>
  <c r="AH707" i="1"/>
  <c r="AH708" i="1"/>
  <c r="AH709" i="1"/>
  <c r="AH710" i="1"/>
  <c r="AH711" i="1"/>
  <c r="AH712" i="1"/>
  <c r="AH713" i="1"/>
  <c r="AH714" i="1"/>
  <c r="AH715" i="1"/>
  <c r="AH716" i="1"/>
  <c r="AH717" i="1"/>
  <c r="AH718" i="1"/>
  <c r="AH719" i="1"/>
  <c r="AH720" i="1"/>
  <c r="AH721" i="1"/>
  <c r="AH722" i="1"/>
  <c r="AH723" i="1"/>
  <c r="AH724" i="1"/>
  <c r="AH725" i="1"/>
  <c r="AH726" i="1"/>
  <c r="AH727" i="1"/>
  <c r="AH728" i="1"/>
  <c r="AH729" i="1"/>
  <c r="AH730" i="1"/>
  <c r="AH731" i="1"/>
  <c r="AH732" i="1"/>
  <c r="AH733" i="1"/>
  <c r="AH734" i="1"/>
  <c r="AH735" i="1"/>
  <c r="AH736" i="1"/>
  <c r="AH737" i="1"/>
  <c r="AH738" i="1"/>
  <c r="AH739" i="1"/>
  <c r="AH740" i="1"/>
  <c r="AH741" i="1"/>
  <c r="AH742" i="1"/>
  <c r="AH743" i="1"/>
  <c r="AH744" i="1"/>
  <c r="AH745" i="1"/>
  <c r="AH746" i="1"/>
  <c r="AH747" i="1"/>
  <c r="AH748" i="1"/>
  <c r="AH749" i="1"/>
  <c r="AH750" i="1"/>
  <c r="AH751" i="1"/>
  <c r="AH752" i="1"/>
  <c r="AH753" i="1"/>
  <c r="AH754" i="1"/>
  <c r="AH755" i="1"/>
  <c r="AH756" i="1"/>
  <c r="AH757" i="1"/>
  <c r="AH758" i="1"/>
  <c r="AH759" i="1"/>
  <c r="AH760" i="1"/>
  <c r="AH761" i="1"/>
  <c r="AH762" i="1"/>
  <c r="AH763" i="1"/>
  <c r="AH764" i="1"/>
  <c r="AH765" i="1"/>
  <c r="AH766" i="1"/>
  <c r="AH767" i="1"/>
  <c r="AH768" i="1"/>
  <c r="AH769" i="1"/>
  <c r="AH770" i="1"/>
  <c r="AH771" i="1"/>
  <c r="AH772" i="1"/>
  <c r="AH773" i="1"/>
  <c r="AH774" i="1"/>
  <c r="AH775" i="1"/>
  <c r="AH776" i="1"/>
  <c r="AH777" i="1"/>
  <c r="AH778" i="1"/>
  <c r="AH779" i="1"/>
  <c r="AH780" i="1"/>
  <c r="AH781" i="1"/>
  <c r="AH782" i="1"/>
  <c r="AH783" i="1"/>
  <c r="AH784" i="1"/>
  <c r="AH785" i="1"/>
  <c r="AH786" i="1"/>
  <c r="AH787" i="1"/>
  <c r="AH788" i="1"/>
  <c r="AH789" i="1"/>
  <c r="AH790" i="1"/>
  <c r="AH791" i="1"/>
  <c r="AH792" i="1"/>
  <c r="AH793" i="1"/>
  <c r="AH794" i="1"/>
  <c r="AH795" i="1"/>
  <c r="AH796" i="1"/>
  <c r="AH797" i="1"/>
  <c r="AH798" i="1"/>
  <c r="AH799" i="1"/>
  <c r="AH800" i="1"/>
  <c r="AH801" i="1"/>
  <c r="AH802" i="1"/>
  <c r="AH803" i="1"/>
  <c r="AH804" i="1"/>
  <c r="AH805" i="1"/>
  <c r="AH806" i="1"/>
  <c r="AH807" i="1"/>
  <c r="AH808" i="1"/>
  <c r="AH809" i="1"/>
  <c r="AH810" i="1"/>
  <c r="AH811" i="1"/>
  <c r="AH812" i="1"/>
  <c r="AH813" i="1"/>
  <c r="AH814" i="1"/>
  <c r="AH815" i="1"/>
  <c r="AH816" i="1"/>
  <c r="AH817" i="1"/>
  <c r="AH818" i="1"/>
  <c r="AH819" i="1"/>
  <c r="AH820" i="1"/>
  <c r="AH821" i="1"/>
  <c r="AH822" i="1"/>
  <c r="AH823" i="1"/>
  <c r="AH824" i="1"/>
  <c r="AH825" i="1"/>
  <c r="AH826" i="1"/>
  <c r="AH827" i="1"/>
  <c r="AH828" i="1"/>
  <c r="AH829" i="1"/>
  <c r="AH830" i="1"/>
  <c r="AH831" i="1"/>
  <c r="AH832" i="1"/>
  <c r="AH833" i="1"/>
  <c r="AH834" i="1"/>
  <c r="AH835" i="1"/>
  <c r="AH836" i="1"/>
  <c r="AH837" i="1"/>
  <c r="AH838" i="1"/>
  <c r="AH839" i="1"/>
  <c r="AH840" i="1"/>
  <c r="AH841" i="1"/>
  <c r="AH842" i="1"/>
  <c r="AH843" i="1"/>
  <c r="AH844" i="1"/>
  <c r="AH845" i="1"/>
  <c r="AH846" i="1"/>
  <c r="AH847" i="1"/>
  <c r="AH848" i="1"/>
  <c r="AH849" i="1"/>
  <c r="AH850" i="1"/>
  <c r="AH851" i="1"/>
  <c r="AH852" i="1"/>
  <c r="AH853" i="1"/>
  <c r="AH854" i="1"/>
  <c r="AH855" i="1"/>
  <c r="AH856" i="1"/>
  <c r="AH857" i="1"/>
  <c r="AH858" i="1"/>
  <c r="AH859" i="1"/>
  <c r="AH860" i="1"/>
  <c r="AH861" i="1"/>
  <c r="AH862" i="1"/>
  <c r="AH863" i="1"/>
  <c r="AH864" i="1"/>
  <c r="AH865" i="1"/>
  <c r="AH866" i="1"/>
  <c r="AH867" i="1"/>
  <c r="AH868" i="1"/>
  <c r="AH869" i="1"/>
  <c r="AH870" i="1"/>
  <c r="AH871" i="1"/>
  <c r="AH872" i="1"/>
  <c r="AH873" i="1"/>
  <c r="AH874" i="1"/>
  <c r="AH875" i="1"/>
  <c r="AH876" i="1"/>
  <c r="AH877" i="1"/>
  <c r="AH878" i="1"/>
  <c r="AH879" i="1"/>
  <c r="AH880" i="1"/>
  <c r="AH881" i="1"/>
  <c r="AH882" i="1"/>
  <c r="AH883" i="1"/>
  <c r="AH884" i="1"/>
  <c r="AH885" i="1"/>
  <c r="AH886" i="1"/>
  <c r="AH887" i="1"/>
  <c r="AH888" i="1"/>
  <c r="AH889" i="1"/>
  <c r="AH890" i="1"/>
  <c r="AH891" i="1"/>
  <c r="AH892" i="1"/>
  <c r="AH893" i="1"/>
  <c r="AH894" i="1"/>
  <c r="AH895" i="1"/>
  <c r="AH896" i="1"/>
  <c r="AH897" i="1"/>
  <c r="AH898" i="1"/>
  <c r="AH899" i="1"/>
  <c r="AH900" i="1"/>
  <c r="AH901" i="1"/>
  <c r="AH902" i="1"/>
  <c r="AH903" i="1"/>
  <c r="AH904" i="1"/>
  <c r="AH905" i="1"/>
  <c r="AH906" i="1"/>
  <c r="AH907" i="1"/>
  <c r="AH908" i="1"/>
  <c r="AH909" i="1"/>
  <c r="AH910" i="1"/>
  <c r="AH911" i="1"/>
  <c r="AH912" i="1"/>
  <c r="AH913" i="1"/>
  <c r="AH2" i="1"/>
  <c r="AG3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0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55" i="1"/>
  <c r="AG256" i="1"/>
  <c r="AG257" i="1"/>
  <c r="AG258" i="1"/>
  <c r="AG259" i="1"/>
  <c r="AG260" i="1"/>
  <c r="AG261" i="1"/>
  <c r="AG262" i="1"/>
  <c r="AG263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G291" i="1"/>
  <c r="AG292" i="1"/>
  <c r="AG293" i="1"/>
  <c r="AG294" i="1"/>
  <c r="AG295" i="1"/>
  <c r="AG296" i="1"/>
  <c r="AG297" i="1"/>
  <c r="AG298" i="1"/>
  <c r="AG299" i="1"/>
  <c r="AG300" i="1"/>
  <c r="AG301" i="1"/>
  <c r="AG302" i="1"/>
  <c r="AG303" i="1"/>
  <c r="AG304" i="1"/>
  <c r="AG305" i="1"/>
  <c r="AG306" i="1"/>
  <c r="AG307" i="1"/>
  <c r="AG308" i="1"/>
  <c r="AG309" i="1"/>
  <c r="AG310" i="1"/>
  <c r="AG311" i="1"/>
  <c r="AG312" i="1"/>
  <c r="AG313" i="1"/>
  <c r="AG314" i="1"/>
  <c r="AG315" i="1"/>
  <c r="AG316" i="1"/>
  <c r="AG317" i="1"/>
  <c r="AG318" i="1"/>
  <c r="AG319" i="1"/>
  <c r="AG320" i="1"/>
  <c r="AG321" i="1"/>
  <c r="AG322" i="1"/>
  <c r="AG323" i="1"/>
  <c r="AG324" i="1"/>
  <c r="AG325" i="1"/>
  <c r="AG326" i="1"/>
  <c r="AG327" i="1"/>
  <c r="AG328" i="1"/>
  <c r="AG329" i="1"/>
  <c r="AG330" i="1"/>
  <c r="AG331" i="1"/>
  <c r="AG332" i="1"/>
  <c r="AG333" i="1"/>
  <c r="AG334" i="1"/>
  <c r="AG335" i="1"/>
  <c r="AG336" i="1"/>
  <c r="AG337" i="1"/>
  <c r="AG338" i="1"/>
  <c r="AG339" i="1"/>
  <c r="AG340" i="1"/>
  <c r="AG341" i="1"/>
  <c r="AG342" i="1"/>
  <c r="AG343" i="1"/>
  <c r="AG344" i="1"/>
  <c r="AG345" i="1"/>
  <c r="AG346" i="1"/>
  <c r="AG347" i="1"/>
  <c r="AG348" i="1"/>
  <c r="AG349" i="1"/>
  <c r="AG350" i="1"/>
  <c r="AG351" i="1"/>
  <c r="AG352" i="1"/>
  <c r="AG353" i="1"/>
  <c r="AG354" i="1"/>
  <c r="AG355" i="1"/>
  <c r="AG356" i="1"/>
  <c r="AG357" i="1"/>
  <c r="AG358" i="1"/>
  <c r="AG359" i="1"/>
  <c r="AG360" i="1"/>
  <c r="AG361" i="1"/>
  <c r="AG362" i="1"/>
  <c r="AG363" i="1"/>
  <c r="AG364" i="1"/>
  <c r="AG365" i="1"/>
  <c r="AG366" i="1"/>
  <c r="AG367" i="1"/>
  <c r="AG368" i="1"/>
  <c r="AG369" i="1"/>
  <c r="AG370" i="1"/>
  <c r="AG371" i="1"/>
  <c r="AG372" i="1"/>
  <c r="AG373" i="1"/>
  <c r="AG374" i="1"/>
  <c r="AG375" i="1"/>
  <c r="AG376" i="1"/>
  <c r="AG377" i="1"/>
  <c r="AG378" i="1"/>
  <c r="AG379" i="1"/>
  <c r="AG380" i="1"/>
  <c r="AG381" i="1"/>
  <c r="AG382" i="1"/>
  <c r="AG383" i="1"/>
  <c r="AG384" i="1"/>
  <c r="AG385" i="1"/>
  <c r="AG386" i="1"/>
  <c r="AG387" i="1"/>
  <c r="AG388" i="1"/>
  <c r="AG389" i="1"/>
  <c r="AG390" i="1"/>
  <c r="AG391" i="1"/>
  <c r="AG392" i="1"/>
  <c r="AG393" i="1"/>
  <c r="AG394" i="1"/>
  <c r="AG395" i="1"/>
  <c r="AG396" i="1"/>
  <c r="AG397" i="1"/>
  <c r="AG398" i="1"/>
  <c r="AG399" i="1"/>
  <c r="AG400" i="1"/>
  <c r="AG401" i="1"/>
  <c r="AG402" i="1"/>
  <c r="AG403" i="1"/>
  <c r="AG404" i="1"/>
  <c r="AG405" i="1"/>
  <c r="AG406" i="1"/>
  <c r="AG407" i="1"/>
  <c r="AG408" i="1"/>
  <c r="AG409" i="1"/>
  <c r="AG410" i="1"/>
  <c r="AG411" i="1"/>
  <c r="AG412" i="1"/>
  <c r="AG413" i="1"/>
  <c r="AG414" i="1"/>
  <c r="AG415" i="1"/>
  <c r="AG416" i="1"/>
  <c r="AG417" i="1"/>
  <c r="AG418" i="1"/>
  <c r="AG419" i="1"/>
  <c r="AG420" i="1"/>
  <c r="AG421" i="1"/>
  <c r="AG422" i="1"/>
  <c r="AG423" i="1"/>
  <c r="AG424" i="1"/>
  <c r="AG425" i="1"/>
  <c r="AG426" i="1"/>
  <c r="AG427" i="1"/>
  <c r="AG428" i="1"/>
  <c r="AG429" i="1"/>
  <c r="AG430" i="1"/>
  <c r="AG431" i="1"/>
  <c r="AG432" i="1"/>
  <c r="AG433" i="1"/>
  <c r="AG434" i="1"/>
  <c r="AG435" i="1"/>
  <c r="AG436" i="1"/>
  <c r="AG437" i="1"/>
  <c r="AG438" i="1"/>
  <c r="AG439" i="1"/>
  <c r="AG440" i="1"/>
  <c r="AG441" i="1"/>
  <c r="AG442" i="1"/>
  <c r="AG443" i="1"/>
  <c r="AG444" i="1"/>
  <c r="AG445" i="1"/>
  <c r="AG446" i="1"/>
  <c r="AG447" i="1"/>
  <c r="AG448" i="1"/>
  <c r="AG449" i="1"/>
  <c r="AG450" i="1"/>
  <c r="AG451" i="1"/>
  <c r="AG452" i="1"/>
  <c r="AG453" i="1"/>
  <c r="AG454" i="1"/>
  <c r="AG455" i="1"/>
  <c r="AG456" i="1"/>
  <c r="AG457" i="1"/>
  <c r="AG458" i="1"/>
  <c r="AG459" i="1"/>
  <c r="AG460" i="1"/>
  <c r="AG461" i="1"/>
  <c r="AG462" i="1"/>
  <c r="AG463" i="1"/>
  <c r="AG464" i="1"/>
  <c r="AG465" i="1"/>
  <c r="AG466" i="1"/>
  <c r="AG467" i="1"/>
  <c r="AG468" i="1"/>
  <c r="AG469" i="1"/>
  <c r="AG470" i="1"/>
  <c r="AG471" i="1"/>
  <c r="AG472" i="1"/>
  <c r="AG473" i="1"/>
  <c r="AG474" i="1"/>
  <c r="AG475" i="1"/>
  <c r="AG476" i="1"/>
  <c r="AG477" i="1"/>
  <c r="AG478" i="1"/>
  <c r="AG479" i="1"/>
  <c r="AG480" i="1"/>
  <c r="AG481" i="1"/>
  <c r="AG482" i="1"/>
  <c r="AG483" i="1"/>
  <c r="AG484" i="1"/>
  <c r="AG485" i="1"/>
  <c r="AG486" i="1"/>
  <c r="AG487" i="1"/>
  <c r="AG488" i="1"/>
  <c r="AG489" i="1"/>
  <c r="AG490" i="1"/>
  <c r="AG491" i="1"/>
  <c r="AG492" i="1"/>
  <c r="AG493" i="1"/>
  <c r="AG494" i="1"/>
  <c r="AG495" i="1"/>
  <c r="AG496" i="1"/>
  <c r="AG497" i="1"/>
  <c r="AG498" i="1"/>
  <c r="AG499" i="1"/>
  <c r="AG500" i="1"/>
  <c r="AG501" i="1"/>
  <c r="AG502" i="1"/>
  <c r="AG503" i="1"/>
  <c r="AG504" i="1"/>
  <c r="AG505" i="1"/>
  <c r="AG506" i="1"/>
  <c r="AG507" i="1"/>
  <c r="AG508" i="1"/>
  <c r="AG509" i="1"/>
  <c r="AG510" i="1"/>
  <c r="AG511" i="1"/>
  <c r="AG512" i="1"/>
  <c r="AG513" i="1"/>
  <c r="AG514" i="1"/>
  <c r="AG515" i="1"/>
  <c r="AG516" i="1"/>
  <c r="AG517" i="1"/>
  <c r="AG518" i="1"/>
  <c r="AG519" i="1"/>
  <c r="AG520" i="1"/>
  <c r="AG521" i="1"/>
  <c r="AG522" i="1"/>
  <c r="AG523" i="1"/>
  <c r="AG524" i="1"/>
  <c r="AG525" i="1"/>
  <c r="AG526" i="1"/>
  <c r="AG527" i="1"/>
  <c r="AG528" i="1"/>
  <c r="AG529" i="1"/>
  <c r="AG530" i="1"/>
  <c r="AG531" i="1"/>
  <c r="AG532" i="1"/>
  <c r="AG533" i="1"/>
  <c r="AG534" i="1"/>
  <c r="AG535" i="1"/>
  <c r="AG536" i="1"/>
  <c r="AG537" i="1"/>
  <c r="AG538" i="1"/>
  <c r="AG539" i="1"/>
  <c r="AG540" i="1"/>
  <c r="AG541" i="1"/>
  <c r="AG542" i="1"/>
  <c r="AG543" i="1"/>
  <c r="AG544" i="1"/>
  <c r="AG545" i="1"/>
  <c r="AG546" i="1"/>
  <c r="AG547" i="1"/>
  <c r="AG548" i="1"/>
  <c r="AG549" i="1"/>
  <c r="AG550" i="1"/>
  <c r="AG551" i="1"/>
  <c r="AG552" i="1"/>
  <c r="AG553" i="1"/>
  <c r="AG554" i="1"/>
  <c r="AG555" i="1"/>
  <c r="AG556" i="1"/>
  <c r="AG557" i="1"/>
  <c r="AG558" i="1"/>
  <c r="AG559" i="1"/>
  <c r="AG560" i="1"/>
  <c r="AG561" i="1"/>
  <c r="AG562" i="1"/>
  <c r="AG563" i="1"/>
  <c r="AG564" i="1"/>
  <c r="AG565" i="1"/>
  <c r="AG566" i="1"/>
  <c r="AG567" i="1"/>
  <c r="AG568" i="1"/>
  <c r="AG569" i="1"/>
  <c r="AG570" i="1"/>
  <c r="AG571" i="1"/>
  <c r="AG572" i="1"/>
  <c r="AG573" i="1"/>
  <c r="AG574" i="1"/>
  <c r="AG575" i="1"/>
  <c r="AG576" i="1"/>
  <c r="AG577" i="1"/>
  <c r="AG578" i="1"/>
  <c r="AG579" i="1"/>
  <c r="AG580" i="1"/>
  <c r="AG581" i="1"/>
  <c r="AG582" i="1"/>
  <c r="AG583" i="1"/>
  <c r="AG584" i="1"/>
  <c r="AG585" i="1"/>
  <c r="AG586" i="1"/>
  <c r="AG587" i="1"/>
  <c r="AG588" i="1"/>
  <c r="AG589" i="1"/>
  <c r="AG590" i="1"/>
  <c r="AG591" i="1"/>
  <c r="AG592" i="1"/>
  <c r="AG593" i="1"/>
  <c r="AG594" i="1"/>
  <c r="AG595" i="1"/>
  <c r="AG596" i="1"/>
  <c r="AG597" i="1"/>
  <c r="AG598" i="1"/>
  <c r="AG599" i="1"/>
  <c r="AG600" i="1"/>
  <c r="AG601" i="1"/>
  <c r="AG602" i="1"/>
  <c r="AG603" i="1"/>
  <c r="AG604" i="1"/>
  <c r="AG605" i="1"/>
  <c r="AG606" i="1"/>
  <c r="AG607" i="1"/>
  <c r="AG608" i="1"/>
  <c r="AG609" i="1"/>
  <c r="AG610" i="1"/>
  <c r="AG611" i="1"/>
  <c r="AG612" i="1"/>
  <c r="AG613" i="1"/>
  <c r="AG614" i="1"/>
  <c r="AG615" i="1"/>
  <c r="AG616" i="1"/>
  <c r="AG617" i="1"/>
  <c r="AG618" i="1"/>
  <c r="AG619" i="1"/>
  <c r="AG620" i="1"/>
  <c r="AG621" i="1"/>
  <c r="AG622" i="1"/>
  <c r="AG623" i="1"/>
  <c r="AG624" i="1"/>
  <c r="AG625" i="1"/>
  <c r="AG626" i="1"/>
  <c r="AG627" i="1"/>
  <c r="AG628" i="1"/>
  <c r="AG629" i="1"/>
  <c r="AG630" i="1"/>
  <c r="AG631" i="1"/>
  <c r="AG632" i="1"/>
  <c r="AG633" i="1"/>
  <c r="AG634" i="1"/>
  <c r="AG635" i="1"/>
  <c r="AG636" i="1"/>
  <c r="AG637" i="1"/>
  <c r="AG638" i="1"/>
  <c r="AG639" i="1"/>
  <c r="AG640" i="1"/>
  <c r="AG641" i="1"/>
  <c r="AG642" i="1"/>
  <c r="AG643" i="1"/>
  <c r="AG644" i="1"/>
  <c r="AG645" i="1"/>
  <c r="AG646" i="1"/>
  <c r="AG647" i="1"/>
  <c r="AG648" i="1"/>
  <c r="AG649" i="1"/>
  <c r="AG650" i="1"/>
  <c r="AG651" i="1"/>
  <c r="AG652" i="1"/>
  <c r="AG653" i="1"/>
  <c r="AG654" i="1"/>
  <c r="AG655" i="1"/>
  <c r="AG656" i="1"/>
  <c r="AG657" i="1"/>
  <c r="AG658" i="1"/>
  <c r="AG659" i="1"/>
  <c r="AG660" i="1"/>
  <c r="AG661" i="1"/>
  <c r="AG662" i="1"/>
  <c r="AG663" i="1"/>
  <c r="AG664" i="1"/>
  <c r="AG665" i="1"/>
  <c r="AG666" i="1"/>
  <c r="AG667" i="1"/>
  <c r="AG668" i="1"/>
  <c r="AG669" i="1"/>
  <c r="AG670" i="1"/>
  <c r="AG671" i="1"/>
  <c r="AG672" i="1"/>
  <c r="AG673" i="1"/>
  <c r="AG674" i="1"/>
  <c r="AG675" i="1"/>
  <c r="AG676" i="1"/>
  <c r="AG677" i="1"/>
  <c r="AG678" i="1"/>
  <c r="AG679" i="1"/>
  <c r="AG680" i="1"/>
  <c r="AG681" i="1"/>
  <c r="AG682" i="1"/>
  <c r="AG683" i="1"/>
  <c r="AG684" i="1"/>
  <c r="AG685" i="1"/>
  <c r="AG686" i="1"/>
  <c r="AG687" i="1"/>
  <c r="AG688" i="1"/>
  <c r="AG689" i="1"/>
  <c r="AG690" i="1"/>
  <c r="AG691" i="1"/>
  <c r="AG692" i="1"/>
  <c r="AG693" i="1"/>
  <c r="AG694" i="1"/>
  <c r="AG695" i="1"/>
  <c r="AG696" i="1"/>
  <c r="AG697" i="1"/>
  <c r="AG698" i="1"/>
  <c r="AG699" i="1"/>
  <c r="AG700" i="1"/>
  <c r="AG701" i="1"/>
  <c r="AG702" i="1"/>
  <c r="AG703" i="1"/>
  <c r="AG704" i="1"/>
  <c r="AG705" i="1"/>
  <c r="AG706" i="1"/>
  <c r="AG707" i="1"/>
  <c r="AG708" i="1"/>
  <c r="AG709" i="1"/>
  <c r="AG710" i="1"/>
  <c r="AG711" i="1"/>
  <c r="AG712" i="1"/>
  <c r="AG713" i="1"/>
  <c r="AG714" i="1"/>
  <c r="AG715" i="1"/>
  <c r="AG716" i="1"/>
  <c r="AG717" i="1"/>
  <c r="AG718" i="1"/>
  <c r="AG719" i="1"/>
  <c r="AG720" i="1"/>
  <c r="AG721" i="1"/>
  <c r="AG722" i="1"/>
  <c r="AG723" i="1"/>
  <c r="AG724" i="1"/>
  <c r="AG725" i="1"/>
  <c r="AG726" i="1"/>
  <c r="AG727" i="1"/>
  <c r="AG728" i="1"/>
  <c r="AG729" i="1"/>
  <c r="AG730" i="1"/>
  <c r="AG731" i="1"/>
  <c r="AG732" i="1"/>
  <c r="AG733" i="1"/>
  <c r="AG734" i="1"/>
  <c r="AG735" i="1"/>
  <c r="AG736" i="1"/>
  <c r="AG737" i="1"/>
  <c r="AG738" i="1"/>
  <c r="AG739" i="1"/>
  <c r="AG740" i="1"/>
  <c r="AG741" i="1"/>
  <c r="AG742" i="1"/>
  <c r="AG743" i="1"/>
  <c r="AG744" i="1"/>
  <c r="AG745" i="1"/>
  <c r="AG746" i="1"/>
  <c r="AG747" i="1"/>
  <c r="AG748" i="1"/>
  <c r="AG749" i="1"/>
  <c r="AG750" i="1"/>
  <c r="AG751" i="1"/>
  <c r="AG752" i="1"/>
  <c r="AG753" i="1"/>
  <c r="AG754" i="1"/>
  <c r="AG755" i="1"/>
  <c r="AG756" i="1"/>
  <c r="AG757" i="1"/>
  <c r="AG758" i="1"/>
  <c r="AG759" i="1"/>
  <c r="AG760" i="1"/>
  <c r="AG761" i="1"/>
  <c r="AG762" i="1"/>
  <c r="AG763" i="1"/>
  <c r="AG764" i="1"/>
  <c r="AG765" i="1"/>
  <c r="AG766" i="1"/>
  <c r="AG767" i="1"/>
  <c r="AG768" i="1"/>
  <c r="AG769" i="1"/>
  <c r="AG770" i="1"/>
  <c r="AG771" i="1"/>
  <c r="AG772" i="1"/>
  <c r="AG773" i="1"/>
  <c r="AG774" i="1"/>
  <c r="AG775" i="1"/>
  <c r="AG776" i="1"/>
  <c r="AG777" i="1"/>
  <c r="AG778" i="1"/>
  <c r="AG779" i="1"/>
  <c r="AG780" i="1"/>
  <c r="AG781" i="1"/>
  <c r="AG782" i="1"/>
  <c r="AG783" i="1"/>
  <c r="AG784" i="1"/>
  <c r="AG785" i="1"/>
  <c r="AG786" i="1"/>
  <c r="AG787" i="1"/>
  <c r="AG788" i="1"/>
  <c r="AG789" i="1"/>
  <c r="AG790" i="1"/>
  <c r="AG791" i="1"/>
  <c r="AG792" i="1"/>
  <c r="AG793" i="1"/>
  <c r="AG794" i="1"/>
  <c r="AG795" i="1"/>
  <c r="AG796" i="1"/>
  <c r="AG797" i="1"/>
  <c r="AG798" i="1"/>
  <c r="AG799" i="1"/>
  <c r="AG800" i="1"/>
  <c r="AG801" i="1"/>
  <c r="AG802" i="1"/>
  <c r="AG803" i="1"/>
  <c r="AG804" i="1"/>
  <c r="AG805" i="1"/>
  <c r="AG806" i="1"/>
  <c r="AG807" i="1"/>
  <c r="AG808" i="1"/>
  <c r="AG809" i="1"/>
  <c r="AG810" i="1"/>
  <c r="AG811" i="1"/>
  <c r="AG812" i="1"/>
  <c r="AG813" i="1"/>
  <c r="AG814" i="1"/>
  <c r="AG815" i="1"/>
  <c r="AG816" i="1"/>
  <c r="AG817" i="1"/>
  <c r="AG818" i="1"/>
  <c r="AG819" i="1"/>
  <c r="AG820" i="1"/>
  <c r="AG821" i="1"/>
  <c r="AG822" i="1"/>
  <c r="AG823" i="1"/>
  <c r="AG824" i="1"/>
  <c r="AG825" i="1"/>
  <c r="AG826" i="1"/>
  <c r="AG827" i="1"/>
  <c r="AG828" i="1"/>
  <c r="AG829" i="1"/>
  <c r="AG830" i="1"/>
  <c r="AG831" i="1"/>
  <c r="AG832" i="1"/>
  <c r="AG833" i="1"/>
  <c r="AG834" i="1"/>
  <c r="AG835" i="1"/>
  <c r="AG836" i="1"/>
  <c r="AG837" i="1"/>
  <c r="AG838" i="1"/>
  <c r="AG839" i="1"/>
  <c r="AG840" i="1"/>
  <c r="AG841" i="1"/>
  <c r="AG842" i="1"/>
  <c r="AG843" i="1"/>
  <c r="AG844" i="1"/>
  <c r="AG845" i="1"/>
  <c r="AG846" i="1"/>
  <c r="AG847" i="1"/>
  <c r="AG848" i="1"/>
  <c r="AG849" i="1"/>
  <c r="AG850" i="1"/>
  <c r="AG851" i="1"/>
  <c r="AG852" i="1"/>
  <c r="AG853" i="1"/>
  <c r="AG854" i="1"/>
  <c r="AG855" i="1"/>
  <c r="AG856" i="1"/>
  <c r="AG857" i="1"/>
  <c r="AG858" i="1"/>
  <c r="AG859" i="1"/>
  <c r="AG860" i="1"/>
  <c r="AG861" i="1"/>
  <c r="AG862" i="1"/>
  <c r="AG863" i="1"/>
  <c r="AG864" i="1"/>
  <c r="AG865" i="1"/>
  <c r="AG866" i="1"/>
  <c r="AG867" i="1"/>
  <c r="AG868" i="1"/>
  <c r="AG869" i="1"/>
  <c r="AG870" i="1"/>
  <c r="AG871" i="1"/>
  <c r="AG872" i="1"/>
  <c r="AG873" i="1"/>
  <c r="AG874" i="1"/>
  <c r="AG875" i="1"/>
  <c r="AG876" i="1"/>
  <c r="AG877" i="1"/>
  <c r="AG878" i="1"/>
  <c r="AG879" i="1"/>
  <c r="AG880" i="1"/>
  <c r="AG881" i="1"/>
  <c r="AG882" i="1"/>
  <c r="AG883" i="1"/>
  <c r="AG884" i="1"/>
  <c r="AG885" i="1"/>
  <c r="AG886" i="1"/>
  <c r="AG887" i="1"/>
  <c r="AG888" i="1"/>
  <c r="AG889" i="1"/>
  <c r="AG890" i="1"/>
  <c r="AG891" i="1"/>
  <c r="AG892" i="1"/>
  <c r="AG893" i="1"/>
  <c r="AG894" i="1"/>
  <c r="AG895" i="1"/>
  <c r="AG896" i="1"/>
  <c r="AG897" i="1"/>
  <c r="AG898" i="1"/>
  <c r="AG899" i="1"/>
  <c r="AG900" i="1"/>
  <c r="AG901" i="1"/>
  <c r="AG902" i="1"/>
  <c r="AG903" i="1"/>
  <c r="AG904" i="1"/>
  <c r="AG905" i="1"/>
  <c r="AG906" i="1"/>
  <c r="AG907" i="1"/>
  <c r="AG908" i="1"/>
  <c r="AG909" i="1"/>
  <c r="AG910" i="1"/>
  <c r="AG911" i="1"/>
  <c r="AG912" i="1"/>
  <c r="AG913" i="1"/>
  <c r="AG2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319" i="1"/>
  <c r="X320" i="1"/>
  <c r="X321" i="1"/>
  <c r="X322" i="1"/>
  <c r="X323" i="1"/>
  <c r="X324" i="1"/>
  <c r="X325" i="1"/>
  <c r="X326" i="1"/>
  <c r="X327" i="1"/>
  <c r="X328" i="1"/>
  <c r="X329" i="1"/>
  <c r="X330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94" i="1"/>
  <c r="X39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410" i="1"/>
  <c r="X411" i="1"/>
  <c r="X412" i="1"/>
  <c r="X413" i="1"/>
  <c r="X414" i="1"/>
  <c r="X415" i="1"/>
  <c r="X416" i="1"/>
  <c r="X417" i="1"/>
  <c r="X418" i="1"/>
  <c r="X419" i="1"/>
  <c r="X420" i="1"/>
  <c r="X421" i="1"/>
  <c r="X422" i="1"/>
  <c r="X423" i="1"/>
  <c r="X424" i="1"/>
  <c r="X425" i="1"/>
  <c r="X426" i="1"/>
  <c r="X427" i="1"/>
  <c r="X428" i="1"/>
  <c r="X429" i="1"/>
  <c r="X430" i="1"/>
  <c r="X431" i="1"/>
  <c r="X432" i="1"/>
  <c r="X433" i="1"/>
  <c r="X434" i="1"/>
  <c r="X435" i="1"/>
  <c r="X436" i="1"/>
  <c r="X437" i="1"/>
  <c r="X438" i="1"/>
  <c r="X439" i="1"/>
  <c r="X440" i="1"/>
  <c r="X441" i="1"/>
  <c r="X442" i="1"/>
  <c r="X443" i="1"/>
  <c r="X444" i="1"/>
  <c r="X445" i="1"/>
  <c r="X446" i="1"/>
  <c r="X447" i="1"/>
  <c r="X448" i="1"/>
  <c r="X449" i="1"/>
  <c r="X450" i="1"/>
  <c r="X451" i="1"/>
  <c r="X452" i="1"/>
  <c r="X453" i="1"/>
  <c r="X454" i="1"/>
  <c r="X455" i="1"/>
  <c r="X456" i="1"/>
  <c r="X457" i="1"/>
  <c r="X458" i="1"/>
  <c r="X459" i="1"/>
  <c r="X460" i="1"/>
  <c r="X461" i="1"/>
  <c r="X462" i="1"/>
  <c r="X463" i="1"/>
  <c r="X464" i="1"/>
  <c r="X465" i="1"/>
  <c r="X466" i="1"/>
  <c r="X467" i="1"/>
  <c r="X468" i="1"/>
  <c r="X469" i="1"/>
  <c r="X470" i="1"/>
  <c r="X471" i="1"/>
  <c r="X472" i="1"/>
  <c r="X473" i="1"/>
  <c r="X474" i="1"/>
  <c r="X475" i="1"/>
  <c r="X476" i="1"/>
  <c r="X477" i="1"/>
  <c r="X478" i="1"/>
  <c r="X479" i="1"/>
  <c r="X480" i="1"/>
  <c r="X481" i="1"/>
  <c r="X482" i="1"/>
  <c r="X483" i="1"/>
  <c r="X484" i="1"/>
  <c r="X485" i="1"/>
  <c r="X486" i="1"/>
  <c r="X487" i="1"/>
  <c r="X488" i="1"/>
  <c r="X489" i="1"/>
  <c r="X490" i="1"/>
  <c r="X491" i="1"/>
  <c r="X492" i="1"/>
  <c r="X493" i="1"/>
  <c r="X494" i="1"/>
  <c r="X495" i="1"/>
  <c r="X496" i="1"/>
  <c r="X497" i="1"/>
  <c r="X498" i="1"/>
  <c r="X499" i="1"/>
  <c r="X500" i="1"/>
  <c r="X501" i="1"/>
  <c r="X502" i="1"/>
  <c r="X503" i="1"/>
  <c r="X504" i="1"/>
  <c r="X505" i="1"/>
  <c r="X506" i="1"/>
  <c r="X507" i="1"/>
  <c r="X508" i="1"/>
  <c r="X509" i="1"/>
  <c r="X510" i="1"/>
  <c r="X511" i="1"/>
  <c r="X512" i="1"/>
  <c r="X513" i="1"/>
  <c r="X514" i="1"/>
  <c r="X515" i="1"/>
  <c r="X516" i="1"/>
  <c r="X517" i="1"/>
  <c r="X518" i="1"/>
  <c r="X519" i="1"/>
  <c r="X520" i="1"/>
  <c r="X521" i="1"/>
  <c r="X522" i="1"/>
  <c r="X523" i="1"/>
  <c r="X524" i="1"/>
  <c r="X525" i="1"/>
  <c r="X526" i="1"/>
  <c r="X527" i="1"/>
  <c r="X528" i="1"/>
  <c r="X529" i="1"/>
  <c r="X530" i="1"/>
  <c r="X531" i="1"/>
  <c r="X532" i="1"/>
  <c r="X533" i="1"/>
  <c r="X534" i="1"/>
  <c r="X535" i="1"/>
  <c r="X536" i="1"/>
  <c r="X537" i="1"/>
  <c r="X538" i="1"/>
  <c r="X539" i="1"/>
  <c r="X540" i="1"/>
  <c r="X541" i="1"/>
  <c r="X542" i="1"/>
  <c r="X543" i="1"/>
  <c r="X544" i="1"/>
  <c r="X545" i="1"/>
  <c r="X546" i="1"/>
  <c r="X547" i="1"/>
  <c r="X548" i="1"/>
  <c r="X549" i="1"/>
  <c r="X550" i="1"/>
  <c r="X551" i="1"/>
  <c r="X552" i="1"/>
  <c r="X553" i="1"/>
  <c r="X554" i="1"/>
  <c r="X555" i="1"/>
  <c r="X556" i="1"/>
  <c r="X557" i="1"/>
  <c r="X558" i="1"/>
  <c r="X559" i="1"/>
  <c r="X560" i="1"/>
  <c r="X561" i="1"/>
  <c r="X562" i="1"/>
  <c r="X563" i="1"/>
  <c r="X564" i="1"/>
  <c r="X565" i="1"/>
  <c r="X566" i="1"/>
  <c r="X567" i="1"/>
  <c r="X568" i="1"/>
  <c r="X569" i="1"/>
  <c r="X570" i="1"/>
  <c r="X571" i="1"/>
  <c r="X572" i="1"/>
  <c r="X573" i="1"/>
  <c r="X574" i="1"/>
  <c r="X575" i="1"/>
  <c r="X576" i="1"/>
  <c r="X577" i="1"/>
  <c r="X578" i="1"/>
  <c r="X579" i="1"/>
  <c r="X580" i="1"/>
  <c r="X581" i="1"/>
  <c r="X582" i="1"/>
  <c r="X583" i="1"/>
  <c r="X584" i="1"/>
  <c r="X585" i="1"/>
  <c r="X586" i="1"/>
  <c r="X587" i="1"/>
  <c r="X588" i="1"/>
  <c r="X589" i="1"/>
  <c r="X590" i="1"/>
  <c r="X591" i="1"/>
  <c r="X592" i="1"/>
  <c r="X593" i="1"/>
  <c r="X594" i="1"/>
  <c r="X595" i="1"/>
  <c r="X596" i="1"/>
  <c r="X597" i="1"/>
  <c r="X598" i="1"/>
  <c r="X599" i="1"/>
  <c r="X600" i="1"/>
  <c r="X601" i="1"/>
  <c r="X602" i="1"/>
  <c r="X603" i="1"/>
  <c r="X604" i="1"/>
  <c r="X605" i="1"/>
  <c r="X606" i="1"/>
  <c r="X607" i="1"/>
  <c r="X608" i="1"/>
  <c r="X609" i="1"/>
  <c r="X610" i="1"/>
  <c r="X611" i="1"/>
  <c r="X612" i="1"/>
  <c r="X613" i="1"/>
  <c r="X614" i="1"/>
  <c r="X615" i="1"/>
  <c r="X616" i="1"/>
  <c r="X617" i="1"/>
  <c r="X618" i="1"/>
  <c r="X619" i="1"/>
  <c r="X620" i="1"/>
  <c r="X621" i="1"/>
  <c r="X622" i="1"/>
  <c r="X623" i="1"/>
  <c r="X624" i="1"/>
  <c r="X625" i="1"/>
  <c r="X626" i="1"/>
  <c r="X627" i="1"/>
  <c r="X628" i="1"/>
  <c r="X629" i="1"/>
  <c r="X630" i="1"/>
  <c r="X631" i="1"/>
  <c r="X632" i="1"/>
  <c r="X633" i="1"/>
  <c r="X634" i="1"/>
  <c r="X635" i="1"/>
  <c r="X636" i="1"/>
  <c r="X637" i="1"/>
  <c r="X638" i="1"/>
  <c r="X639" i="1"/>
  <c r="X640" i="1"/>
  <c r="X641" i="1"/>
  <c r="X642" i="1"/>
  <c r="X643" i="1"/>
  <c r="X644" i="1"/>
  <c r="X645" i="1"/>
  <c r="X646" i="1"/>
  <c r="X647" i="1"/>
  <c r="X648" i="1"/>
  <c r="X649" i="1"/>
  <c r="X650" i="1"/>
  <c r="X651" i="1"/>
  <c r="X652" i="1"/>
  <c r="X653" i="1"/>
  <c r="X654" i="1"/>
  <c r="X655" i="1"/>
  <c r="X656" i="1"/>
  <c r="X657" i="1"/>
  <c r="X658" i="1"/>
  <c r="X659" i="1"/>
  <c r="X660" i="1"/>
  <c r="X661" i="1"/>
  <c r="X662" i="1"/>
  <c r="X663" i="1"/>
  <c r="X664" i="1"/>
  <c r="X665" i="1"/>
  <c r="X666" i="1"/>
  <c r="X667" i="1"/>
  <c r="X668" i="1"/>
  <c r="X669" i="1"/>
  <c r="X670" i="1"/>
  <c r="X671" i="1"/>
  <c r="X672" i="1"/>
  <c r="X673" i="1"/>
  <c r="X674" i="1"/>
  <c r="X675" i="1"/>
  <c r="X676" i="1"/>
  <c r="X677" i="1"/>
  <c r="X678" i="1"/>
  <c r="X679" i="1"/>
  <c r="X680" i="1"/>
  <c r="X681" i="1"/>
  <c r="X682" i="1"/>
  <c r="X683" i="1"/>
  <c r="X684" i="1"/>
  <c r="X685" i="1"/>
  <c r="X686" i="1"/>
  <c r="X687" i="1"/>
  <c r="X688" i="1"/>
  <c r="X689" i="1"/>
  <c r="X690" i="1"/>
  <c r="X691" i="1"/>
  <c r="X692" i="1"/>
  <c r="X693" i="1"/>
  <c r="X694" i="1"/>
  <c r="X695" i="1"/>
  <c r="X696" i="1"/>
  <c r="X697" i="1"/>
  <c r="X698" i="1"/>
  <c r="X699" i="1"/>
  <c r="X700" i="1"/>
  <c r="X701" i="1"/>
  <c r="X702" i="1"/>
  <c r="X703" i="1"/>
  <c r="X704" i="1"/>
  <c r="X705" i="1"/>
  <c r="X706" i="1"/>
  <c r="X707" i="1"/>
  <c r="X708" i="1"/>
  <c r="X709" i="1"/>
  <c r="X710" i="1"/>
  <c r="X711" i="1"/>
  <c r="X712" i="1"/>
  <c r="X713" i="1"/>
  <c r="X714" i="1"/>
  <c r="X715" i="1"/>
  <c r="X716" i="1"/>
  <c r="X717" i="1"/>
  <c r="X718" i="1"/>
  <c r="X719" i="1"/>
  <c r="X720" i="1"/>
  <c r="X721" i="1"/>
  <c r="X722" i="1"/>
  <c r="X723" i="1"/>
  <c r="X724" i="1"/>
  <c r="X725" i="1"/>
  <c r="X726" i="1"/>
  <c r="X727" i="1"/>
  <c r="X728" i="1"/>
  <c r="X729" i="1"/>
  <c r="X730" i="1"/>
  <c r="X731" i="1"/>
  <c r="X732" i="1"/>
  <c r="X733" i="1"/>
  <c r="X734" i="1"/>
  <c r="X735" i="1"/>
  <c r="X736" i="1"/>
  <c r="X737" i="1"/>
  <c r="X738" i="1"/>
  <c r="X739" i="1"/>
  <c r="X740" i="1"/>
  <c r="X741" i="1"/>
  <c r="X742" i="1"/>
  <c r="X743" i="1"/>
  <c r="X744" i="1"/>
  <c r="X745" i="1"/>
  <c r="X746" i="1"/>
  <c r="X747" i="1"/>
  <c r="X748" i="1"/>
  <c r="X749" i="1"/>
  <c r="X750" i="1"/>
  <c r="X751" i="1"/>
  <c r="X752" i="1"/>
  <c r="X753" i="1"/>
  <c r="X754" i="1"/>
  <c r="X755" i="1"/>
  <c r="X756" i="1"/>
  <c r="X757" i="1"/>
  <c r="X758" i="1"/>
  <c r="X759" i="1"/>
  <c r="X760" i="1"/>
  <c r="X761" i="1"/>
  <c r="X762" i="1"/>
  <c r="X763" i="1"/>
  <c r="X764" i="1"/>
  <c r="X765" i="1"/>
  <c r="X766" i="1"/>
  <c r="X767" i="1"/>
  <c r="X768" i="1"/>
  <c r="X769" i="1"/>
  <c r="X770" i="1"/>
  <c r="X771" i="1"/>
  <c r="X772" i="1"/>
  <c r="X773" i="1"/>
  <c r="X774" i="1"/>
  <c r="X775" i="1"/>
  <c r="X776" i="1"/>
  <c r="X777" i="1"/>
  <c r="X778" i="1"/>
  <c r="X779" i="1"/>
  <c r="X780" i="1"/>
  <c r="X781" i="1"/>
  <c r="X782" i="1"/>
  <c r="X783" i="1"/>
  <c r="X784" i="1"/>
  <c r="X785" i="1"/>
  <c r="X786" i="1"/>
  <c r="X787" i="1"/>
  <c r="X788" i="1"/>
  <c r="X789" i="1"/>
  <c r="X790" i="1"/>
  <c r="X791" i="1"/>
  <c r="X792" i="1"/>
  <c r="X793" i="1"/>
  <c r="X794" i="1"/>
  <c r="X795" i="1"/>
  <c r="X796" i="1"/>
  <c r="X797" i="1"/>
  <c r="X798" i="1"/>
  <c r="X799" i="1"/>
  <c r="X800" i="1"/>
  <c r="X801" i="1"/>
  <c r="X802" i="1"/>
  <c r="X803" i="1"/>
  <c r="X804" i="1"/>
  <c r="X805" i="1"/>
  <c r="X806" i="1"/>
  <c r="X807" i="1"/>
  <c r="X808" i="1"/>
  <c r="X809" i="1"/>
  <c r="X810" i="1"/>
  <c r="X811" i="1"/>
  <c r="X812" i="1"/>
  <c r="X813" i="1"/>
  <c r="X814" i="1"/>
  <c r="X815" i="1"/>
  <c r="X816" i="1"/>
  <c r="X817" i="1"/>
  <c r="X818" i="1"/>
  <c r="X819" i="1"/>
  <c r="X820" i="1"/>
  <c r="X821" i="1"/>
  <c r="X822" i="1"/>
  <c r="X823" i="1"/>
  <c r="X824" i="1"/>
  <c r="X825" i="1"/>
  <c r="X826" i="1"/>
  <c r="X827" i="1"/>
  <c r="X828" i="1"/>
  <c r="X829" i="1"/>
  <c r="X830" i="1"/>
  <c r="X831" i="1"/>
  <c r="X832" i="1"/>
  <c r="X833" i="1"/>
  <c r="X834" i="1"/>
  <c r="X835" i="1"/>
  <c r="X836" i="1"/>
  <c r="X837" i="1"/>
  <c r="X838" i="1"/>
  <c r="X839" i="1"/>
  <c r="X840" i="1"/>
  <c r="X841" i="1"/>
  <c r="X842" i="1"/>
  <c r="X843" i="1"/>
  <c r="X844" i="1"/>
  <c r="X845" i="1"/>
  <c r="X846" i="1"/>
  <c r="X847" i="1"/>
  <c r="X848" i="1"/>
  <c r="X849" i="1"/>
  <c r="X850" i="1"/>
  <c r="X851" i="1"/>
  <c r="X852" i="1"/>
  <c r="X853" i="1"/>
  <c r="X854" i="1"/>
  <c r="X855" i="1"/>
  <c r="X856" i="1"/>
  <c r="X857" i="1"/>
  <c r="X858" i="1"/>
  <c r="X859" i="1"/>
  <c r="X860" i="1"/>
  <c r="X861" i="1"/>
  <c r="X862" i="1"/>
  <c r="X863" i="1"/>
  <c r="X864" i="1"/>
  <c r="X865" i="1"/>
  <c r="X866" i="1"/>
  <c r="X867" i="1"/>
  <c r="X868" i="1"/>
  <c r="X869" i="1"/>
  <c r="X870" i="1"/>
  <c r="X871" i="1"/>
  <c r="X872" i="1"/>
  <c r="X873" i="1"/>
  <c r="X874" i="1"/>
  <c r="X875" i="1"/>
  <c r="X876" i="1"/>
  <c r="X877" i="1"/>
  <c r="X878" i="1"/>
  <c r="X879" i="1"/>
  <c r="X880" i="1"/>
  <c r="X881" i="1"/>
  <c r="X882" i="1"/>
  <c r="X883" i="1"/>
  <c r="X884" i="1"/>
  <c r="X885" i="1"/>
  <c r="X886" i="1"/>
  <c r="X887" i="1"/>
  <c r="X888" i="1"/>
  <c r="X889" i="1"/>
  <c r="X890" i="1"/>
  <c r="X891" i="1"/>
  <c r="X892" i="1"/>
  <c r="X893" i="1"/>
  <c r="X894" i="1"/>
  <c r="X895" i="1"/>
  <c r="X896" i="1"/>
  <c r="X897" i="1"/>
  <c r="X898" i="1"/>
  <c r="X899" i="1"/>
  <c r="X900" i="1"/>
  <c r="X901" i="1"/>
  <c r="X902" i="1"/>
  <c r="X903" i="1"/>
  <c r="X904" i="1"/>
  <c r="X905" i="1"/>
  <c r="X906" i="1"/>
  <c r="X907" i="1"/>
  <c r="X908" i="1"/>
  <c r="X909" i="1"/>
  <c r="X910" i="1"/>
  <c r="X911" i="1"/>
  <c r="X912" i="1"/>
  <c r="X913" i="1"/>
  <c r="X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W457" i="1"/>
  <c r="W458" i="1"/>
  <c r="W459" i="1"/>
  <c r="W460" i="1"/>
  <c r="W461" i="1"/>
  <c r="W462" i="1"/>
  <c r="W463" i="1"/>
  <c r="W464" i="1"/>
  <c r="W465" i="1"/>
  <c r="W466" i="1"/>
  <c r="W467" i="1"/>
  <c r="W468" i="1"/>
  <c r="W469" i="1"/>
  <c r="W470" i="1"/>
  <c r="W471" i="1"/>
  <c r="W472" i="1"/>
  <c r="W473" i="1"/>
  <c r="W474" i="1"/>
  <c r="W475" i="1"/>
  <c r="W476" i="1"/>
  <c r="W477" i="1"/>
  <c r="W478" i="1"/>
  <c r="W479" i="1"/>
  <c r="W480" i="1"/>
  <c r="W481" i="1"/>
  <c r="W482" i="1"/>
  <c r="W483" i="1"/>
  <c r="W484" i="1"/>
  <c r="W485" i="1"/>
  <c r="W486" i="1"/>
  <c r="W487" i="1"/>
  <c r="W488" i="1"/>
  <c r="W489" i="1"/>
  <c r="W490" i="1"/>
  <c r="W491" i="1"/>
  <c r="W492" i="1"/>
  <c r="W493" i="1"/>
  <c r="W494" i="1"/>
  <c r="W495" i="1"/>
  <c r="W496" i="1"/>
  <c r="W497" i="1"/>
  <c r="W498" i="1"/>
  <c r="W499" i="1"/>
  <c r="W500" i="1"/>
  <c r="W501" i="1"/>
  <c r="W502" i="1"/>
  <c r="W503" i="1"/>
  <c r="W504" i="1"/>
  <c r="W505" i="1"/>
  <c r="W506" i="1"/>
  <c r="W507" i="1"/>
  <c r="W508" i="1"/>
  <c r="W509" i="1"/>
  <c r="W510" i="1"/>
  <c r="W511" i="1"/>
  <c r="W512" i="1"/>
  <c r="W513" i="1"/>
  <c r="W514" i="1"/>
  <c r="W515" i="1"/>
  <c r="W516" i="1"/>
  <c r="W517" i="1"/>
  <c r="W518" i="1"/>
  <c r="W519" i="1"/>
  <c r="W520" i="1"/>
  <c r="W521" i="1"/>
  <c r="W522" i="1"/>
  <c r="W523" i="1"/>
  <c r="W524" i="1"/>
  <c r="W525" i="1"/>
  <c r="W526" i="1"/>
  <c r="W527" i="1"/>
  <c r="W528" i="1"/>
  <c r="W529" i="1"/>
  <c r="W530" i="1"/>
  <c r="W531" i="1"/>
  <c r="W532" i="1"/>
  <c r="W533" i="1"/>
  <c r="W534" i="1"/>
  <c r="W535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549" i="1"/>
  <c r="W550" i="1"/>
  <c r="W551" i="1"/>
  <c r="W552" i="1"/>
  <c r="W553" i="1"/>
  <c r="W554" i="1"/>
  <c r="W555" i="1"/>
  <c r="W556" i="1"/>
  <c r="W557" i="1"/>
  <c r="W558" i="1"/>
  <c r="W559" i="1"/>
  <c r="W560" i="1"/>
  <c r="W561" i="1"/>
  <c r="W562" i="1"/>
  <c r="W563" i="1"/>
  <c r="W564" i="1"/>
  <c r="W565" i="1"/>
  <c r="W566" i="1"/>
  <c r="W567" i="1"/>
  <c r="W568" i="1"/>
  <c r="W569" i="1"/>
  <c r="W570" i="1"/>
  <c r="W571" i="1"/>
  <c r="W572" i="1"/>
  <c r="W573" i="1"/>
  <c r="W574" i="1"/>
  <c r="W575" i="1"/>
  <c r="W576" i="1"/>
  <c r="W577" i="1"/>
  <c r="W578" i="1"/>
  <c r="W579" i="1"/>
  <c r="W580" i="1"/>
  <c r="W581" i="1"/>
  <c r="W582" i="1"/>
  <c r="W583" i="1"/>
  <c r="W584" i="1"/>
  <c r="W585" i="1"/>
  <c r="W586" i="1"/>
  <c r="W587" i="1"/>
  <c r="W588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605" i="1"/>
  <c r="W606" i="1"/>
  <c r="W607" i="1"/>
  <c r="W608" i="1"/>
  <c r="W609" i="1"/>
  <c r="W610" i="1"/>
  <c r="W611" i="1"/>
  <c r="W612" i="1"/>
  <c r="W613" i="1"/>
  <c r="W614" i="1"/>
  <c r="W615" i="1"/>
  <c r="W616" i="1"/>
  <c r="W617" i="1"/>
  <c r="W618" i="1"/>
  <c r="W619" i="1"/>
  <c r="W620" i="1"/>
  <c r="W621" i="1"/>
  <c r="W622" i="1"/>
  <c r="W623" i="1"/>
  <c r="W624" i="1"/>
  <c r="W625" i="1"/>
  <c r="W626" i="1"/>
  <c r="W627" i="1"/>
  <c r="W628" i="1"/>
  <c r="W629" i="1"/>
  <c r="W630" i="1"/>
  <c r="W631" i="1"/>
  <c r="W632" i="1"/>
  <c r="W633" i="1"/>
  <c r="W634" i="1"/>
  <c r="W635" i="1"/>
  <c r="W636" i="1"/>
  <c r="W637" i="1"/>
  <c r="W638" i="1"/>
  <c r="W639" i="1"/>
  <c r="W640" i="1"/>
  <c r="W641" i="1"/>
  <c r="W642" i="1"/>
  <c r="W643" i="1"/>
  <c r="W644" i="1"/>
  <c r="W645" i="1"/>
  <c r="W646" i="1"/>
  <c r="W647" i="1"/>
  <c r="W648" i="1"/>
  <c r="W649" i="1"/>
  <c r="W650" i="1"/>
  <c r="W651" i="1"/>
  <c r="W652" i="1"/>
  <c r="W653" i="1"/>
  <c r="W654" i="1"/>
  <c r="W655" i="1"/>
  <c r="W656" i="1"/>
  <c r="W657" i="1"/>
  <c r="W658" i="1"/>
  <c r="W659" i="1"/>
  <c r="W660" i="1"/>
  <c r="W661" i="1"/>
  <c r="W662" i="1"/>
  <c r="W663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683" i="1"/>
  <c r="W684" i="1"/>
  <c r="W685" i="1"/>
  <c r="W686" i="1"/>
  <c r="W687" i="1"/>
  <c r="W688" i="1"/>
  <c r="W689" i="1"/>
  <c r="W690" i="1"/>
  <c r="W691" i="1"/>
  <c r="W692" i="1"/>
  <c r="W693" i="1"/>
  <c r="W694" i="1"/>
  <c r="W695" i="1"/>
  <c r="W696" i="1"/>
  <c r="W697" i="1"/>
  <c r="W698" i="1"/>
  <c r="W699" i="1"/>
  <c r="W700" i="1"/>
  <c r="W701" i="1"/>
  <c r="W702" i="1"/>
  <c r="W703" i="1"/>
  <c r="W704" i="1"/>
  <c r="W705" i="1"/>
  <c r="W706" i="1"/>
  <c r="W707" i="1"/>
  <c r="W708" i="1"/>
  <c r="W709" i="1"/>
  <c r="W710" i="1"/>
  <c r="W711" i="1"/>
  <c r="W712" i="1"/>
  <c r="W713" i="1"/>
  <c r="W714" i="1"/>
  <c r="W715" i="1"/>
  <c r="W716" i="1"/>
  <c r="W717" i="1"/>
  <c r="W718" i="1"/>
  <c r="W719" i="1"/>
  <c r="W720" i="1"/>
  <c r="W721" i="1"/>
  <c r="W722" i="1"/>
  <c r="W723" i="1"/>
  <c r="W724" i="1"/>
  <c r="W725" i="1"/>
  <c r="W726" i="1"/>
  <c r="W727" i="1"/>
  <c r="W728" i="1"/>
  <c r="W729" i="1"/>
  <c r="W730" i="1"/>
  <c r="W731" i="1"/>
  <c r="W732" i="1"/>
  <c r="W733" i="1"/>
  <c r="W734" i="1"/>
  <c r="W735" i="1"/>
  <c r="W736" i="1"/>
  <c r="W737" i="1"/>
  <c r="W738" i="1"/>
  <c r="W739" i="1"/>
  <c r="W740" i="1"/>
  <c r="W741" i="1"/>
  <c r="W742" i="1"/>
  <c r="W743" i="1"/>
  <c r="W744" i="1"/>
  <c r="W745" i="1"/>
  <c r="W746" i="1"/>
  <c r="W747" i="1"/>
  <c r="W748" i="1"/>
  <c r="W749" i="1"/>
  <c r="W750" i="1"/>
  <c r="W751" i="1"/>
  <c r="W752" i="1"/>
  <c r="W753" i="1"/>
  <c r="W754" i="1"/>
  <c r="W755" i="1"/>
  <c r="W756" i="1"/>
  <c r="W757" i="1"/>
  <c r="W758" i="1"/>
  <c r="W759" i="1"/>
  <c r="W760" i="1"/>
  <c r="W761" i="1"/>
  <c r="W762" i="1"/>
  <c r="W763" i="1"/>
  <c r="W764" i="1"/>
  <c r="W765" i="1"/>
  <c r="W766" i="1"/>
  <c r="W767" i="1"/>
  <c r="W768" i="1"/>
  <c r="W769" i="1"/>
  <c r="W770" i="1"/>
  <c r="W771" i="1"/>
  <c r="W772" i="1"/>
  <c r="W773" i="1"/>
  <c r="W774" i="1"/>
  <c r="W775" i="1"/>
  <c r="W776" i="1"/>
  <c r="W777" i="1"/>
  <c r="W778" i="1"/>
  <c r="W779" i="1"/>
  <c r="W780" i="1"/>
  <c r="W781" i="1"/>
  <c r="W782" i="1"/>
  <c r="W783" i="1"/>
  <c r="W784" i="1"/>
  <c r="W785" i="1"/>
  <c r="W786" i="1"/>
  <c r="W787" i="1"/>
  <c r="W788" i="1"/>
  <c r="W789" i="1"/>
  <c r="W790" i="1"/>
  <c r="W791" i="1"/>
  <c r="W792" i="1"/>
  <c r="W793" i="1"/>
  <c r="W794" i="1"/>
  <c r="W795" i="1"/>
  <c r="W796" i="1"/>
  <c r="W797" i="1"/>
  <c r="W798" i="1"/>
  <c r="W799" i="1"/>
  <c r="W800" i="1"/>
  <c r="W801" i="1"/>
  <c r="W802" i="1"/>
  <c r="W803" i="1"/>
  <c r="W804" i="1"/>
  <c r="W805" i="1"/>
  <c r="W806" i="1"/>
  <c r="W807" i="1"/>
  <c r="W808" i="1"/>
  <c r="W809" i="1"/>
  <c r="W810" i="1"/>
  <c r="W811" i="1"/>
  <c r="W812" i="1"/>
  <c r="W813" i="1"/>
  <c r="W814" i="1"/>
  <c r="W815" i="1"/>
  <c r="W816" i="1"/>
  <c r="W817" i="1"/>
  <c r="W818" i="1"/>
  <c r="W819" i="1"/>
  <c r="W820" i="1"/>
  <c r="W821" i="1"/>
  <c r="W822" i="1"/>
  <c r="W823" i="1"/>
  <c r="W824" i="1"/>
  <c r="W825" i="1"/>
  <c r="W826" i="1"/>
  <c r="W827" i="1"/>
  <c r="W828" i="1"/>
  <c r="W829" i="1"/>
  <c r="W830" i="1"/>
  <c r="W831" i="1"/>
  <c r="W832" i="1"/>
  <c r="W833" i="1"/>
  <c r="W834" i="1"/>
  <c r="W835" i="1"/>
  <c r="W836" i="1"/>
  <c r="W837" i="1"/>
  <c r="W838" i="1"/>
  <c r="W839" i="1"/>
  <c r="W840" i="1"/>
  <c r="W841" i="1"/>
  <c r="W842" i="1"/>
  <c r="W843" i="1"/>
  <c r="W844" i="1"/>
  <c r="W845" i="1"/>
  <c r="W846" i="1"/>
  <c r="W847" i="1"/>
  <c r="W848" i="1"/>
  <c r="W849" i="1"/>
  <c r="W850" i="1"/>
  <c r="W851" i="1"/>
  <c r="W852" i="1"/>
  <c r="W853" i="1"/>
  <c r="W854" i="1"/>
  <c r="W855" i="1"/>
  <c r="W856" i="1"/>
  <c r="W857" i="1"/>
  <c r="W858" i="1"/>
  <c r="W859" i="1"/>
  <c r="W860" i="1"/>
  <c r="W861" i="1"/>
  <c r="W862" i="1"/>
  <c r="W863" i="1"/>
  <c r="W864" i="1"/>
  <c r="W865" i="1"/>
  <c r="W866" i="1"/>
  <c r="W867" i="1"/>
  <c r="W868" i="1"/>
  <c r="W869" i="1"/>
  <c r="W870" i="1"/>
  <c r="W871" i="1"/>
  <c r="W872" i="1"/>
  <c r="W873" i="1"/>
  <c r="W874" i="1"/>
  <c r="W875" i="1"/>
  <c r="W876" i="1"/>
  <c r="W877" i="1"/>
  <c r="W878" i="1"/>
  <c r="W879" i="1"/>
  <c r="W880" i="1"/>
  <c r="W881" i="1"/>
  <c r="W882" i="1"/>
  <c r="W883" i="1"/>
  <c r="W884" i="1"/>
  <c r="W885" i="1"/>
  <c r="W886" i="1"/>
  <c r="W887" i="1"/>
  <c r="W888" i="1"/>
  <c r="W889" i="1"/>
  <c r="W890" i="1"/>
  <c r="W891" i="1"/>
  <c r="W892" i="1"/>
  <c r="W893" i="1"/>
  <c r="W894" i="1"/>
  <c r="W895" i="1"/>
  <c r="W896" i="1"/>
  <c r="W897" i="1"/>
  <c r="W898" i="1"/>
  <c r="W899" i="1"/>
  <c r="W900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67" i="1"/>
  <c r="S468" i="1"/>
  <c r="S469" i="1"/>
  <c r="S470" i="1"/>
  <c r="S471" i="1"/>
  <c r="S472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S549" i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S584" i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S609" i="1"/>
  <c r="S610" i="1"/>
  <c r="S611" i="1"/>
  <c r="S612" i="1"/>
  <c r="S613" i="1"/>
  <c r="S614" i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S723" i="1"/>
  <c r="S724" i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S743" i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S765" i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S787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S825" i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S846" i="1"/>
  <c r="S847" i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S868" i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S883" i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S900" i="1"/>
  <c r="S901" i="1"/>
  <c r="S902" i="1"/>
  <c r="S903" i="1"/>
  <c r="S904" i="1"/>
  <c r="S905" i="1"/>
  <c r="S906" i="1"/>
  <c r="S907" i="1"/>
  <c r="S908" i="1"/>
  <c r="S909" i="1"/>
  <c r="S910" i="1"/>
  <c r="S911" i="1"/>
  <c r="S912" i="1"/>
  <c r="S913" i="1"/>
  <c r="S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2" i="1"/>
  <c r="AI3" i="1" l="1"/>
  <c r="AI5" i="1"/>
  <c r="AI6" i="1"/>
  <c r="AI7" i="1"/>
  <c r="AI8" i="1"/>
  <c r="AI9" i="1"/>
  <c r="AI10" i="1"/>
  <c r="AI11" i="1"/>
  <c r="AI12" i="1"/>
  <c r="AI13" i="1"/>
  <c r="AI14" i="1"/>
  <c r="AI15" i="1"/>
  <c r="AI16" i="1"/>
  <c r="AI17" i="1"/>
  <c r="AI19" i="1"/>
  <c r="AI21" i="1"/>
  <c r="AI22" i="1"/>
  <c r="AI24" i="1"/>
  <c r="AI25" i="1"/>
  <c r="AI27" i="1"/>
  <c r="AI28" i="1"/>
  <c r="AI30" i="1"/>
  <c r="AI31" i="1"/>
  <c r="AI33" i="1"/>
  <c r="AI35" i="1"/>
  <c r="AI37" i="1"/>
  <c r="AI39" i="1"/>
  <c r="AI40" i="1"/>
  <c r="AI42" i="1"/>
  <c r="AI44" i="1"/>
  <c r="AI46" i="1"/>
  <c r="AI48" i="1"/>
  <c r="AI49" i="1"/>
  <c r="AI51" i="1"/>
  <c r="AI53" i="1"/>
  <c r="AI54" i="1"/>
  <c r="AI56" i="1"/>
  <c r="AI57" i="1"/>
  <c r="AI59" i="1"/>
  <c r="AI61" i="1"/>
  <c r="AI63" i="1"/>
  <c r="AI65" i="1"/>
  <c r="AI67" i="1"/>
  <c r="AI69" i="1"/>
  <c r="AI71" i="1"/>
  <c r="AI72" i="1"/>
  <c r="AI74" i="1"/>
  <c r="AI76" i="1"/>
  <c r="AI78" i="1"/>
  <c r="AI80" i="1"/>
  <c r="AI82" i="1"/>
  <c r="AI84" i="1"/>
  <c r="AI86" i="1"/>
  <c r="AI88" i="1"/>
  <c r="AI89" i="1"/>
  <c r="AI91" i="1"/>
  <c r="AI93" i="1"/>
  <c r="AI94" i="1"/>
  <c r="AI96" i="1"/>
  <c r="AI98" i="1"/>
  <c r="AI101" i="1"/>
  <c r="AI102" i="1"/>
  <c r="AI104" i="1"/>
  <c r="AI106" i="1"/>
  <c r="AI108" i="1"/>
  <c r="AI110" i="1"/>
  <c r="AI112" i="1"/>
  <c r="AI114" i="1"/>
  <c r="AI116" i="1"/>
  <c r="AI118" i="1"/>
  <c r="AI119" i="1"/>
  <c r="AI121" i="1"/>
  <c r="AI123" i="1"/>
  <c r="AI125" i="1"/>
  <c r="AI127" i="1"/>
  <c r="AI128" i="1"/>
  <c r="AI130" i="1"/>
  <c r="AI132" i="1"/>
  <c r="AI137" i="1"/>
  <c r="AI140" i="1"/>
  <c r="AI143" i="1"/>
  <c r="AI146" i="1"/>
  <c r="AI149" i="1"/>
  <c r="AI151" i="1"/>
  <c r="AI154" i="1"/>
  <c r="AI156" i="1"/>
  <c r="AI175" i="1"/>
  <c r="AI768" i="1"/>
  <c r="AI788" i="1"/>
  <c r="AI794" i="1"/>
  <c r="AI799" i="1"/>
  <c r="AI802" i="1"/>
  <c r="AI803" i="1"/>
  <c r="AI806" i="1"/>
  <c r="AI809" i="1"/>
  <c r="AI813" i="1"/>
  <c r="AI816" i="1"/>
  <c r="AI819" i="1"/>
  <c r="AI824" i="1"/>
  <c r="AI827" i="1"/>
  <c r="AI830" i="1"/>
  <c r="AI833" i="1"/>
  <c r="AI836" i="1"/>
  <c r="AI840" i="1"/>
  <c r="AI842" i="1"/>
  <c r="AI845" i="1"/>
  <c r="AI848" i="1"/>
  <c r="AI851" i="1"/>
  <c r="AI854" i="1"/>
  <c r="AI857" i="1"/>
  <c r="AI860" i="1"/>
  <c r="AI862" i="1"/>
  <c r="AI867" i="1"/>
  <c r="AI871" i="1"/>
  <c r="AI874" i="1"/>
  <c r="AI877" i="1"/>
  <c r="AI880" i="1"/>
  <c r="AI885" i="1"/>
  <c r="AI893" i="1"/>
  <c r="AI900" i="1"/>
  <c r="AI905" i="1"/>
  <c r="AI908" i="1"/>
  <c r="AI911" i="1"/>
  <c r="AI2" i="1"/>
  <c r="Z659" i="1"/>
  <c r="Z660" i="1"/>
  <c r="Z661" i="1"/>
  <c r="Z662" i="1"/>
  <c r="Z663" i="1"/>
  <c r="Z664" i="1"/>
  <c r="Z665" i="1"/>
  <c r="Z666" i="1"/>
  <c r="Z667" i="1"/>
  <c r="Z668" i="1"/>
  <c r="Z669" i="1"/>
  <c r="Z670" i="1"/>
  <c r="Z671" i="1"/>
  <c r="Z672" i="1"/>
  <c r="Z673" i="1"/>
  <c r="Z674" i="1"/>
  <c r="Z675" i="1"/>
  <c r="Z676" i="1"/>
  <c r="Z677" i="1"/>
  <c r="Z678" i="1"/>
  <c r="Z679" i="1"/>
  <c r="Z680" i="1"/>
  <c r="Z681" i="1"/>
  <c r="Z682" i="1"/>
  <c r="Z683" i="1"/>
  <c r="Z684" i="1"/>
  <c r="Z685" i="1"/>
  <c r="Z686" i="1"/>
  <c r="Z687" i="1"/>
  <c r="Z688" i="1"/>
  <c r="Z689" i="1"/>
  <c r="Z690" i="1"/>
  <c r="Z691" i="1"/>
  <c r="Z692" i="1"/>
  <c r="Z693" i="1"/>
  <c r="Z694" i="1"/>
  <c r="Z695" i="1"/>
  <c r="Z696" i="1"/>
  <c r="Z697" i="1"/>
  <c r="Z698" i="1"/>
  <c r="Z699" i="1"/>
  <c r="Z700" i="1"/>
  <c r="Z701" i="1"/>
  <c r="Z702" i="1"/>
  <c r="Z703" i="1"/>
  <c r="Z704" i="1"/>
  <c r="Z705" i="1"/>
  <c r="Z706" i="1"/>
  <c r="Z707" i="1"/>
  <c r="Z708" i="1"/>
  <c r="Z709" i="1"/>
  <c r="Z710" i="1"/>
  <c r="Z711" i="1"/>
  <c r="Z712" i="1"/>
  <c r="Z713" i="1"/>
  <c r="Z714" i="1"/>
  <c r="Z715" i="1"/>
  <c r="Z716" i="1"/>
  <c r="Z717" i="1"/>
  <c r="Z718" i="1"/>
  <c r="Z719" i="1"/>
  <c r="Z720" i="1"/>
  <c r="Z721" i="1"/>
  <c r="Z722" i="1"/>
  <c r="Z723" i="1"/>
  <c r="Z724" i="1"/>
  <c r="Z725" i="1"/>
  <c r="Z726" i="1"/>
  <c r="Z727" i="1"/>
  <c r="Z728" i="1"/>
  <c r="Z729" i="1"/>
  <c r="Z730" i="1"/>
  <c r="Z731" i="1"/>
  <c r="Z732" i="1"/>
  <c r="Z733" i="1"/>
  <c r="Z734" i="1"/>
  <c r="Z735" i="1"/>
  <c r="Z736" i="1"/>
  <c r="Z737" i="1"/>
  <c r="Z738" i="1"/>
  <c r="Z739" i="1"/>
  <c r="Z740" i="1"/>
  <c r="Z741" i="1"/>
  <c r="Z742" i="1"/>
  <c r="AI4" i="1"/>
  <c r="AI18" i="1"/>
  <c r="AI20" i="1"/>
  <c r="AI23" i="1"/>
  <c r="AI26" i="1"/>
  <c r="AI29" i="1"/>
  <c r="AI32" i="1"/>
  <c r="AI34" i="1"/>
  <c r="AI36" i="1"/>
  <c r="AI38" i="1"/>
  <c r="AI41" i="1"/>
  <c r="AI43" i="1"/>
  <c r="AI45" i="1"/>
  <c r="AI47" i="1"/>
  <c r="AI50" i="1"/>
  <c r="AI52" i="1"/>
  <c r="AI55" i="1"/>
  <c r="AI58" i="1"/>
  <c r="AI60" i="1"/>
  <c r="AI62" i="1"/>
  <c r="AI64" i="1"/>
  <c r="AI66" i="1"/>
  <c r="AI68" i="1"/>
  <c r="AI70" i="1"/>
  <c r="AI73" i="1"/>
  <c r="AI75" i="1"/>
  <c r="AI77" i="1"/>
  <c r="AI79" i="1"/>
  <c r="AI81" i="1"/>
  <c r="AI83" i="1"/>
  <c r="AI85" i="1"/>
  <c r="AI87" i="1"/>
  <c r="AI90" i="1"/>
  <c r="AI92" i="1"/>
  <c r="AI95" i="1"/>
  <c r="AI97" i="1"/>
  <c r="AI99" i="1"/>
  <c r="AI100" i="1"/>
  <c r="AI103" i="1"/>
  <c r="AI105" i="1"/>
  <c r="AI107" i="1"/>
  <c r="AI109" i="1"/>
  <c r="AI111" i="1"/>
  <c r="AI113" i="1"/>
  <c r="AI115" i="1"/>
  <c r="AI117" i="1"/>
  <c r="AI120" i="1"/>
  <c r="AI122" i="1"/>
  <c r="AI124" i="1"/>
  <c r="AI126" i="1"/>
  <c r="AI129" i="1"/>
  <c r="AI131" i="1"/>
  <c r="AI133" i="1"/>
  <c r="AI134" i="1"/>
  <c r="AI135" i="1"/>
  <c r="AI136" i="1"/>
  <c r="AI138" i="1"/>
  <c r="AI139" i="1"/>
  <c r="AI141" i="1"/>
  <c r="AI142" i="1"/>
  <c r="AI144" i="1"/>
  <c r="AI145" i="1"/>
  <c r="AI147" i="1"/>
  <c r="AI148" i="1"/>
  <c r="AI150" i="1"/>
  <c r="AI152" i="1"/>
  <c r="AI153" i="1"/>
  <c r="AI155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6" i="1"/>
  <c r="AI307" i="1"/>
  <c r="AI309" i="1"/>
  <c r="AI311" i="1"/>
  <c r="AI313" i="1"/>
  <c r="AI315" i="1"/>
  <c r="AI317" i="1"/>
  <c r="AI318" i="1"/>
  <c r="AI320" i="1"/>
  <c r="AI321" i="1"/>
  <c r="AI323" i="1"/>
  <c r="AI325" i="1"/>
  <c r="AI327" i="1"/>
  <c r="AI329" i="1"/>
  <c r="AI331" i="1"/>
  <c r="AI333" i="1"/>
  <c r="AI335" i="1"/>
  <c r="AI337" i="1"/>
  <c r="AI339" i="1"/>
  <c r="AI341" i="1"/>
  <c r="AI343" i="1"/>
  <c r="AI345" i="1"/>
  <c r="AI347" i="1"/>
  <c r="AI351" i="1"/>
  <c r="AI353" i="1"/>
  <c r="AI355" i="1"/>
  <c r="AI356" i="1"/>
  <c r="AI357" i="1"/>
  <c r="AI359" i="1"/>
  <c r="AI360" i="1"/>
  <c r="AI362" i="1"/>
  <c r="AI363" i="1"/>
  <c r="AI365" i="1"/>
  <c r="AI367" i="1"/>
  <c r="AI369" i="1"/>
  <c r="AI371" i="1"/>
  <c r="AI373" i="1"/>
  <c r="AI375" i="1"/>
  <c r="AI376" i="1"/>
  <c r="AI377" i="1"/>
  <c r="AI379" i="1"/>
  <c r="AI381" i="1"/>
  <c r="AI383" i="1"/>
  <c r="AI385" i="1"/>
  <c r="AI387" i="1"/>
  <c r="AI389" i="1"/>
  <c r="AI391" i="1"/>
  <c r="AI393" i="1"/>
  <c r="AI394" i="1"/>
  <c r="AI396" i="1"/>
  <c r="AI397" i="1"/>
  <c r="AI399" i="1"/>
  <c r="AI401" i="1"/>
  <c r="AI403" i="1"/>
  <c r="AI406" i="1"/>
  <c r="AI407" i="1"/>
  <c r="AI409" i="1"/>
  <c r="AI411" i="1"/>
  <c r="AI412" i="1"/>
  <c r="AI414" i="1"/>
  <c r="AI416" i="1"/>
  <c r="AI418" i="1"/>
  <c r="AI419" i="1"/>
  <c r="AI421" i="1"/>
  <c r="AI423" i="1"/>
  <c r="AI425" i="1"/>
  <c r="AI427" i="1"/>
  <c r="AI429" i="1"/>
  <c r="AI430" i="1"/>
  <c r="AI432" i="1"/>
  <c r="AI434" i="1"/>
  <c r="AI435" i="1"/>
  <c r="AI436" i="1"/>
  <c r="AI438" i="1"/>
  <c r="AI439" i="1"/>
  <c r="AI441" i="1"/>
  <c r="AI442" i="1"/>
  <c r="AI444" i="1"/>
  <c r="AI446" i="1"/>
  <c r="AI448" i="1"/>
  <c r="AI450" i="1"/>
  <c r="AI451" i="1"/>
  <c r="AI453" i="1"/>
  <c r="AI455" i="1"/>
  <c r="AI457" i="1"/>
  <c r="AI459" i="1"/>
  <c r="AI460" i="1"/>
  <c r="AI462" i="1"/>
  <c r="AI463" i="1"/>
  <c r="AI465" i="1"/>
  <c r="AI467" i="1"/>
  <c r="AI469" i="1"/>
  <c r="AI471" i="1"/>
  <c r="AI473" i="1"/>
  <c r="AI475" i="1"/>
  <c r="AI477" i="1"/>
  <c r="AI478" i="1"/>
  <c r="AI480" i="1"/>
  <c r="AI482" i="1"/>
  <c r="AI483" i="1"/>
  <c r="AI485" i="1"/>
  <c r="AI487" i="1"/>
  <c r="AI489" i="1"/>
  <c r="AI491" i="1"/>
  <c r="AI493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8" i="1"/>
  <c r="AI552" i="1"/>
  <c r="AI555" i="1"/>
  <c r="AI557" i="1"/>
  <c r="AI558" i="1"/>
  <c r="AI560" i="1"/>
  <c r="AI562" i="1"/>
  <c r="AI564" i="1"/>
  <c r="AI566" i="1"/>
  <c r="AI568" i="1"/>
  <c r="AI570" i="1"/>
  <c r="AI571" i="1"/>
  <c r="AI573" i="1"/>
  <c r="AI575" i="1"/>
  <c r="AI576" i="1"/>
  <c r="AI578" i="1"/>
  <c r="AI579" i="1"/>
  <c r="AI581" i="1"/>
  <c r="AI583" i="1"/>
  <c r="AI584" i="1"/>
  <c r="AI586" i="1"/>
  <c r="AI588" i="1"/>
  <c r="AI590" i="1"/>
  <c r="AI592" i="1"/>
  <c r="AI594" i="1"/>
  <c r="AI595" i="1"/>
  <c r="AI597" i="1"/>
  <c r="AI599" i="1"/>
  <c r="AI601" i="1"/>
  <c r="AI602" i="1"/>
  <c r="AI604" i="1"/>
  <c r="AI606" i="1"/>
  <c r="AI608" i="1"/>
  <c r="AI609" i="1"/>
  <c r="AI611" i="1"/>
  <c r="AI613" i="1"/>
  <c r="AI615" i="1"/>
  <c r="AI616" i="1"/>
  <c r="AI618" i="1"/>
  <c r="AI620" i="1"/>
  <c r="AI622" i="1"/>
  <c r="AI623" i="1"/>
  <c r="AI626" i="1"/>
  <c r="AI627" i="1"/>
  <c r="AI629" i="1"/>
  <c r="AI631" i="1"/>
  <c r="AI633" i="1"/>
  <c r="AI635" i="1"/>
  <c r="AI637" i="1"/>
  <c r="AI638" i="1"/>
  <c r="AI640" i="1"/>
  <c r="AI642" i="1"/>
  <c r="AI644" i="1"/>
  <c r="AI646" i="1"/>
  <c r="AI648" i="1"/>
  <c r="AI649" i="1"/>
  <c r="AI651" i="1"/>
  <c r="AI653" i="1"/>
  <c r="AI654" i="1"/>
  <c r="AI655" i="1"/>
  <c r="AI657" i="1"/>
  <c r="AI659" i="1"/>
  <c r="AI661" i="1"/>
  <c r="AI663" i="1"/>
  <c r="AI665" i="1"/>
  <c r="AI666" i="1"/>
  <c r="AI668" i="1"/>
  <c r="AI669" i="1"/>
  <c r="AI670" i="1"/>
  <c r="AI671" i="1"/>
  <c r="AI672" i="1"/>
  <c r="AI673" i="1"/>
  <c r="AI674" i="1"/>
  <c r="AI675" i="1"/>
  <c r="AI676" i="1"/>
  <c r="AI677" i="1"/>
  <c r="AI678" i="1"/>
  <c r="AI680" i="1"/>
  <c r="AI681" i="1"/>
  <c r="AI683" i="1"/>
  <c r="AI686" i="1"/>
  <c r="AI687" i="1"/>
  <c r="AI689" i="1"/>
  <c r="AI691" i="1"/>
  <c r="AI692" i="1"/>
  <c r="AI694" i="1"/>
  <c r="AI696" i="1"/>
  <c r="AI698" i="1"/>
  <c r="AI699" i="1"/>
  <c r="AI701" i="1"/>
  <c r="AI703" i="1"/>
  <c r="AI705" i="1"/>
  <c r="AI707" i="1"/>
  <c r="AI709" i="1"/>
  <c r="AI712" i="1"/>
  <c r="AI713" i="1"/>
  <c r="AI715" i="1"/>
  <c r="AI717" i="1"/>
  <c r="AI719" i="1"/>
  <c r="AI721" i="1"/>
  <c r="AI723" i="1"/>
  <c r="AI725" i="1"/>
  <c r="AI726" i="1"/>
  <c r="AI728" i="1"/>
  <c r="AI729" i="1"/>
  <c r="AI731" i="1"/>
  <c r="AI732" i="1"/>
  <c r="AI734" i="1"/>
  <c r="AI736" i="1"/>
  <c r="AI737" i="1"/>
  <c r="AI739" i="1"/>
  <c r="AI741" i="1"/>
  <c r="AI743" i="1"/>
  <c r="AI745" i="1"/>
  <c r="AI747" i="1"/>
  <c r="AI748" i="1"/>
  <c r="AI750" i="1"/>
  <c r="AI751" i="1"/>
  <c r="AI753" i="1"/>
  <c r="AI755" i="1"/>
  <c r="AI757" i="1"/>
  <c r="AI759" i="1"/>
  <c r="AI761" i="1"/>
  <c r="AI763" i="1"/>
  <c r="AI764" i="1"/>
  <c r="AI766" i="1"/>
  <c r="AI769" i="1"/>
  <c r="AI771" i="1"/>
  <c r="AI773" i="1"/>
  <c r="AI775" i="1"/>
  <c r="AI777" i="1"/>
  <c r="AI779" i="1"/>
  <c r="AI780" i="1"/>
  <c r="AI781" i="1"/>
  <c r="AI783" i="1"/>
  <c r="AI785" i="1"/>
  <c r="AI786" i="1"/>
  <c r="AI789" i="1"/>
  <c r="AI791" i="1"/>
  <c r="AI792" i="1"/>
  <c r="AI796" i="1"/>
  <c r="AI797" i="1"/>
  <c r="AI800" i="1"/>
  <c r="AI804" i="1"/>
  <c r="AI808" i="1"/>
  <c r="AI810" i="1"/>
  <c r="AI812" i="1"/>
  <c r="AI814" i="1"/>
  <c r="AI817" i="1"/>
  <c r="AI820" i="1"/>
  <c r="AI822" i="1"/>
  <c r="AI825" i="1"/>
  <c r="AI828" i="1"/>
  <c r="AI831" i="1"/>
  <c r="AI835" i="1"/>
  <c r="AI838" i="1"/>
  <c r="AI841" i="1"/>
  <c r="AI843" i="1"/>
  <c r="AI847" i="1"/>
  <c r="AI850" i="1"/>
  <c r="AI853" i="1"/>
  <c r="AI855" i="1"/>
  <c r="AI859" i="1"/>
  <c r="AI863" i="1"/>
  <c r="AI865" i="1"/>
  <c r="AI868" i="1"/>
  <c r="AI872" i="1"/>
  <c r="AI876" i="1"/>
  <c r="AI878" i="1"/>
  <c r="AI881" i="1"/>
  <c r="AI883" i="1"/>
  <c r="AI887" i="1"/>
  <c r="AI889" i="1"/>
  <c r="AI891" i="1"/>
  <c r="AI895" i="1"/>
  <c r="AI897" i="1"/>
  <c r="AI899" i="1"/>
  <c r="AI902" i="1"/>
  <c r="AI906" i="1"/>
  <c r="AI910" i="1"/>
  <c r="AI913" i="1"/>
  <c r="AI285" i="1"/>
  <c r="AI305" i="1"/>
  <c r="AI308" i="1"/>
  <c r="AI310" i="1"/>
  <c r="AI312" i="1"/>
  <c r="AI314" i="1"/>
  <c r="AI316" i="1"/>
  <c r="AI319" i="1"/>
  <c r="AI322" i="1"/>
  <c r="AI324" i="1"/>
  <c r="AI326" i="1"/>
  <c r="AI328" i="1"/>
  <c r="AI330" i="1"/>
  <c r="AI332" i="1"/>
  <c r="AI334" i="1"/>
  <c r="AI336" i="1"/>
  <c r="AI338" i="1"/>
  <c r="AI340" i="1"/>
  <c r="AI342" i="1"/>
  <c r="AI344" i="1"/>
  <c r="AI346" i="1"/>
  <c r="AI348" i="1"/>
  <c r="AI349" i="1"/>
  <c r="AI350" i="1"/>
  <c r="AI352" i="1"/>
  <c r="AI354" i="1"/>
  <c r="AI358" i="1"/>
  <c r="AI361" i="1"/>
  <c r="AI364" i="1"/>
  <c r="AI366" i="1"/>
  <c r="AI368" i="1"/>
  <c r="AI370" i="1"/>
  <c r="AI372" i="1"/>
  <c r="AI374" i="1"/>
  <c r="AI378" i="1"/>
  <c r="AI380" i="1"/>
  <c r="AI382" i="1"/>
  <c r="AI384" i="1"/>
  <c r="AI386" i="1"/>
  <c r="AI388" i="1"/>
  <c r="AI390" i="1"/>
  <c r="AI392" i="1"/>
  <c r="AI395" i="1"/>
  <c r="AI398" i="1"/>
  <c r="AI400" i="1"/>
  <c r="AI402" i="1"/>
  <c r="AI404" i="1"/>
  <c r="AI405" i="1"/>
  <c r="AI408" i="1"/>
  <c r="AI410" i="1"/>
  <c r="AI413" i="1"/>
  <c r="AI415" i="1"/>
  <c r="AI417" i="1"/>
  <c r="AI420" i="1"/>
  <c r="AI422" i="1"/>
  <c r="AI424" i="1"/>
  <c r="AI426" i="1"/>
  <c r="AI428" i="1"/>
  <c r="AI431" i="1"/>
  <c r="AI433" i="1"/>
  <c r="AI437" i="1"/>
  <c r="AI440" i="1"/>
  <c r="AI443" i="1"/>
  <c r="AI445" i="1"/>
  <c r="AI447" i="1"/>
  <c r="AI449" i="1"/>
  <c r="AI452" i="1"/>
  <c r="AI454" i="1"/>
  <c r="AI456" i="1"/>
  <c r="AI458" i="1"/>
  <c r="AI461" i="1"/>
  <c r="AI464" i="1"/>
  <c r="AI466" i="1"/>
  <c r="AI468" i="1"/>
  <c r="AI470" i="1"/>
  <c r="AI472" i="1"/>
  <c r="AI474" i="1"/>
  <c r="AI476" i="1"/>
  <c r="AI479" i="1"/>
  <c r="AI481" i="1"/>
  <c r="AI484" i="1"/>
  <c r="AI486" i="1"/>
  <c r="AI488" i="1"/>
  <c r="AI490" i="1"/>
  <c r="AI492" i="1"/>
  <c r="AI494" i="1"/>
  <c r="AI517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3" i="1"/>
  <c r="AI554" i="1"/>
  <c r="AI556" i="1"/>
  <c r="AI559" i="1"/>
  <c r="AI561" i="1"/>
  <c r="AI563" i="1"/>
  <c r="AI565" i="1"/>
  <c r="AI567" i="1"/>
  <c r="AI569" i="1"/>
  <c r="AI572" i="1"/>
  <c r="AI574" i="1"/>
  <c r="AI577" i="1"/>
  <c r="AI580" i="1"/>
  <c r="AI582" i="1"/>
  <c r="AI585" i="1"/>
  <c r="AI587" i="1"/>
  <c r="AI589" i="1"/>
  <c r="AI591" i="1"/>
  <c r="AI593" i="1"/>
  <c r="AI596" i="1"/>
  <c r="AI598" i="1"/>
  <c r="AI600" i="1"/>
  <c r="AI603" i="1"/>
  <c r="AI605" i="1"/>
  <c r="AI607" i="1"/>
  <c r="AI610" i="1"/>
  <c r="AI612" i="1"/>
  <c r="AI614" i="1"/>
  <c r="AI617" i="1"/>
  <c r="AI619" i="1"/>
  <c r="AI621" i="1"/>
  <c r="AI624" i="1"/>
  <c r="AI625" i="1"/>
  <c r="AI628" i="1"/>
  <c r="AI630" i="1"/>
  <c r="AI632" i="1"/>
  <c r="AI634" i="1"/>
  <c r="AI636" i="1"/>
  <c r="AI639" i="1"/>
  <c r="AI641" i="1"/>
  <c r="AI643" i="1"/>
  <c r="AI645" i="1"/>
  <c r="AI647" i="1"/>
  <c r="AI650" i="1"/>
  <c r="AI652" i="1"/>
  <c r="AI656" i="1"/>
  <c r="AI658" i="1"/>
  <c r="AI660" i="1"/>
  <c r="AI662" i="1"/>
  <c r="AI664" i="1"/>
  <c r="AI667" i="1"/>
  <c r="AI679" i="1"/>
  <c r="AI682" i="1"/>
  <c r="AI684" i="1"/>
  <c r="AI685" i="1"/>
  <c r="AI688" i="1"/>
  <c r="AI690" i="1"/>
  <c r="AI693" i="1"/>
  <c r="AI695" i="1"/>
  <c r="AI697" i="1"/>
  <c r="AI700" i="1"/>
  <c r="AI702" i="1"/>
  <c r="AI704" i="1"/>
  <c r="AI706" i="1"/>
  <c r="AI708" i="1"/>
  <c r="AI710" i="1"/>
  <c r="AI711" i="1"/>
  <c r="AI714" i="1"/>
  <c r="AI716" i="1"/>
  <c r="AI718" i="1"/>
  <c r="AI720" i="1"/>
  <c r="AI722" i="1"/>
  <c r="AI724" i="1"/>
  <c r="AI727" i="1"/>
  <c r="AI730" i="1"/>
  <c r="AI733" i="1"/>
  <c r="AI735" i="1"/>
  <c r="AI738" i="1"/>
  <c r="AI740" i="1"/>
  <c r="AI742" i="1"/>
  <c r="AI744" i="1"/>
  <c r="AI746" i="1"/>
  <c r="AI749" i="1"/>
  <c r="AI752" i="1"/>
  <c r="AI754" i="1"/>
  <c r="AI756" i="1"/>
  <c r="AI758" i="1"/>
  <c r="AI760" i="1"/>
  <c r="AI762" i="1"/>
  <c r="AI765" i="1"/>
  <c r="AI767" i="1"/>
  <c r="AI770" i="1"/>
  <c r="AI772" i="1"/>
  <c r="AI774" i="1"/>
  <c r="AI776" i="1"/>
  <c r="AI778" i="1"/>
  <c r="AI782" i="1"/>
  <c r="AI784" i="1"/>
  <c r="AI787" i="1"/>
  <c r="AI790" i="1"/>
  <c r="AI793" i="1"/>
  <c r="AI795" i="1"/>
  <c r="AI798" i="1"/>
  <c r="AI801" i="1"/>
  <c r="AI805" i="1"/>
  <c r="AI807" i="1"/>
  <c r="AI811" i="1"/>
  <c r="AI815" i="1"/>
  <c r="AI818" i="1"/>
  <c r="AI821" i="1"/>
  <c r="AI823" i="1"/>
  <c r="AI826" i="1"/>
  <c r="AI829" i="1"/>
  <c r="AI832" i="1"/>
  <c r="AI834" i="1"/>
  <c r="AI837" i="1"/>
  <c r="AI839" i="1"/>
  <c r="AI844" i="1"/>
  <c r="AI846" i="1"/>
  <c r="AI849" i="1"/>
  <c r="AI852" i="1"/>
  <c r="AI856" i="1"/>
  <c r="AI858" i="1"/>
  <c r="AI861" i="1"/>
  <c r="AI864" i="1"/>
  <c r="AI866" i="1"/>
  <c r="AI869" i="1"/>
  <c r="AI870" i="1"/>
  <c r="AI873" i="1"/>
  <c r="AI875" i="1"/>
  <c r="AI879" i="1"/>
  <c r="AI882" i="1"/>
  <c r="AI884" i="1"/>
  <c r="AI886" i="1"/>
  <c r="AI888" i="1"/>
  <c r="AI890" i="1"/>
  <c r="AI892" i="1"/>
  <c r="AI894" i="1"/>
  <c r="AI896" i="1"/>
  <c r="AI898" i="1"/>
  <c r="AI901" i="1"/>
  <c r="AI903" i="1"/>
  <c r="AI904" i="1"/>
  <c r="AI907" i="1"/>
  <c r="AI909" i="1"/>
  <c r="AI912" i="1"/>
  <c r="AC697" i="1"/>
  <c r="AC703" i="1"/>
  <c r="AC706" i="1"/>
  <c r="AC712" i="1"/>
  <c r="AC715" i="1"/>
  <c r="AC719" i="1"/>
  <c r="AC728" i="1"/>
  <c r="AC736" i="1"/>
  <c r="AC740" i="1"/>
  <c r="Z743" i="1"/>
  <c r="Z745" i="1"/>
  <c r="Z748" i="1"/>
  <c r="Z751" i="1"/>
  <c r="Z753" i="1"/>
  <c r="Z757" i="1"/>
  <c r="Z760" i="1"/>
  <c r="Z762" i="1"/>
  <c r="Z764" i="1"/>
  <c r="Z766" i="1"/>
  <c r="Z769" i="1"/>
  <c r="Z772" i="1"/>
  <c r="Z774" i="1"/>
  <c r="Z777" i="1"/>
  <c r="Z780" i="1"/>
  <c r="Z781" i="1"/>
  <c r="Z783" i="1"/>
  <c r="Z788" i="1"/>
  <c r="Z791" i="1"/>
  <c r="Z795" i="1"/>
  <c r="Z798" i="1"/>
  <c r="Z801" i="1"/>
  <c r="Z803" i="1"/>
  <c r="Z806" i="1"/>
  <c r="Z810" i="1"/>
  <c r="Z813" i="1"/>
  <c r="Z817" i="1"/>
  <c r="Z820" i="1"/>
  <c r="Z822" i="1"/>
  <c r="Z827" i="1"/>
  <c r="AC696" i="1"/>
  <c r="AC701" i="1"/>
  <c r="AC705" i="1"/>
  <c r="AC713" i="1"/>
  <c r="AC717" i="1"/>
  <c r="AC721" i="1"/>
  <c r="AC724" i="1"/>
  <c r="AC726" i="1"/>
  <c r="AC729" i="1"/>
  <c r="AC735" i="1"/>
  <c r="AC738" i="1"/>
  <c r="AC742" i="1"/>
  <c r="AC699" i="1"/>
  <c r="AC702" i="1"/>
  <c r="AC708" i="1"/>
  <c r="AC711" i="1"/>
  <c r="AC716" i="1"/>
  <c r="AC720" i="1"/>
  <c r="AC722" i="1"/>
  <c r="AC727" i="1"/>
  <c r="AC731" i="1"/>
  <c r="AC734" i="1"/>
  <c r="AC739" i="1"/>
  <c r="Z746" i="1"/>
  <c r="Z750" i="1"/>
  <c r="Z754" i="1"/>
  <c r="Z759" i="1"/>
  <c r="Z763" i="1"/>
  <c r="Z770" i="1"/>
  <c r="Z775" i="1"/>
  <c r="Z779" i="1"/>
  <c r="Z782" i="1"/>
  <c r="Z785" i="1"/>
  <c r="Z789" i="1"/>
  <c r="Z793" i="1"/>
  <c r="Z796" i="1"/>
  <c r="Z802" i="1"/>
  <c r="Z808" i="1"/>
  <c r="Z811" i="1"/>
  <c r="Z818" i="1"/>
  <c r="Z824" i="1"/>
  <c r="Z828" i="1"/>
  <c r="Z832" i="1"/>
  <c r="Z835" i="1"/>
  <c r="Z837" i="1"/>
  <c r="Z840" i="1"/>
  <c r="Z842" i="1"/>
  <c r="Z845" i="1"/>
  <c r="Z847" i="1"/>
  <c r="Z850" i="1"/>
  <c r="Z853" i="1"/>
  <c r="Z855" i="1"/>
  <c r="Z858" i="1"/>
  <c r="Z861" i="1"/>
  <c r="Z863" i="1"/>
  <c r="Z865" i="1"/>
  <c r="Z867" i="1"/>
  <c r="Z869" i="1"/>
  <c r="Z871" i="1"/>
  <c r="Z873" i="1"/>
  <c r="Z875" i="1"/>
  <c r="Z877" i="1"/>
  <c r="Z879" i="1"/>
  <c r="Z882" i="1"/>
  <c r="Z886" i="1"/>
  <c r="Z889" i="1"/>
  <c r="Z892" i="1"/>
  <c r="Z897" i="1"/>
  <c r="Z899" i="1"/>
  <c r="Z903" i="1"/>
  <c r="Z906" i="1"/>
  <c r="Z911" i="1"/>
  <c r="Z747" i="1"/>
  <c r="Z756" i="1"/>
  <c r="Z768" i="1"/>
  <c r="Z773" i="1"/>
  <c r="Z786" i="1"/>
  <c r="Z792" i="1"/>
  <c r="Z799" i="1"/>
  <c r="Z805" i="1"/>
  <c r="Z809" i="1"/>
  <c r="Z815" i="1"/>
  <c r="Z825" i="1"/>
  <c r="Z830" i="1"/>
  <c r="Z880" i="1"/>
  <c r="Z884" i="1"/>
  <c r="Z887" i="1"/>
  <c r="Z891" i="1"/>
  <c r="Z895" i="1"/>
  <c r="Z901" i="1"/>
  <c r="Z904" i="1"/>
  <c r="Z908" i="1"/>
  <c r="Z910" i="1"/>
  <c r="Z913" i="1"/>
  <c r="Z744" i="1"/>
  <c r="Z749" i="1"/>
  <c r="Z752" i="1"/>
  <c r="Z755" i="1"/>
  <c r="Z758" i="1"/>
  <c r="Z761" i="1"/>
  <c r="Z765" i="1"/>
  <c r="Z767" i="1"/>
  <c r="Z771" i="1"/>
  <c r="Z776" i="1"/>
  <c r="Z778" i="1"/>
  <c r="Z784" i="1"/>
  <c r="Z787" i="1"/>
  <c r="Z790" i="1"/>
  <c r="Z794" i="1"/>
  <c r="Z797" i="1"/>
  <c r="Z800" i="1"/>
  <c r="Z804" i="1"/>
  <c r="Z807" i="1"/>
  <c r="Z812" i="1"/>
  <c r="Z814" i="1"/>
  <c r="Z816" i="1"/>
  <c r="Z819" i="1"/>
  <c r="Z821" i="1"/>
  <c r="Z823" i="1"/>
  <c r="Z826" i="1"/>
  <c r="Z829" i="1"/>
  <c r="Z831" i="1"/>
  <c r="Z833" i="1"/>
  <c r="Z834" i="1"/>
  <c r="Z836" i="1"/>
  <c r="Z838" i="1"/>
  <c r="Z839" i="1"/>
  <c r="Z841" i="1"/>
  <c r="Z843" i="1"/>
  <c r="Z844" i="1"/>
  <c r="Z846" i="1"/>
  <c r="Z848" i="1"/>
  <c r="Z849" i="1"/>
  <c r="Z851" i="1"/>
  <c r="Z852" i="1"/>
  <c r="Z854" i="1"/>
  <c r="Z856" i="1"/>
  <c r="Z857" i="1"/>
  <c r="Z859" i="1"/>
  <c r="Z860" i="1"/>
  <c r="Z862" i="1"/>
  <c r="Z864" i="1"/>
  <c r="Z866" i="1"/>
  <c r="Z868" i="1"/>
  <c r="Z870" i="1"/>
  <c r="Z872" i="1"/>
  <c r="Z874" i="1"/>
  <c r="Z876" i="1"/>
  <c r="Z878" i="1"/>
  <c r="Z881" i="1"/>
  <c r="Z883" i="1"/>
  <c r="Z885" i="1"/>
  <c r="Z888" i="1"/>
  <c r="Z890" i="1"/>
  <c r="Z893" i="1"/>
  <c r="Z894" i="1"/>
  <c r="Z896" i="1"/>
  <c r="Z898" i="1"/>
  <c r="Z900" i="1"/>
  <c r="Z902" i="1"/>
  <c r="Z905" i="1"/>
  <c r="Z907" i="1"/>
  <c r="Z909" i="1"/>
  <c r="Z912" i="1"/>
  <c r="Z2" i="1"/>
  <c r="Z3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82" i="1"/>
  <c r="Z83" i="1"/>
  <c r="Z84" i="1"/>
  <c r="Z85" i="1"/>
  <c r="Z86" i="1"/>
  <c r="Z87" i="1"/>
  <c r="Z88" i="1"/>
  <c r="Z89" i="1"/>
  <c r="Z90" i="1"/>
  <c r="Z91" i="1"/>
  <c r="Z92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9" i="1"/>
  <c r="Z110" i="1"/>
  <c r="Z112" i="1"/>
  <c r="Z113" i="1"/>
  <c r="Z114" i="1"/>
  <c r="Z115" i="1"/>
  <c r="Z117" i="1"/>
  <c r="Z118" i="1"/>
  <c r="Z120" i="1"/>
  <c r="Z122" i="1"/>
  <c r="Z124" i="1"/>
  <c r="Z126" i="1"/>
  <c r="Z128" i="1"/>
  <c r="Z131" i="1"/>
  <c r="Z134" i="1"/>
  <c r="Z138" i="1"/>
  <c r="Z142" i="1"/>
  <c r="Z146" i="1"/>
  <c r="Z149" i="1"/>
  <c r="Z153" i="1"/>
  <c r="Z157" i="1"/>
  <c r="Z158" i="1"/>
  <c r="Z162" i="1"/>
  <c r="Z165" i="1"/>
  <c r="Z167" i="1"/>
  <c r="Z171" i="1"/>
  <c r="Z175" i="1"/>
  <c r="Z179" i="1"/>
  <c r="Z182" i="1"/>
  <c r="Z185" i="1"/>
  <c r="Z189" i="1"/>
  <c r="Z194" i="1"/>
  <c r="Z199" i="1"/>
  <c r="Z201" i="1"/>
  <c r="Z207" i="1"/>
  <c r="Z210" i="1"/>
  <c r="Z215" i="1"/>
  <c r="Z218" i="1"/>
  <c r="Z223" i="1"/>
  <c r="Z229" i="1"/>
  <c r="Z231" i="1"/>
  <c r="Z235" i="1"/>
  <c r="Z239" i="1"/>
  <c r="Z245" i="1"/>
  <c r="Z247" i="1"/>
  <c r="Z253" i="1"/>
  <c r="Z258" i="1"/>
  <c r="Z263" i="1"/>
  <c r="Z266" i="1"/>
  <c r="Z270" i="1"/>
  <c r="Z273" i="1"/>
  <c r="Z277" i="1"/>
  <c r="Z280" i="1"/>
  <c r="Z283" i="1"/>
  <c r="Z286" i="1"/>
  <c r="Z290" i="1"/>
  <c r="Z295" i="1"/>
  <c r="Z298" i="1"/>
  <c r="Z303" i="1"/>
  <c r="Z308" i="1"/>
  <c r="Z314" i="1"/>
  <c r="Z319" i="1"/>
  <c r="Z323" i="1"/>
  <c r="Z328" i="1"/>
  <c r="Z331" i="1"/>
  <c r="Z335" i="1"/>
  <c r="Z339" i="1"/>
  <c r="Z345" i="1"/>
  <c r="Z350" i="1"/>
  <c r="Z353" i="1"/>
  <c r="Z360" i="1"/>
  <c r="Z377" i="1"/>
  <c r="Z384" i="1"/>
  <c r="Z388" i="1"/>
  <c r="Z394" i="1"/>
  <c r="Z400" i="1"/>
  <c r="Z406" i="1"/>
  <c r="Z412" i="1"/>
  <c r="Z417" i="1"/>
  <c r="Z420" i="1"/>
  <c r="Z424" i="1"/>
  <c r="Z426" i="1"/>
  <c r="Z431" i="1"/>
  <c r="Z434" i="1"/>
  <c r="Z441" i="1"/>
  <c r="Z445" i="1"/>
  <c r="Z449" i="1"/>
  <c r="Z454" i="1"/>
  <c r="Z457" i="1"/>
  <c r="Z459" i="1"/>
  <c r="Z462" i="1"/>
  <c r="Z465" i="1"/>
  <c r="Z470" i="1"/>
  <c r="Z475" i="1"/>
  <c r="Z479" i="1"/>
  <c r="Z482" i="1"/>
  <c r="Z485" i="1"/>
  <c r="Z488" i="1"/>
  <c r="Z491" i="1"/>
  <c r="Z496" i="1"/>
  <c r="Z499" i="1"/>
  <c r="Z502" i="1"/>
  <c r="Z505" i="1"/>
  <c r="Z507" i="1"/>
  <c r="Z510" i="1"/>
  <c r="Z514" i="1"/>
  <c r="Z516" i="1"/>
  <c r="Z520" i="1"/>
  <c r="Z523" i="1"/>
  <c r="Z527" i="1"/>
  <c r="Z530" i="1"/>
  <c r="Z532" i="1"/>
  <c r="Z536" i="1"/>
  <c r="Z540" i="1"/>
  <c r="Z543" i="1"/>
  <c r="Z547" i="1"/>
  <c r="Z551" i="1"/>
  <c r="Z554" i="1"/>
  <c r="Z558" i="1"/>
  <c r="Z560" i="1"/>
  <c r="Z563" i="1"/>
  <c r="Z564" i="1"/>
  <c r="Z567" i="1"/>
  <c r="Z569" i="1"/>
  <c r="Z570" i="1"/>
  <c r="Z574" i="1"/>
  <c r="Z577" i="1"/>
  <c r="Z579" i="1"/>
  <c r="Z581" i="1"/>
  <c r="Z583" i="1"/>
  <c r="Z586" i="1"/>
  <c r="Z589" i="1"/>
  <c r="Z591" i="1"/>
  <c r="Z593" i="1"/>
  <c r="Z597" i="1"/>
  <c r="Z599" i="1"/>
  <c r="Z605" i="1"/>
  <c r="Z610" i="1"/>
  <c r="Z616" i="1"/>
  <c r="Z620" i="1"/>
  <c r="Z624" i="1"/>
  <c r="Z629" i="1"/>
  <c r="Z634" i="1"/>
  <c r="Z636" i="1"/>
  <c r="Z640" i="1"/>
  <c r="Z642" i="1"/>
  <c r="Z647" i="1"/>
  <c r="Z650" i="1"/>
  <c r="Z652" i="1"/>
  <c r="Z656" i="1"/>
  <c r="Z658" i="1"/>
  <c r="Z80" i="1"/>
  <c r="Z119" i="1"/>
  <c r="Z125" i="1"/>
  <c r="Z129" i="1"/>
  <c r="Z133" i="1"/>
  <c r="Z137" i="1"/>
  <c r="Z140" i="1"/>
  <c r="Z143" i="1"/>
  <c r="Z147" i="1"/>
  <c r="Z151" i="1"/>
  <c r="Z154" i="1"/>
  <c r="Z159" i="1"/>
  <c r="Z164" i="1"/>
  <c r="Z170" i="1"/>
  <c r="Z174" i="1"/>
  <c r="Z178" i="1"/>
  <c r="Z183" i="1"/>
  <c r="Z187" i="1"/>
  <c r="Z192" i="1"/>
  <c r="Z197" i="1"/>
  <c r="Z205" i="1"/>
  <c r="Z213" i="1"/>
  <c r="Z221" i="1"/>
  <c r="Z226" i="1"/>
  <c r="Z234" i="1"/>
  <c r="Z238" i="1"/>
  <c r="Z243" i="1"/>
  <c r="Z250" i="1"/>
  <c r="Z255" i="1"/>
  <c r="Z261" i="1"/>
  <c r="Z268" i="1"/>
  <c r="Z275" i="1"/>
  <c r="Z285" i="1"/>
  <c r="Z288" i="1"/>
  <c r="Z292" i="1"/>
  <c r="Z299" i="1"/>
  <c r="Z304" i="1"/>
  <c r="Z307" i="1"/>
  <c r="Z311" i="1"/>
  <c r="Z317" i="1"/>
  <c r="Z321" i="1"/>
  <c r="Z326" i="1"/>
  <c r="Z332" i="1"/>
  <c r="Z341" i="1"/>
  <c r="Z344" i="1"/>
  <c r="Z349" i="1"/>
  <c r="Z354" i="1"/>
  <c r="Z358" i="1"/>
  <c r="Z364" i="1"/>
  <c r="Z368" i="1"/>
  <c r="Z371" i="1"/>
  <c r="Z375" i="1"/>
  <c r="Z381" i="1"/>
  <c r="Z386" i="1"/>
  <c r="Z391" i="1"/>
  <c r="Z398" i="1"/>
  <c r="Z403" i="1"/>
  <c r="Z409" i="1"/>
  <c r="Z413" i="1"/>
  <c r="Z418" i="1"/>
  <c r="Z429" i="1"/>
  <c r="Z435" i="1"/>
  <c r="Z443" i="1"/>
  <c r="Z450" i="1"/>
  <c r="Z455" i="1"/>
  <c r="Z460" i="1"/>
  <c r="Z473" i="1"/>
  <c r="Z478" i="1"/>
  <c r="Z484" i="1"/>
  <c r="Z489" i="1"/>
  <c r="Z492" i="1"/>
  <c r="Z495" i="1"/>
  <c r="Z500" i="1"/>
  <c r="Z503" i="1"/>
  <c r="Z508" i="1"/>
  <c r="Z512" i="1"/>
  <c r="Z517" i="1"/>
  <c r="Z522" i="1"/>
  <c r="Z526" i="1"/>
  <c r="Z531" i="1"/>
  <c r="Z535" i="1"/>
  <c r="Z539" i="1"/>
  <c r="Z544" i="1"/>
  <c r="Z548" i="1"/>
  <c r="Z555" i="1"/>
  <c r="Z559" i="1"/>
  <c r="Z596" i="1"/>
  <c r="Z602" i="1"/>
  <c r="Z611" i="1"/>
  <c r="Z617" i="1"/>
  <c r="Z623" i="1"/>
  <c r="Z631" i="1"/>
  <c r="Z646" i="1"/>
  <c r="Z655" i="1"/>
  <c r="Z81" i="1"/>
  <c r="Z79" i="1"/>
  <c r="Z130" i="1"/>
  <c r="Z136" i="1"/>
  <c r="Z141" i="1"/>
  <c r="Z144" i="1"/>
  <c r="Z148" i="1"/>
  <c r="Z152" i="1"/>
  <c r="Z155" i="1"/>
  <c r="Z161" i="1"/>
  <c r="Z166" i="1"/>
  <c r="Z169" i="1"/>
  <c r="Z173" i="1"/>
  <c r="Z177" i="1"/>
  <c r="Z181" i="1"/>
  <c r="Z186" i="1"/>
  <c r="Z193" i="1"/>
  <c r="Z202" i="1"/>
  <c r="Z209" i="1"/>
  <c r="Z216" i="1"/>
  <c r="Z222" i="1"/>
  <c r="Z227" i="1"/>
  <c r="Z232" i="1"/>
  <c r="Z237" i="1"/>
  <c r="Z242" i="1"/>
  <c r="Z248" i="1"/>
  <c r="Z256" i="1"/>
  <c r="Z264" i="1"/>
  <c r="Z272" i="1"/>
  <c r="Z279" i="1"/>
  <c r="Z289" i="1"/>
  <c r="Z296" i="1"/>
  <c r="Z301" i="1"/>
  <c r="Z309" i="1"/>
  <c r="Z320" i="1"/>
  <c r="Z325" i="1"/>
  <c r="Z333" i="1"/>
  <c r="Z337" i="1"/>
  <c r="Z342" i="1"/>
  <c r="Z348" i="1"/>
  <c r="Z356" i="1"/>
  <c r="Z361" i="1"/>
  <c r="Z365" i="1"/>
  <c r="Z369" i="1"/>
  <c r="Z373" i="1"/>
  <c r="Z378" i="1"/>
  <c r="Z382" i="1"/>
  <c r="Z387" i="1"/>
  <c r="Z392" i="1"/>
  <c r="Z397" i="1"/>
  <c r="Z401" i="1"/>
  <c r="Z405" i="1"/>
  <c r="Z410" i="1"/>
  <c r="Z414" i="1"/>
  <c r="Z419" i="1"/>
  <c r="Z428" i="1"/>
  <c r="Z433" i="1"/>
  <c r="Z437" i="1"/>
  <c r="Z442" i="1"/>
  <c r="Z447" i="1"/>
  <c r="Z452" i="1"/>
  <c r="Z464" i="1"/>
  <c r="Z468" i="1"/>
  <c r="Z472" i="1"/>
  <c r="Z477" i="1"/>
  <c r="Z483" i="1"/>
  <c r="Z487" i="1"/>
  <c r="Z490" i="1"/>
  <c r="Z494" i="1"/>
  <c r="Z498" i="1"/>
  <c r="Z501" i="1"/>
  <c r="Z506" i="1"/>
  <c r="Z509" i="1"/>
  <c r="Z513" i="1"/>
  <c r="Z518" i="1"/>
  <c r="Z521" i="1"/>
  <c r="Z525" i="1"/>
  <c r="Z529" i="1"/>
  <c r="Z534" i="1"/>
  <c r="Z538" i="1"/>
  <c r="Z542" i="1"/>
  <c r="Z546" i="1"/>
  <c r="Z550" i="1"/>
  <c r="Z553" i="1"/>
  <c r="Z557" i="1"/>
  <c r="Z561" i="1"/>
  <c r="Z565" i="1"/>
  <c r="Z595" i="1"/>
  <c r="Z603" i="1"/>
  <c r="Z607" i="1"/>
  <c r="Z614" i="1"/>
  <c r="Z619" i="1"/>
  <c r="Z625" i="1"/>
  <c r="Z633" i="1"/>
  <c r="Z638" i="1"/>
  <c r="Z645" i="1"/>
  <c r="Z653" i="1"/>
  <c r="Z78" i="1"/>
  <c r="Z108" i="1"/>
  <c r="Z111" i="1"/>
  <c r="Z190" i="1"/>
  <c r="Z195" i="1"/>
  <c r="Z198" i="1"/>
  <c r="Z200" i="1"/>
  <c r="Z203" i="1"/>
  <c r="Z206" i="1"/>
  <c r="Z208" i="1"/>
  <c r="Z211" i="1"/>
  <c r="Z212" i="1"/>
  <c r="Z217" i="1"/>
  <c r="Z219" i="1"/>
  <c r="Z224" i="1"/>
  <c r="Z228" i="1"/>
  <c r="Z230" i="1"/>
  <c r="Z236" i="1"/>
  <c r="Z241" i="1"/>
  <c r="Z244" i="1"/>
  <c r="Z249" i="1"/>
  <c r="Z251" i="1"/>
  <c r="Z254" i="1"/>
  <c r="Z257" i="1"/>
  <c r="Z260" i="1"/>
  <c r="Z262" i="1"/>
  <c r="Z265" i="1"/>
  <c r="Z267" i="1"/>
  <c r="Z269" i="1"/>
  <c r="Z274" i="1"/>
  <c r="Z276" i="1"/>
  <c r="Z281" i="1"/>
  <c r="Z282" i="1"/>
  <c r="Z287" i="1"/>
  <c r="Z291" i="1"/>
  <c r="Z294" i="1"/>
  <c r="Z297" i="1"/>
  <c r="Z302" i="1"/>
  <c r="Z306" i="1"/>
  <c r="Z310" i="1"/>
  <c r="Z313" i="1"/>
  <c r="Z315" i="1"/>
  <c r="Z318" i="1"/>
  <c r="Z324" i="1"/>
  <c r="Z329" i="1"/>
  <c r="Z330" i="1"/>
  <c r="Z336" i="1"/>
  <c r="Z338" i="1"/>
  <c r="Z346" i="1"/>
  <c r="Z351" i="1"/>
  <c r="Z352" i="1"/>
  <c r="Z357" i="1"/>
  <c r="Z359" i="1"/>
  <c r="Z362" i="1"/>
  <c r="Z366" i="1"/>
  <c r="Z372" i="1"/>
  <c r="Z374" i="1"/>
  <c r="Z376" i="1"/>
  <c r="Z380" i="1"/>
  <c r="Z383" i="1"/>
  <c r="Z389" i="1"/>
  <c r="Z393" i="1"/>
  <c r="Z396" i="1"/>
  <c r="Z399" i="1"/>
  <c r="Z404" i="1"/>
  <c r="Z407" i="1"/>
  <c r="Z411" i="1"/>
  <c r="Z416" i="1"/>
  <c r="Z421" i="1"/>
  <c r="Z423" i="1"/>
  <c r="Z425" i="1"/>
  <c r="Z427" i="1"/>
  <c r="Z430" i="1"/>
  <c r="Z436" i="1"/>
  <c r="Z438" i="1"/>
  <c r="Z440" i="1"/>
  <c r="Z444" i="1"/>
  <c r="Z448" i="1"/>
  <c r="Z453" i="1"/>
  <c r="Z456" i="1"/>
  <c r="Z458" i="1"/>
  <c r="Z461" i="1"/>
  <c r="Z467" i="1"/>
  <c r="Z469" i="1"/>
  <c r="Z474" i="1"/>
  <c r="Z480" i="1"/>
  <c r="Z571" i="1"/>
  <c r="Z573" i="1"/>
  <c r="Z575" i="1"/>
  <c r="Z578" i="1"/>
  <c r="Z580" i="1"/>
  <c r="Z582" i="1"/>
  <c r="Z584" i="1"/>
  <c r="Z585" i="1"/>
  <c r="Z587" i="1"/>
  <c r="Z588" i="1"/>
  <c r="Z590" i="1"/>
  <c r="Z592" i="1"/>
  <c r="Z594" i="1"/>
  <c r="Z598" i="1"/>
  <c r="Z600" i="1"/>
  <c r="Z601" i="1"/>
  <c r="Z604" i="1"/>
  <c r="Z606" i="1"/>
  <c r="Z609" i="1"/>
  <c r="Z612" i="1"/>
  <c r="Z615" i="1"/>
  <c r="Z618" i="1"/>
  <c r="Z622" i="1"/>
  <c r="Z626" i="1"/>
  <c r="Z628" i="1"/>
  <c r="Z630" i="1"/>
  <c r="Z635" i="1"/>
  <c r="Z637" i="1"/>
  <c r="Z641" i="1"/>
  <c r="Z643" i="1"/>
  <c r="Z648" i="1"/>
  <c r="Z649" i="1"/>
  <c r="Z651" i="1"/>
  <c r="Z654" i="1"/>
  <c r="Z657" i="1"/>
  <c r="Z93" i="1"/>
  <c r="Z116" i="1"/>
  <c r="Z121" i="1"/>
  <c r="Z123" i="1"/>
  <c r="Z127" i="1"/>
  <c r="Z132" i="1"/>
  <c r="Z135" i="1"/>
  <c r="Z139" i="1"/>
  <c r="Z145" i="1"/>
  <c r="Z150" i="1"/>
  <c r="Z156" i="1"/>
  <c r="Z160" i="1"/>
  <c r="Z163" i="1"/>
  <c r="Z168" i="1"/>
  <c r="Z172" i="1"/>
  <c r="Z176" i="1"/>
  <c r="Z180" i="1"/>
  <c r="Z184" i="1"/>
  <c r="Z188" i="1"/>
  <c r="Z191" i="1"/>
  <c r="Z196" i="1"/>
  <c r="Z204" i="1"/>
  <c r="Z214" i="1"/>
  <c r="Z220" i="1"/>
  <c r="Z225" i="1"/>
  <c r="Z233" i="1"/>
  <c r="Z240" i="1"/>
  <c r="Z246" i="1"/>
  <c r="Z252" i="1"/>
  <c r="Z259" i="1"/>
  <c r="Z271" i="1"/>
  <c r="Z278" i="1"/>
  <c r="Z284" i="1"/>
  <c r="Z293" i="1"/>
  <c r="Z300" i="1"/>
  <c r="Z305" i="1"/>
  <c r="Z312" i="1"/>
  <c r="Z316" i="1"/>
  <c r="Z322" i="1"/>
  <c r="Z327" i="1"/>
  <c r="Z334" i="1"/>
  <c r="Z340" i="1"/>
  <c r="Z343" i="1"/>
  <c r="Z347" i="1"/>
  <c r="Z355" i="1"/>
  <c r="Z363" i="1"/>
  <c r="Z367" i="1"/>
  <c r="Z370" i="1"/>
  <c r="Z379" i="1"/>
  <c r="Z385" i="1"/>
  <c r="Z390" i="1"/>
  <c r="Z395" i="1"/>
  <c r="Z402" i="1"/>
  <c r="Z408" i="1"/>
  <c r="Z415" i="1"/>
  <c r="Z422" i="1"/>
  <c r="Z432" i="1"/>
  <c r="Z439" i="1"/>
  <c r="Z446" i="1"/>
  <c r="Z451" i="1"/>
  <c r="Z463" i="1"/>
  <c r="Z466" i="1"/>
  <c r="Z471" i="1"/>
  <c r="Z476" i="1"/>
  <c r="Z481" i="1"/>
  <c r="Z486" i="1"/>
  <c r="Z493" i="1"/>
  <c r="Z497" i="1"/>
  <c r="Z504" i="1"/>
  <c r="Z511" i="1"/>
  <c r="Z515" i="1"/>
  <c r="Z519" i="1"/>
  <c r="Z524" i="1"/>
  <c r="Z528" i="1"/>
  <c r="Z533" i="1"/>
  <c r="Z537" i="1"/>
  <c r="Z541" i="1"/>
  <c r="Z545" i="1"/>
  <c r="Z549" i="1"/>
  <c r="Z552" i="1"/>
  <c r="Z556" i="1"/>
  <c r="Z562" i="1"/>
  <c r="Z566" i="1"/>
  <c r="Z568" i="1"/>
  <c r="Z572" i="1"/>
  <c r="Z576" i="1"/>
  <c r="Z608" i="1"/>
  <c r="Z613" i="1"/>
  <c r="Z621" i="1"/>
  <c r="Z627" i="1"/>
  <c r="Z632" i="1"/>
  <c r="Z639" i="1"/>
  <c r="Z644" i="1"/>
  <c r="AC660" i="1" l="1"/>
  <c r="AC664" i="1"/>
  <c r="AC669" i="1"/>
  <c r="AC671" i="1"/>
  <c r="AC676" i="1"/>
  <c r="AC681" i="1"/>
  <c r="AC685" i="1"/>
  <c r="AC690" i="1"/>
  <c r="AC693" i="1"/>
  <c r="AC665" i="1"/>
  <c r="AC667" i="1"/>
  <c r="AC670" i="1"/>
  <c r="AC674" i="1"/>
  <c r="AC679" i="1"/>
  <c r="AC682" i="1"/>
  <c r="AC686" i="1"/>
  <c r="AC691" i="1"/>
  <c r="AC659" i="1"/>
  <c r="AC663" i="1"/>
  <c r="AC668" i="1"/>
  <c r="AC673" i="1"/>
  <c r="AC677" i="1"/>
  <c r="AC680" i="1"/>
  <c r="AC683" i="1"/>
  <c r="AC688" i="1"/>
  <c r="AC692" i="1"/>
  <c r="AC694" i="1"/>
  <c r="AC698" i="1"/>
  <c r="AC704" i="1"/>
  <c r="AC707" i="1"/>
  <c r="AC710" i="1"/>
  <c r="AC661" i="1"/>
  <c r="AC675" i="1"/>
  <c r="AC687" i="1"/>
  <c r="AC700" i="1"/>
  <c r="AC709" i="1"/>
  <c r="AC723" i="1"/>
  <c r="AC732" i="1"/>
  <c r="AC662" i="1"/>
  <c r="AC666" i="1"/>
  <c r="AC672" i="1"/>
  <c r="AC678" i="1"/>
  <c r="AC684" i="1"/>
  <c r="AC689" i="1"/>
  <c r="AC695" i="1"/>
  <c r="AC714" i="1"/>
  <c r="AC718" i="1"/>
  <c r="AC725" i="1"/>
  <c r="AC730" i="1"/>
  <c r="AC733" i="1"/>
  <c r="AC737" i="1"/>
  <c r="AC741" i="1"/>
  <c r="AD662" i="1"/>
  <c r="AD671" i="1"/>
  <c r="AD677" i="1"/>
  <c r="AD680" i="1"/>
  <c r="AD684" i="1"/>
  <c r="AD688" i="1"/>
  <c r="AD692" i="1"/>
  <c r="AD697" i="1"/>
  <c r="AD701" i="1"/>
  <c r="AD704" i="1"/>
  <c r="AD708" i="1"/>
  <c r="AD711" i="1"/>
  <c r="AD714" i="1"/>
  <c r="AD717" i="1"/>
  <c r="AD720" i="1"/>
  <c r="AD724" i="1"/>
  <c r="AD728" i="1"/>
  <c r="AD733" i="1"/>
  <c r="AD737" i="1"/>
  <c r="AD741" i="1"/>
  <c r="AD663" i="1"/>
  <c r="AD660" i="1"/>
  <c r="AD665" i="1"/>
  <c r="AD666" i="1"/>
  <c r="AD668" i="1"/>
  <c r="AD672" i="1"/>
  <c r="AD675" i="1"/>
  <c r="AD679" i="1"/>
  <c r="AD682" i="1"/>
  <c r="AD687" i="1"/>
  <c r="AD690" i="1"/>
  <c r="AD695" i="1"/>
  <c r="AD698" i="1"/>
  <c r="AD703" i="1"/>
  <c r="AD707" i="1"/>
  <c r="AD710" i="1"/>
  <c r="AD715" i="1"/>
  <c r="AD718" i="1"/>
  <c r="AD721" i="1"/>
  <c r="AD725" i="1"/>
  <c r="AD729" i="1"/>
  <c r="AD732" i="1"/>
  <c r="AD735" i="1"/>
  <c r="AD738" i="1"/>
  <c r="AD659" i="1"/>
  <c r="AD664" i="1"/>
  <c r="AD667" i="1"/>
  <c r="AD669" i="1"/>
  <c r="AD673" i="1"/>
  <c r="AD674" i="1"/>
  <c r="AD678" i="1"/>
  <c r="AD683" i="1"/>
  <c r="AD686" i="1"/>
  <c r="AD691" i="1"/>
  <c r="AD694" i="1"/>
  <c r="AD699" i="1"/>
  <c r="AD702" i="1"/>
  <c r="AD706" i="1"/>
  <c r="AD709" i="1"/>
  <c r="AD712" i="1"/>
  <c r="AD716" i="1"/>
  <c r="AD722" i="1"/>
  <c r="AD726" i="1"/>
  <c r="AD731" i="1"/>
  <c r="AD734" i="1"/>
  <c r="AD739" i="1"/>
  <c r="AD742" i="1"/>
  <c r="AD661" i="1"/>
  <c r="AD670" i="1"/>
  <c r="AD676" i="1"/>
  <c r="AD681" i="1"/>
  <c r="AD685" i="1"/>
  <c r="AD689" i="1"/>
  <c r="AD693" i="1"/>
  <c r="AD696" i="1"/>
  <c r="AD700" i="1"/>
  <c r="AD705" i="1"/>
  <c r="AD713" i="1"/>
  <c r="AD719" i="1"/>
  <c r="AD723" i="1"/>
  <c r="AD727" i="1"/>
  <c r="AD730" i="1"/>
  <c r="AD736" i="1"/>
  <c r="AD740" i="1"/>
  <c r="AC743" i="1"/>
  <c r="AD743" i="1"/>
  <c r="AC745" i="1"/>
  <c r="AD745" i="1"/>
  <c r="AC748" i="1"/>
  <c r="AD748" i="1"/>
  <c r="AC751" i="1"/>
  <c r="AD751" i="1"/>
  <c r="AC753" i="1"/>
  <c r="AD753" i="1"/>
  <c r="AC757" i="1"/>
  <c r="AD757" i="1"/>
  <c r="AC760" i="1"/>
  <c r="AD760" i="1"/>
  <c r="AC762" i="1"/>
  <c r="AD762" i="1"/>
  <c r="AC764" i="1"/>
  <c r="AD764" i="1"/>
  <c r="AC766" i="1"/>
  <c r="AC769" i="1"/>
  <c r="AD769" i="1"/>
  <c r="AC772" i="1"/>
  <c r="AD772" i="1"/>
  <c r="AC774" i="1"/>
  <c r="AC777" i="1"/>
  <c r="AD777" i="1"/>
  <c r="AC780" i="1"/>
  <c r="AC781" i="1"/>
  <c r="AD781" i="1"/>
  <c r="AC783" i="1"/>
  <c r="AC788" i="1"/>
  <c r="AD788" i="1"/>
  <c r="AC791" i="1"/>
  <c r="AD791" i="1"/>
  <c r="AC795" i="1"/>
  <c r="AD795" i="1"/>
  <c r="AC798" i="1"/>
  <c r="AD798" i="1"/>
  <c r="AC801" i="1"/>
  <c r="AC803" i="1"/>
  <c r="AC806" i="1"/>
  <c r="AD806" i="1"/>
  <c r="AC810" i="1"/>
  <c r="AD810" i="1"/>
  <c r="AC813" i="1"/>
  <c r="AD813" i="1"/>
  <c r="AC817" i="1"/>
  <c r="AD817" i="1"/>
  <c r="AC820" i="1"/>
  <c r="AD820" i="1"/>
  <c r="AC822" i="1"/>
  <c r="AD822" i="1"/>
  <c r="AC827" i="1"/>
  <c r="AD827" i="1"/>
  <c r="AC746" i="1"/>
  <c r="AD746" i="1"/>
  <c r="AC750" i="1"/>
  <c r="AD750" i="1"/>
  <c r="AC754" i="1"/>
  <c r="AD754" i="1"/>
  <c r="AC759" i="1"/>
  <c r="AD759" i="1"/>
  <c r="AC763" i="1"/>
  <c r="AD763" i="1"/>
  <c r="AC770" i="1"/>
  <c r="AD770" i="1"/>
  <c r="AC775" i="1"/>
  <c r="AD775" i="1"/>
  <c r="AC779" i="1"/>
  <c r="AD779" i="1"/>
  <c r="AC782" i="1"/>
  <c r="AD782" i="1"/>
  <c r="AC785" i="1"/>
  <c r="AD785" i="1"/>
  <c r="AC789" i="1"/>
  <c r="AD789" i="1"/>
  <c r="AC793" i="1"/>
  <c r="AD793" i="1"/>
  <c r="AC796" i="1"/>
  <c r="AD796" i="1"/>
  <c r="AC802" i="1"/>
  <c r="AD802" i="1"/>
  <c r="AC808" i="1"/>
  <c r="AD808" i="1"/>
  <c r="AC811" i="1"/>
  <c r="AD811" i="1"/>
  <c r="AC818" i="1"/>
  <c r="AD818" i="1"/>
  <c r="AC824" i="1"/>
  <c r="AD824" i="1"/>
  <c r="AC828" i="1"/>
  <c r="AD828" i="1"/>
  <c r="AC832" i="1"/>
  <c r="AD832" i="1"/>
  <c r="AC835" i="1"/>
  <c r="AD835" i="1"/>
  <c r="AC837" i="1"/>
  <c r="AD837" i="1"/>
  <c r="AC840" i="1"/>
  <c r="AD840" i="1"/>
  <c r="AC842" i="1"/>
  <c r="AD842" i="1"/>
  <c r="AC845" i="1"/>
  <c r="AD845" i="1"/>
  <c r="AC847" i="1"/>
  <c r="AD847" i="1"/>
  <c r="AC850" i="1"/>
  <c r="AD850" i="1"/>
  <c r="AC853" i="1"/>
  <c r="AD853" i="1"/>
  <c r="AC855" i="1"/>
  <c r="AD855" i="1"/>
  <c r="AC858" i="1"/>
  <c r="AD858" i="1"/>
  <c r="AC861" i="1"/>
  <c r="AD861" i="1"/>
  <c r="AC863" i="1"/>
  <c r="AD863" i="1"/>
  <c r="AC865" i="1"/>
  <c r="AD865" i="1"/>
  <c r="AC867" i="1"/>
  <c r="AD867" i="1"/>
  <c r="AC869" i="1"/>
  <c r="AD869" i="1"/>
  <c r="AC871" i="1"/>
  <c r="AC873" i="1"/>
  <c r="AD873" i="1"/>
  <c r="AC875" i="1"/>
  <c r="AD875" i="1"/>
  <c r="AC877" i="1"/>
  <c r="AD877" i="1"/>
  <c r="AC879" i="1"/>
  <c r="AD879" i="1"/>
  <c r="AC882" i="1"/>
  <c r="AD882" i="1"/>
  <c r="AC886" i="1"/>
  <c r="AD886" i="1"/>
  <c r="AC889" i="1"/>
  <c r="AD889" i="1"/>
  <c r="AC892" i="1"/>
  <c r="AD892" i="1"/>
  <c r="AC897" i="1"/>
  <c r="AD897" i="1"/>
  <c r="AC899" i="1"/>
  <c r="AC903" i="1"/>
  <c r="AD903" i="1"/>
  <c r="AC906" i="1"/>
  <c r="AD906" i="1"/>
  <c r="AC911" i="1"/>
  <c r="AD911" i="1"/>
  <c r="AC747" i="1"/>
  <c r="AD747" i="1"/>
  <c r="AC756" i="1"/>
  <c r="AD756" i="1"/>
  <c r="AC768" i="1"/>
  <c r="AD768" i="1"/>
  <c r="AC773" i="1"/>
  <c r="AC786" i="1"/>
  <c r="AC792" i="1"/>
  <c r="AD792" i="1"/>
  <c r="AC799" i="1"/>
  <c r="AD799" i="1"/>
  <c r="AC805" i="1"/>
  <c r="AC809" i="1"/>
  <c r="AD809" i="1"/>
  <c r="AC815" i="1"/>
  <c r="AD815" i="1"/>
  <c r="AC825" i="1"/>
  <c r="AD825" i="1"/>
  <c r="AC830" i="1"/>
  <c r="AD830" i="1"/>
  <c r="AC880" i="1"/>
  <c r="AD880" i="1"/>
  <c r="AC884" i="1"/>
  <c r="AD884" i="1"/>
  <c r="AC887" i="1"/>
  <c r="AD887" i="1"/>
  <c r="AC891" i="1"/>
  <c r="AD891" i="1"/>
  <c r="AC895" i="1"/>
  <c r="AD895" i="1"/>
  <c r="AC901" i="1"/>
  <c r="AD901" i="1"/>
  <c r="AC904" i="1"/>
  <c r="AC908" i="1"/>
  <c r="AD908" i="1"/>
  <c r="AC910" i="1"/>
  <c r="AD910" i="1"/>
  <c r="AC913" i="1"/>
  <c r="AD913" i="1"/>
  <c r="AC744" i="1"/>
  <c r="AD744" i="1"/>
  <c r="AC749" i="1"/>
  <c r="AD749" i="1"/>
  <c r="AC752" i="1"/>
  <c r="AD752" i="1"/>
  <c r="AC755" i="1"/>
  <c r="AD755" i="1"/>
  <c r="AC758" i="1"/>
  <c r="AD758" i="1"/>
  <c r="AC761" i="1"/>
  <c r="AD761" i="1"/>
  <c r="AC765" i="1"/>
  <c r="AD765" i="1"/>
  <c r="AC767" i="1"/>
  <c r="AD767" i="1"/>
  <c r="AC771" i="1"/>
  <c r="AD771" i="1"/>
  <c r="AC776" i="1"/>
  <c r="AD776" i="1"/>
  <c r="AC778" i="1"/>
  <c r="AD778" i="1"/>
  <c r="AC784" i="1"/>
  <c r="AD784" i="1"/>
  <c r="AC787" i="1"/>
  <c r="AD787" i="1"/>
  <c r="AC790" i="1"/>
  <c r="AD790" i="1"/>
  <c r="AC794" i="1"/>
  <c r="AD794" i="1"/>
  <c r="AC797" i="1"/>
  <c r="AD797" i="1"/>
  <c r="AC800" i="1"/>
  <c r="AD800" i="1"/>
  <c r="AC804" i="1"/>
  <c r="AD804" i="1"/>
  <c r="AC807" i="1"/>
  <c r="AD807" i="1"/>
  <c r="AC812" i="1"/>
  <c r="AD812" i="1"/>
  <c r="AC814" i="1"/>
  <c r="AD814" i="1"/>
  <c r="AC816" i="1"/>
  <c r="AD816" i="1"/>
  <c r="AC819" i="1"/>
  <c r="AD819" i="1"/>
  <c r="AC821" i="1"/>
  <c r="AD821" i="1"/>
  <c r="AC823" i="1"/>
  <c r="AD823" i="1"/>
  <c r="AC826" i="1"/>
  <c r="AD826" i="1"/>
  <c r="AC829" i="1"/>
  <c r="AD829" i="1"/>
  <c r="AC831" i="1"/>
  <c r="AD831" i="1"/>
  <c r="AC833" i="1"/>
  <c r="AD833" i="1"/>
  <c r="AC834" i="1"/>
  <c r="AD834" i="1"/>
  <c r="AC836" i="1"/>
  <c r="AD836" i="1"/>
  <c r="AC838" i="1"/>
  <c r="AD838" i="1"/>
  <c r="AC839" i="1"/>
  <c r="AD839" i="1"/>
  <c r="AC841" i="1"/>
  <c r="AD841" i="1"/>
  <c r="AC843" i="1"/>
  <c r="AD843" i="1"/>
  <c r="AC844" i="1"/>
  <c r="AD844" i="1"/>
  <c r="AC846" i="1"/>
  <c r="AD846" i="1"/>
  <c r="AC848" i="1"/>
  <c r="AD848" i="1"/>
  <c r="AC849" i="1"/>
  <c r="AD849" i="1"/>
  <c r="AC851" i="1"/>
  <c r="AD851" i="1"/>
  <c r="AC852" i="1"/>
  <c r="AD852" i="1"/>
  <c r="AC854" i="1"/>
  <c r="AD854" i="1"/>
  <c r="AC856" i="1"/>
  <c r="AD856" i="1"/>
  <c r="AC857" i="1"/>
  <c r="AD857" i="1"/>
  <c r="AC859" i="1"/>
  <c r="AD859" i="1"/>
  <c r="AC860" i="1"/>
  <c r="AD860" i="1"/>
  <c r="AC862" i="1"/>
  <c r="AD862" i="1"/>
  <c r="AC864" i="1"/>
  <c r="AD864" i="1"/>
  <c r="AC866" i="1"/>
  <c r="AD866" i="1"/>
  <c r="AC868" i="1"/>
  <c r="AD868" i="1"/>
  <c r="AC870" i="1"/>
  <c r="AD870" i="1"/>
  <c r="AC872" i="1"/>
  <c r="AD872" i="1"/>
  <c r="AC874" i="1"/>
  <c r="AC876" i="1"/>
  <c r="AD876" i="1"/>
  <c r="AC878" i="1"/>
  <c r="AD878" i="1"/>
  <c r="AC881" i="1"/>
  <c r="AD881" i="1"/>
  <c r="AC883" i="1"/>
  <c r="AD883" i="1"/>
  <c r="AC885" i="1"/>
  <c r="AD885" i="1"/>
  <c r="AC888" i="1"/>
  <c r="AD888" i="1"/>
  <c r="AC890" i="1"/>
  <c r="AD890" i="1"/>
  <c r="AC893" i="1"/>
  <c r="AD893" i="1"/>
  <c r="AC894" i="1"/>
  <c r="AD894" i="1"/>
  <c r="AC896" i="1"/>
  <c r="AD896" i="1"/>
  <c r="AC898" i="1"/>
  <c r="AD898" i="1"/>
  <c r="AC900" i="1"/>
  <c r="AC902" i="1"/>
  <c r="AD902" i="1"/>
  <c r="AC905" i="1"/>
  <c r="AD905" i="1"/>
  <c r="AC907" i="1"/>
  <c r="AD907" i="1"/>
  <c r="AC909" i="1"/>
  <c r="AC912" i="1"/>
  <c r="AD912" i="1"/>
  <c r="AC2" i="1"/>
  <c r="AD2" i="1"/>
  <c r="AC3" i="1"/>
  <c r="AC4" i="1"/>
  <c r="AD4" i="1"/>
  <c r="AC5" i="1"/>
  <c r="AD5" i="1"/>
  <c r="AC6" i="1"/>
  <c r="AD6" i="1"/>
  <c r="AC7" i="1"/>
  <c r="AD7" i="1"/>
  <c r="AC8" i="1"/>
  <c r="AD8" i="1"/>
  <c r="AC9" i="1"/>
  <c r="AD9" i="1"/>
  <c r="AC10" i="1"/>
  <c r="AD10" i="1"/>
  <c r="AC11" i="1"/>
  <c r="AD11" i="1"/>
  <c r="AC12" i="1"/>
  <c r="AD12" i="1"/>
  <c r="AC13" i="1"/>
  <c r="AD13" i="1"/>
  <c r="AC14" i="1"/>
  <c r="AD14" i="1"/>
  <c r="AC15" i="1"/>
  <c r="AD15" i="1"/>
  <c r="AC16" i="1"/>
  <c r="AD16" i="1"/>
  <c r="AC17" i="1"/>
  <c r="AD17" i="1"/>
  <c r="AC18" i="1"/>
  <c r="AD18" i="1"/>
  <c r="AC19" i="1"/>
  <c r="AD19" i="1"/>
  <c r="AC20" i="1"/>
  <c r="AD20" i="1"/>
  <c r="AC21" i="1"/>
  <c r="AD21" i="1"/>
  <c r="AC22" i="1"/>
  <c r="AD22" i="1"/>
  <c r="AC23" i="1"/>
  <c r="AD23" i="1"/>
  <c r="AC24" i="1"/>
  <c r="AD24" i="1"/>
  <c r="AC25" i="1"/>
  <c r="AD25" i="1"/>
  <c r="AC26" i="1"/>
  <c r="AD26" i="1"/>
  <c r="AC27" i="1"/>
  <c r="AD27" i="1"/>
  <c r="AC28" i="1"/>
  <c r="AD28" i="1"/>
  <c r="AC29" i="1"/>
  <c r="AD29" i="1"/>
  <c r="AC30" i="1"/>
  <c r="AD30" i="1"/>
  <c r="AC31" i="1"/>
  <c r="AD31" i="1"/>
  <c r="AC32" i="1"/>
  <c r="AD32" i="1"/>
  <c r="AC33" i="1"/>
  <c r="AD33" i="1"/>
  <c r="AC34" i="1"/>
  <c r="AD34" i="1"/>
  <c r="AC35" i="1"/>
  <c r="AD35" i="1"/>
  <c r="AC36" i="1"/>
  <c r="AD36" i="1"/>
  <c r="AC37" i="1"/>
  <c r="AD37" i="1"/>
  <c r="AC38" i="1"/>
  <c r="AD38" i="1"/>
  <c r="AC39" i="1"/>
  <c r="AD39" i="1"/>
  <c r="AC40" i="1"/>
  <c r="AD40" i="1"/>
  <c r="AC41" i="1"/>
  <c r="AD41" i="1"/>
  <c r="AC42" i="1"/>
  <c r="AD42" i="1"/>
  <c r="AC43" i="1"/>
  <c r="AD43" i="1"/>
  <c r="AC44" i="1"/>
  <c r="AD44" i="1"/>
  <c r="AC45" i="1"/>
  <c r="AD45" i="1"/>
  <c r="AC46" i="1"/>
  <c r="AD46" i="1"/>
  <c r="AC47" i="1"/>
  <c r="AD47" i="1"/>
  <c r="AC48" i="1"/>
  <c r="AD48" i="1"/>
  <c r="AC49" i="1"/>
  <c r="AD49" i="1"/>
  <c r="AC50" i="1"/>
  <c r="AD50" i="1"/>
  <c r="AC51" i="1"/>
  <c r="AD51" i="1"/>
  <c r="AC52" i="1"/>
  <c r="AD52" i="1"/>
  <c r="AC53" i="1"/>
  <c r="AD53" i="1"/>
  <c r="AC54" i="1"/>
  <c r="AD54" i="1"/>
  <c r="AC55" i="1"/>
  <c r="AD55" i="1"/>
  <c r="AC56" i="1"/>
  <c r="AD56" i="1"/>
  <c r="AC57" i="1"/>
  <c r="AD57" i="1"/>
  <c r="AC58" i="1"/>
  <c r="AD58" i="1"/>
  <c r="AC59" i="1"/>
  <c r="AD59" i="1"/>
  <c r="AC60" i="1"/>
  <c r="AD60" i="1"/>
  <c r="AC61" i="1"/>
  <c r="AD61" i="1"/>
  <c r="AC62" i="1"/>
  <c r="AD62" i="1"/>
  <c r="AC63" i="1"/>
  <c r="AD63" i="1"/>
  <c r="AC64" i="1"/>
  <c r="AD64" i="1"/>
  <c r="AC65" i="1"/>
  <c r="AD65" i="1"/>
  <c r="AC66" i="1"/>
  <c r="AD66" i="1"/>
  <c r="AC67" i="1"/>
  <c r="AC68" i="1"/>
  <c r="AD68" i="1"/>
  <c r="AC69" i="1"/>
  <c r="AD69" i="1"/>
  <c r="AC70" i="1"/>
  <c r="AD70" i="1"/>
  <c r="AC71" i="1"/>
  <c r="AD71" i="1"/>
  <c r="AC72" i="1"/>
  <c r="AC73" i="1"/>
  <c r="AC74" i="1"/>
  <c r="AD74" i="1"/>
  <c r="AC75" i="1"/>
  <c r="AD75" i="1"/>
  <c r="AC76" i="1"/>
  <c r="AD76" i="1"/>
  <c r="AC77" i="1"/>
  <c r="AD77" i="1"/>
  <c r="AC82" i="1"/>
  <c r="AC83" i="1"/>
  <c r="AD83" i="1"/>
  <c r="AC84" i="1"/>
  <c r="AD84" i="1"/>
  <c r="AC85" i="1"/>
  <c r="AD85" i="1"/>
  <c r="AC86" i="1"/>
  <c r="AD86" i="1"/>
  <c r="AC87" i="1"/>
  <c r="AD87" i="1"/>
  <c r="AC88" i="1"/>
  <c r="AD88" i="1"/>
  <c r="AC89" i="1"/>
  <c r="AD89" i="1"/>
  <c r="AC90" i="1"/>
  <c r="AD90" i="1"/>
  <c r="AC91" i="1"/>
  <c r="AD91" i="1"/>
  <c r="AC92" i="1"/>
  <c r="AD92" i="1"/>
  <c r="AC94" i="1"/>
  <c r="AD94" i="1"/>
  <c r="AC95" i="1"/>
  <c r="AD95" i="1"/>
  <c r="AC96" i="1"/>
  <c r="AC97" i="1"/>
  <c r="AD97" i="1"/>
  <c r="AC98" i="1"/>
  <c r="AD98" i="1"/>
  <c r="AC99" i="1"/>
  <c r="AD99" i="1"/>
  <c r="AC100" i="1"/>
  <c r="AD100" i="1"/>
  <c r="AC101" i="1"/>
  <c r="AD101" i="1"/>
  <c r="AC102" i="1"/>
  <c r="AD102" i="1"/>
  <c r="AC103" i="1"/>
  <c r="AD103" i="1"/>
  <c r="AC104" i="1"/>
  <c r="AD104" i="1"/>
  <c r="AC105" i="1"/>
  <c r="AD105" i="1"/>
  <c r="AC106" i="1"/>
  <c r="AD106" i="1"/>
  <c r="AC107" i="1"/>
  <c r="AD107" i="1"/>
  <c r="AC109" i="1"/>
  <c r="AD109" i="1"/>
  <c r="AC110" i="1"/>
  <c r="AD110" i="1"/>
  <c r="AC112" i="1"/>
  <c r="AC113" i="1"/>
  <c r="AD113" i="1"/>
  <c r="AC114" i="1"/>
  <c r="AC115" i="1"/>
  <c r="AC117" i="1"/>
  <c r="AD117" i="1"/>
  <c r="AC118" i="1"/>
  <c r="AD118" i="1"/>
  <c r="AC120" i="1"/>
  <c r="AC122" i="1"/>
  <c r="AD122" i="1"/>
  <c r="AC124" i="1"/>
  <c r="AC126" i="1"/>
  <c r="AD126" i="1"/>
  <c r="AC128" i="1"/>
  <c r="AD128" i="1"/>
  <c r="AC131" i="1"/>
  <c r="AC134" i="1"/>
  <c r="AD134" i="1"/>
  <c r="AC138" i="1"/>
  <c r="AD138" i="1"/>
  <c r="AC142" i="1"/>
  <c r="AD142" i="1"/>
  <c r="AC146" i="1"/>
  <c r="AD146" i="1"/>
  <c r="AC149" i="1"/>
  <c r="AD149" i="1"/>
  <c r="AC153" i="1"/>
  <c r="AD153" i="1"/>
  <c r="AC157" i="1"/>
  <c r="AD157" i="1"/>
  <c r="AC158" i="1"/>
  <c r="AD158" i="1"/>
  <c r="AC162" i="1"/>
  <c r="AD162" i="1"/>
  <c r="AC165" i="1"/>
  <c r="AD165" i="1"/>
  <c r="AC167" i="1"/>
  <c r="AC171" i="1"/>
  <c r="AC175" i="1"/>
  <c r="AD175" i="1"/>
  <c r="AC179" i="1"/>
  <c r="AD179" i="1"/>
  <c r="AC182" i="1"/>
  <c r="AD182" i="1"/>
  <c r="AC185" i="1"/>
  <c r="AD185" i="1"/>
  <c r="AC189" i="1"/>
  <c r="AD189" i="1"/>
  <c r="AC194" i="1"/>
  <c r="AC199" i="1"/>
  <c r="AD199" i="1"/>
  <c r="AC201" i="1"/>
  <c r="AC207" i="1"/>
  <c r="AC210" i="1"/>
  <c r="AD210" i="1"/>
  <c r="AC215" i="1"/>
  <c r="AC218" i="1"/>
  <c r="AC223" i="1"/>
  <c r="AD223" i="1"/>
  <c r="AC229" i="1"/>
  <c r="AD229" i="1"/>
  <c r="AC231" i="1"/>
  <c r="AD231" i="1"/>
  <c r="AC235" i="1"/>
  <c r="AD235" i="1"/>
  <c r="AC239" i="1"/>
  <c r="AD239" i="1"/>
  <c r="AC245" i="1"/>
  <c r="AD245" i="1"/>
  <c r="AC247" i="1"/>
  <c r="AD247" i="1"/>
  <c r="AC253" i="1"/>
  <c r="AD253" i="1"/>
  <c r="AC258" i="1"/>
  <c r="AD258" i="1"/>
  <c r="AC263" i="1"/>
  <c r="AC266" i="1"/>
  <c r="AC270" i="1"/>
  <c r="AC273" i="1"/>
  <c r="AC277" i="1"/>
  <c r="AD277" i="1"/>
  <c r="AC280" i="1"/>
  <c r="AD280" i="1"/>
  <c r="AC283" i="1"/>
  <c r="AD283" i="1"/>
  <c r="AC286" i="1"/>
  <c r="AD286" i="1"/>
  <c r="AC290" i="1"/>
  <c r="AD290" i="1"/>
  <c r="AC295" i="1"/>
  <c r="AD295" i="1"/>
  <c r="AC298" i="1"/>
  <c r="AD298" i="1"/>
  <c r="AC303" i="1"/>
  <c r="AD303" i="1"/>
  <c r="AC308" i="1"/>
  <c r="AD308" i="1"/>
  <c r="AC314" i="1"/>
  <c r="AD314" i="1"/>
  <c r="AC319" i="1"/>
  <c r="AD319" i="1"/>
  <c r="AC323" i="1"/>
  <c r="AD323" i="1"/>
  <c r="AC328" i="1"/>
  <c r="AD328" i="1"/>
  <c r="AC331" i="1"/>
  <c r="AD331" i="1"/>
  <c r="AC335" i="1"/>
  <c r="AD335" i="1"/>
  <c r="AC339" i="1"/>
  <c r="AD339" i="1"/>
  <c r="AC345" i="1"/>
  <c r="AD345" i="1"/>
  <c r="AC350" i="1"/>
  <c r="AD350" i="1"/>
  <c r="AC353" i="1"/>
  <c r="AD353" i="1"/>
  <c r="AC360" i="1"/>
  <c r="AD360" i="1"/>
  <c r="AC377" i="1"/>
  <c r="AD377" i="1"/>
  <c r="AC384" i="1"/>
  <c r="AD384" i="1"/>
  <c r="AC388" i="1"/>
  <c r="AC394" i="1"/>
  <c r="AD394" i="1"/>
  <c r="AC400" i="1"/>
  <c r="AD400" i="1"/>
  <c r="AC406" i="1"/>
  <c r="AD406" i="1"/>
  <c r="AC412" i="1"/>
  <c r="AC417" i="1"/>
  <c r="AC420" i="1"/>
  <c r="AD420" i="1"/>
  <c r="AC424" i="1"/>
  <c r="AD424" i="1"/>
  <c r="AC426" i="1"/>
  <c r="AD426" i="1"/>
  <c r="AC431" i="1"/>
  <c r="AD431" i="1"/>
  <c r="AC434" i="1"/>
  <c r="AD434" i="1"/>
  <c r="AC441" i="1"/>
  <c r="AC445" i="1"/>
  <c r="AD445" i="1"/>
  <c r="AC449" i="1"/>
  <c r="AD449" i="1"/>
  <c r="AC454" i="1"/>
  <c r="AC457" i="1"/>
  <c r="AD457" i="1"/>
  <c r="AC459" i="1"/>
  <c r="AD459" i="1"/>
  <c r="AC462" i="1"/>
  <c r="AC465" i="1"/>
  <c r="AC470" i="1"/>
  <c r="AC475" i="1"/>
  <c r="AC479" i="1"/>
  <c r="AC482" i="1"/>
  <c r="AC485" i="1"/>
  <c r="AD485" i="1"/>
  <c r="AC488" i="1"/>
  <c r="AD488" i="1"/>
  <c r="AC491" i="1"/>
  <c r="AD491" i="1"/>
  <c r="AC496" i="1"/>
  <c r="AC499" i="1"/>
  <c r="AD499" i="1"/>
  <c r="AC502" i="1"/>
  <c r="AD502" i="1"/>
  <c r="AC505" i="1"/>
  <c r="AC507" i="1"/>
  <c r="AC510" i="1"/>
  <c r="AC514" i="1"/>
  <c r="AC516" i="1"/>
  <c r="AC520" i="1"/>
  <c r="AC523" i="1"/>
  <c r="AC527" i="1"/>
  <c r="AC530" i="1"/>
  <c r="AC532" i="1"/>
  <c r="AC536" i="1"/>
  <c r="AD536" i="1"/>
  <c r="AC540" i="1"/>
  <c r="AD540" i="1"/>
  <c r="AC543" i="1"/>
  <c r="AD543" i="1"/>
  <c r="AC547" i="1"/>
  <c r="AC551" i="1"/>
  <c r="AD551" i="1"/>
  <c r="AC554" i="1"/>
  <c r="AD554" i="1"/>
  <c r="AC558" i="1"/>
  <c r="AC560" i="1"/>
  <c r="AD560" i="1"/>
  <c r="AC563" i="1"/>
  <c r="AC564" i="1"/>
  <c r="AD564" i="1"/>
  <c r="AC567" i="1"/>
  <c r="AC569" i="1"/>
  <c r="AC570" i="1"/>
  <c r="AC574" i="1"/>
  <c r="AC577" i="1"/>
  <c r="AC579" i="1"/>
  <c r="AD579" i="1"/>
  <c r="AC581" i="1"/>
  <c r="AD581" i="1"/>
  <c r="AC583" i="1"/>
  <c r="AC586" i="1"/>
  <c r="AD586" i="1"/>
  <c r="AC589" i="1"/>
  <c r="AD589" i="1"/>
  <c r="AC591" i="1"/>
  <c r="AD591" i="1"/>
  <c r="AC593" i="1"/>
  <c r="AD593" i="1"/>
  <c r="AC597" i="1"/>
  <c r="AD597" i="1"/>
  <c r="AC599" i="1"/>
  <c r="AD599" i="1"/>
  <c r="AC605" i="1"/>
  <c r="AD605" i="1"/>
  <c r="AC610" i="1"/>
  <c r="AC616" i="1"/>
  <c r="AD616" i="1"/>
  <c r="AC620" i="1"/>
  <c r="AD620" i="1"/>
  <c r="AC624" i="1"/>
  <c r="AC629" i="1"/>
  <c r="AC634" i="1"/>
  <c r="AC636" i="1"/>
  <c r="AC640" i="1"/>
  <c r="AD640" i="1"/>
  <c r="AC642" i="1"/>
  <c r="AC647" i="1"/>
  <c r="AD647" i="1"/>
  <c r="AC650" i="1"/>
  <c r="AD650" i="1"/>
  <c r="AC652" i="1"/>
  <c r="AD652" i="1"/>
  <c r="AC656" i="1"/>
  <c r="AD656" i="1"/>
  <c r="AC658" i="1"/>
  <c r="AC80" i="1"/>
  <c r="AD80" i="1"/>
  <c r="AC119" i="1"/>
  <c r="AD119" i="1"/>
  <c r="AC125" i="1"/>
  <c r="AD125" i="1"/>
  <c r="AC129" i="1"/>
  <c r="AC133" i="1"/>
  <c r="AD133" i="1"/>
  <c r="AC137" i="1"/>
  <c r="AD137" i="1"/>
  <c r="AC140" i="1"/>
  <c r="AD140" i="1"/>
  <c r="AC143" i="1"/>
  <c r="AD143" i="1"/>
  <c r="AC147" i="1"/>
  <c r="AD147" i="1"/>
  <c r="AC151" i="1"/>
  <c r="AD151" i="1"/>
  <c r="AC154" i="1"/>
  <c r="AD154" i="1"/>
  <c r="AC159" i="1"/>
  <c r="AD159" i="1"/>
  <c r="AC164" i="1"/>
  <c r="AD164" i="1"/>
  <c r="AC170" i="1"/>
  <c r="AD170" i="1"/>
  <c r="AC174" i="1"/>
  <c r="AD174" i="1"/>
  <c r="AC178" i="1"/>
  <c r="AD178" i="1"/>
  <c r="AC183" i="1"/>
  <c r="AD183" i="1"/>
  <c r="AC187" i="1"/>
  <c r="AD187" i="1"/>
  <c r="AC192" i="1"/>
  <c r="AD192" i="1"/>
  <c r="AC197" i="1"/>
  <c r="AD197" i="1"/>
  <c r="AC205" i="1"/>
  <c r="AD205" i="1"/>
  <c r="AC213" i="1"/>
  <c r="AC221" i="1"/>
  <c r="AD221" i="1"/>
  <c r="AC226" i="1"/>
  <c r="AD226" i="1"/>
  <c r="AC234" i="1"/>
  <c r="AD234" i="1"/>
  <c r="AC238" i="1"/>
  <c r="AD238" i="1"/>
  <c r="AC243" i="1"/>
  <c r="AD243" i="1"/>
  <c r="AC250" i="1"/>
  <c r="AD250" i="1"/>
  <c r="AC255" i="1"/>
  <c r="AD255" i="1"/>
  <c r="AC261" i="1"/>
  <c r="AD261" i="1"/>
  <c r="AC268" i="1"/>
  <c r="AD268" i="1"/>
  <c r="AC275" i="1"/>
  <c r="AD275" i="1"/>
  <c r="AC285" i="1"/>
  <c r="AD285" i="1"/>
  <c r="AC288" i="1"/>
  <c r="AD288" i="1"/>
  <c r="AC292" i="1"/>
  <c r="AD292" i="1"/>
  <c r="AC299" i="1"/>
  <c r="AD299" i="1"/>
  <c r="AC304" i="1"/>
  <c r="AD304" i="1"/>
  <c r="AC307" i="1"/>
  <c r="AD307" i="1"/>
  <c r="AC311" i="1"/>
  <c r="AD311" i="1"/>
  <c r="AC317" i="1"/>
  <c r="AD317" i="1"/>
  <c r="AC321" i="1"/>
  <c r="AD321" i="1"/>
  <c r="AC326" i="1"/>
  <c r="AD326" i="1"/>
  <c r="AC332" i="1"/>
  <c r="AD332" i="1"/>
  <c r="AC341" i="1"/>
  <c r="AD341" i="1"/>
  <c r="AC344" i="1"/>
  <c r="AD344" i="1"/>
  <c r="AC349" i="1"/>
  <c r="AD349" i="1"/>
  <c r="AC354" i="1"/>
  <c r="AD354" i="1"/>
  <c r="AC358" i="1"/>
  <c r="AD358" i="1"/>
  <c r="AC364" i="1"/>
  <c r="AD364" i="1"/>
  <c r="AC368" i="1"/>
  <c r="AC371" i="1"/>
  <c r="AD371" i="1"/>
  <c r="AC375" i="1"/>
  <c r="AD375" i="1"/>
  <c r="AC381" i="1"/>
  <c r="AD381" i="1"/>
  <c r="AC386" i="1"/>
  <c r="AD386" i="1"/>
  <c r="AC391" i="1"/>
  <c r="AD391" i="1"/>
  <c r="AC398" i="1"/>
  <c r="AD398" i="1"/>
  <c r="AC403" i="1"/>
  <c r="AD403" i="1"/>
  <c r="AC409" i="1"/>
  <c r="AD409" i="1"/>
  <c r="AC413" i="1"/>
  <c r="AD413" i="1"/>
  <c r="AC418" i="1"/>
  <c r="AD418" i="1"/>
  <c r="AC429" i="1"/>
  <c r="AD429" i="1"/>
  <c r="AC435" i="1"/>
  <c r="AD435" i="1"/>
  <c r="AC443" i="1"/>
  <c r="AD443" i="1"/>
  <c r="AC450" i="1"/>
  <c r="AD450" i="1"/>
  <c r="AC455" i="1"/>
  <c r="AD455" i="1"/>
  <c r="AC460" i="1"/>
  <c r="AD460" i="1"/>
  <c r="AC473" i="1"/>
  <c r="AD473" i="1"/>
  <c r="AC478" i="1"/>
  <c r="AD478" i="1"/>
  <c r="AC484" i="1"/>
  <c r="AD484" i="1"/>
  <c r="AC489" i="1"/>
  <c r="AD489" i="1"/>
  <c r="AC492" i="1"/>
  <c r="AD492" i="1"/>
  <c r="AC495" i="1"/>
  <c r="AD495" i="1"/>
  <c r="AC500" i="1"/>
  <c r="AD500" i="1"/>
  <c r="AC503" i="1"/>
  <c r="AD503" i="1"/>
  <c r="AC508" i="1"/>
  <c r="AD508" i="1"/>
  <c r="AC512" i="1"/>
  <c r="AD512" i="1"/>
  <c r="AC517" i="1"/>
  <c r="AD517" i="1"/>
  <c r="AC522" i="1"/>
  <c r="AD522" i="1"/>
  <c r="AC526" i="1"/>
  <c r="AD526" i="1"/>
  <c r="AC531" i="1"/>
  <c r="AD531" i="1"/>
  <c r="AC535" i="1"/>
  <c r="AD535" i="1"/>
  <c r="AC539" i="1"/>
  <c r="AD539" i="1"/>
  <c r="AC544" i="1"/>
  <c r="AD544" i="1"/>
  <c r="AC548" i="1"/>
  <c r="AD548" i="1"/>
  <c r="AC555" i="1"/>
  <c r="AD555" i="1"/>
  <c r="AC559" i="1"/>
  <c r="AD559" i="1"/>
  <c r="AC596" i="1"/>
  <c r="AD596" i="1"/>
  <c r="AC602" i="1"/>
  <c r="AC611" i="1"/>
  <c r="AD611" i="1"/>
  <c r="AC617" i="1"/>
  <c r="AD617" i="1"/>
  <c r="AC623" i="1"/>
  <c r="AD623" i="1"/>
  <c r="AC631" i="1"/>
  <c r="AD631" i="1"/>
  <c r="AC646" i="1"/>
  <c r="AD646" i="1"/>
  <c r="AC655" i="1"/>
  <c r="AD655" i="1"/>
  <c r="AC81" i="1"/>
  <c r="AD81" i="1"/>
  <c r="AC79" i="1"/>
  <c r="AD79" i="1"/>
  <c r="AC130" i="1"/>
  <c r="AD130" i="1"/>
  <c r="AC136" i="1"/>
  <c r="AD136" i="1"/>
  <c r="AC141" i="1"/>
  <c r="AD141" i="1"/>
  <c r="AC144" i="1"/>
  <c r="AD144" i="1"/>
  <c r="AC148" i="1"/>
  <c r="AD148" i="1"/>
  <c r="AC152" i="1"/>
  <c r="AD152" i="1"/>
  <c r="AC155" i="1"/>
  <c r="AD155" i="1"/>
  <c r="AC161" i="1"/>
  <c r="AC166" i="1"/>
  <c r="AD166" i="1"/>
  <c r="AC169" i="1"/>
  <c r="AD169" i="1"/>
  <c r="AC173" i="1"/>
  <c r="AC177" i="1"/>
  <c r="AD177" i="1"/>
  <c r="AC181" i="1"/>
  <c r="AC186" i="1"/>
  <c r="AD186" i="1"/>
  <c r="AC193" i="1"/>
  <c r="AD193" i="1"/>
  <c r="AC202" i="1"/>
  <c r="AD202" i="1"/>
  <c r="AC209" i="1"/>
  <c r="AC216" i="1"/>
  <c r="AD216" i="1"/>
  <c r="AC222" i="1"/>
  <c r="AC227" i="1"/>
  <c r="AC232" i="1"/>
  <c r="AD232" i="1"/>
  <c r="AC237" i="1"/>
  <c r="AD237" i="1"/>
  <c r="AC242" i="1"/>
  <c r="AC248" i="1"/>
  <c r="AD248" i="1"/>
  <c r="AC256" i="1"/>
  <c r="AD256" i="1"/>
  <c r="AC264" i="1"/>
  <c r="AC272" i="1"/>
  <c r="AC279" i="1"/>
  <c r="AD279" i="1"/>
  <c r="AC289" i="1"/>
  <c r="AD289" i="1"/>
  <c r="AC296" i="1"/>
  <c r="AD296" i="1"/>
  <c r="AC301" i="1"/>
  <c r="AD301" i="1"/>
  <c r="AC309" i="1"/>
  <c r="AD309" i="1"/>
  <c r="AC320" i="1"/>
  <c r="AD320" i="1"/>
  <c r="AC325" i="1"/>
  <c r="AD325" i="1"/>
  <c r="AC333" i="1"/>
  <c r="AD333" i="1"/>
  <c r="AC337" i="1"/>
  <c r="AD337" i="1"/>
  <c r="AC342" i="1"/>
  <c r="AD342" i="1"/>
  <c r="AC348" i="1"/>
  <c r="AD348" i="1"/>
  <c r="AC356" i="1"/>
  <c r="AD356" i="1"/>
  <c r="AC361" i="1"/>
  <c r="AD361" i="1"/>
  <c r="AC365" i="1"/>
  <c r="AD365" i="1"/>
  <c r="AC369" i="1"/>
  <c r="AD369" i="1"/>
  <c r="AC373" i="1"/>
  <c r="AD373" i="1"/>
  <c r="AC378" i="1"/>
  <c r="AD378" i="1"/>
  <c r="AC382" i="1"/>
  <c r="AD382" i="1"/>
  <c r="AC387" i="1"/>
  <c r="AD387" i="1"/>
  <c r="AC392" i="1"/>
  <c r="AD392" i="1"/>
  <c r="AC397" i="1"/>
  <c r="AD397" i="1"/>
  <c r="AC401" i="1"/>
  <c r="AD401" i="1"/>
  <c r="AC405" i="1"/>
  <c r="AD405" i="1"/>
  <c r="AC410" i="1"/>
  <c r="AD410" i="1"/>
  <c r="AC414" i="1"/>
  <c r="AD414" i="1"/>
  <c r="AC419" i="1"/>
  <c r="AD419" i="1"/>
  <c r="AC428" i="1"/>
  <c r="AD428" i="1"/>
  <c r="AC433" i="1"/>
  <c r="AD433" i="1"/>
  <c r="AC437" i="1"/>
  <c r="AD437" i="1"/>
  <c r="AC442" i="1"/>
  <c r="AD442" i="1"/>
  <c r="AC447" i="1"/>
  <c r="AD447" i="1"/>
  <c r="AC452" i="1"/>
  <c r="AD452" i="1"/>
  <c r="AC464" i="1"/>
  <c r="AD464" i="1"/>
  <c r="AC468" i="1"/>
  <c r="AD468" i="1"/>
  <c r="AC472" i="1"/>
  <c r="AD472" i="1"/>
  <c r="AC477" i="1"/>
  <c r="AD477" i="1"/>
  <c r="AC483" i="1"/>
  <c r="AD483" i="1"/>
  <c r="AC487" i="1"/>
  <c r="AD487" i="1"/>
  <c r="AC490" i="1"/>
  <c r="AD490" i="1"/>
  <c r="AC494" i="1"/>
  <c r="AD494" i="1"/>
  <c r="AC498" i="1"/>
  <c r="AD498" i="1"/>
  <c r="AC501" i="1"/>
  <c r="AD501" i="1"/>
  <c r="AC506" i="1"/>
  <c r="AD506" i="1"/>
  <c r="AC509" i="1"/>
  <c r="AD509" i="1"/>
  <c r="AC513" i="1"/>
  <c r="AD513" i="1"/>
  <c r="AC518" i="1"/>
  <c r="AD518" i="1"/>
  <c r="AC521" i="1"/>
  <c r="AD521" i="1"/>
  <c r="AC525" i="1"/>
  <c r="AD525" i="1"/>
  <c r="AC529" i="1"/>
  <c r="AD529" i="1"/>
  <c r="AC534" i="1"/>
  <c r="AD534" i="1"/>
  <c r="AC538" i="1"/>
  <c r="AD538" i="1"/>
  <c r="AC542" i="1"/>
  <c r="AC546" i="1"/>
  <c r="AD546" i="1"/>
  <c r="AC550" i="1"/>
  <c r="AD550" i="1"/>
  <c r="AC553" i="1"/>
  <c r="AD553" i="1"/>
  <c r="AC557" i="1"/>
  <c r="AC561" i="1"/>
  <c r="AC565" i="1"/>
  <c r="AD565" i="1"/>
  <c r="AC595" i="1"/>
  <c r="AD595" i="1"/>
  <c r="AC603" i="1"/>
  <c r="AD603" i="1"/>
  <c r="AC607" i="1"/>
  <c r="AC614" i="1"/>
  <c r="AC619" i="1"/>
  <c r="AC625" i="1"/>
  <c r="AD625" i="1"/>
  <c r="AC633" i="1"/>
  <c r="AD633" i="1"/>
  <c r="AC638" i="1"/>
  <c r="AC645" i="1"/>
  <c r="AC653" i="1"/>
  <c r="AC78" i="1"/>
  <c r="AC108" i="1"/>
  <c r="AD108" i="1"/>
  <c r="AC111" i="1"/>
  <c r="AC190" i="1"/>
  <c r="AC195" i="1"/>
  <c r="AC198" i="1"/>
  <c r="AD198" i="1"/>
  <c r="AC200" i="1"/>
  <c r="AD200" i="1"/>
  <c r="AC203" i="1"/>
  <c r="AC206" i="1"/>
  <c r="AD206" i="1"/>
  <c r="AC208" i="1"/>
  <c r="AD208" i="1"/>
  <c r="AC211" i="1"/>
  <c r="AD211" i="1"/>
  <c r="AC212" i="1"/>
  <c r="AD212" i="1"/>
  <c r="AC217" i="1"/>
  <c r="AD217" i="1"/>
  <c r="AC219" i="1"/>
  <c r="AD219" i="1"/>
  <c r="AC224" i="1"/>
  <c r="AD224" i="1"/>
  <c r="AC228" i="1"/>
  <c r="AD228" i="1"/>
  <c r="AC230" i="1"/>
  <c r="AC236" i="1"/>
  <c r="AC241" i="1"/>
  <c r="AC244" i="1"/>
  <c r="AD244" i="1"/>
  <c r="AC249" i="1"/>
  <c r="AC251" i="1"/>
  <c r="AC254" i="1"/>
  <c r="AD254" i="1"/>
  <c r="AC257" i="1"/>
  <c r="AC260" i="1"/>
  <c r="AD260" i="1"/>
  <c r="AC262" i="1"/>
  <c r="AC265" i="1"/>
  <c r="AD265" i="1"/>
  <c r="AC267" i="1"/>
  <c r="AC269" i="1"/>
  <c r="AD269" i="1"/>
  <c r="AC274" i="1"/>
  <c r="AC276" i="1"/>
  <c r="AD276" i="1"/>
  <c r="AC281" i="1"/>
  <c r="AD281" i="1"/>
  <c r="AC282" i="1"/>
  <c r="AD282" i="1"/>
  <c r="AC287" i="1"/>
  <c r="AD287" i="1"/>
  <c r="AC291" i="1"/>
  <c r="AC294" i="1"/>
  <c r="AC297" i="1"/>
  <c r="AC302" i="1"/>
  <c r="AD302" i="1"/>
  <c r="AC306" i="1"/>
  <c r="AD306" i="1"/>
  <c r="AC310" i="1"/>
  <c r="AC313" i="1"/>
  <c r="AC315" i="1"/>
  <c r="AD315" i="1"/>
  <c r="AC318" i="1"/>
  <c r="AC324" i="1"/>
  <c r="AD324" i="1"/>
  <c r="AC329" i="1"/>
  <c r="AC330" i="1"/>
  <c r="AC336" i="1"/>
  <c r="AC338" i="1"/>
  <c r="AC346" i="1"/>
  <c r="AC351" i="1"/>
  <c r="AD351" i="1"/>
  <c r="AC352" i="1"/>
  <c r="AD352" i="1"/>
  <c r="AC357" i="1"/>
  <c r="AC359" i="1"/>
  <c r="AC362" i="1"/>
  <c r="AD362" i="1"/>
  <c r="AC366" i="1"/>
  <c r="AD366" i="1"/>
  <c r="AC372" i="1"/>
  <c r="AC374" i="1"/>
  <c r="AD374" i="1"/>
  <c r="AC376" i="1"/>
  <c r="AC380" i="1"/>
  <c r="AC383" i="1"/>
  <c r="AD383" i="1"/>
  <c r="AC389" i="1"/>
  <c r="AD389" i="1"/>
  <c r="AC393" i="1"/>
  <c r="AC396" i="1"/>
  <c r="AC399" i="1"/>
  <c r="AC404" i="1"/>
  <c r="AD404" i="1"/>
  <c r="AC407" i="1"/>
  <c r="AC411" i="1"/>
  <c r="AC416" i="1"/>
  <c r="AC421" i="1"/>
  <c r="AD421" i="1"/>
  <c r="AC423" i="1"/>
  <c r="AD423" i="1"/>
  <c r="AC425" i="1"/>
  <c r="AC427" i="1"/>
  <c r="AC430" i="1"/>
  <c r="AC436" i="1"/>
  <c r="AC438" i="1"/>
  <c r="AC440" i="1"/>
  <c r="AD440" i="1"/>
  <c r="AC444" i="1"/>
  <c r="AD444" i="1"/>
  <c r="AC448" i="1"/>
  <c r="AD448" i="1"/>
  <c r="AC453" i="1"/>
  <c r="AC456" i="1"/>
  <c r="AC458" i="1"/>
  <c r="AD458" i="1"/>
  <c r="AC461" i="1"/>
  <c r="AD461" i="1"/>
  <c r="AC467" i="1"/>
  <c r="AD467" i="1"/>
  <c r="AC469" i="1"/>
  <c r="AC474" i="1"/>
  <c r="AC480" i="1"/>
  <c r="AD480" i="1"/>
  <c r="AC571" i="1"/>
  <c r="AC573" i="1"/>
  <c r="AC575" i="1"/>
  <c r="AC578" i="1"/>
  <c r="AD578" i="1"/>
  <c r="AC580" i="1"/>
  <c r="AC582" i="1"/>
  <c r="AD582" i="1"/>
  <c r="AC584" i="1"/>
  <c r="AC585" i="1"/>
  <c r="AC587" i="1"/>
  <c r="AC588" i="1"/>
  <c r="AD588" i="1"/>
  <c r="AC590" i="1"/>
  <c r="AC592" i="1"/>
  <c r="AC594" i="1"/>
  <c r="AC598" i="1"/>
  <c r="AC600" i="1"/>
  <c r="AC601" i="1"/>
  <c r="AC604" i="1"/>
  <c r="AC606" i="1"/>
  <c r="AD606" i="1"/>
  <c r="AC609" i="1"/>
  <c r="AC612" i="1"/>
  <c r="AC615" i="1"/>
  <c r="AD615" i="1"/>
  <c r="AC618" i="1"/>
  <c r="AC622" i="1"/>
  <c r="AD622" i="1"/>
  <c r="AC626" i="1"/>
  <c r="AC628" i="1"/>
  <c r="AC630" i="1"/>
  <c r="AD630" i="1"/>
  <c r="AC635" i="1"/>
  <c r="AD635" i="1"/>
  <c r="AC637" i="1"/>
  <c r="AD637" i="1"/>
  <c r="AC641" i="1"/>
  <c r="AD641" i="1"/>
  <c r="AC643" i="1"/>
  <c r="AC648" i="1"/>
  <c r="AD648" i="1"/>
  <c r="AC649" i="1"/>
  <c r="AD649" i="1"/>
  <c r="AC651" i="1"/>
  <c r="AD651" i="1"/>
  <c r="AC654" i="1"/>
  <c r="AD654" i="1"/>
  <c r="AC657" i="1"/>
  <c r="AC93" i="1"/>
  <c r="AC116" i="1"/>
  <c r="AC121" i="1"/>
  <c r="AD121" i="1"/>
  <c r="AC123" i="1"/>
  <c r="AC127" i="1"/>
  <c r="AC132" i="1"/>
  <c r="AC135" i="1"/>
  <c r="AD135" i="1"/>
  <c r="AC139" i="1"/>
  <c r="AC145" i="1"/>
  <c r="AD145" i="1"/>
  <c r="AC150" i="1"/>
  <c r="AC156" i="1"/>
  <c r="AC160" i="1"/>
  <c r="AD160" i="1"/>
  <c r="AC163" i="1"/>
  <c r="AD163" i="1"/>
  <c r="AC168" i="1"/>
  <c r="AC172" i="1"/>
  <c r="AC176" i="1"/>
  <c r="AC180" i="1"/>
  <c r="AC184" i="1"/>
  <c r="AC188" i="1"/>
  <c r="AD188" i="1"/>
  <c r="AC191" i="1"/>
  <c r="AC196" i="1"/>
  <c r="AC204" i="1"/>
  <c r="AC214" i="1"/>
  <c r="AD214" i="1"/>
  <c r="AC220" i="1"/>
  <c r="AD220" i="1"/>
  <c r="AC225" i="1"/>
  <c r="AD225" i="1"/>
  <c r="AC233" i="1"/>
  <c r="AC240" i="1"/>
  <c r="AD240" i="1"/>
  <c r="AC246" i="1"/>
  <c r="AD246" i="1"/>
  <c r="AC252" i="1"/>
  <c r="AC259" i="1"/>
  <c r="AC271" i="1"/>
  <c r="AD271" i="1"/>
  <c r="AC278" i="1"/>
  <c r="AC284" i="1"/>
  <c r="AD284" i="1"/>
  <c r="AC293" i="1"/>
  <c r="AD293" i="1"/>
  <c r="AC300" i="1"/>
  <c r="AC305" i="1"/>
  <c r="AD305" i="1"/>
  <c r="AC312" i="1"/>
  <c r="AD312" i="1"/>
  <c r="AC316" i="1"/>
  <c r="AC322" i="1"/>
  <c r="AD322" i="1"/>
  <c r="AC327" i="1"/>
  <c r="AD327" i="1"/>
  <c r="AC334" i="1"/>
  <c r="AC340" i="1"/>
  <c r="AC343" i="1"/>
  <c r="AD343" i="1"/>
  <c r="AC347" i="1"/>
  <c r="AD347" i="1"/>
  <c r="AC355" i="1"/>
  <c r="AD355" i="1"/>
  <c r="AC363" i="1"/>
  <c r="AD363" i="1"/>
  <c r="AC367" i="1"/>
  <c r="AD367" i="1"/>
  <c r="AC370" i="1"/>
  <c r="AD370" i="1"/>
  <c r="AC379" i="1"/>
  <c r="AD379" i="1"/>
  <c r="AC385" i="1"/>
  <c r="AD385" i="1"/>
  <c r="AC390" i="1"/>
  <c r="AD390" i="1"/>
  <c r="AC395" i="1"/>
  <c r="AD395" i="1"/>
  <c r="AC402" i="1"/>
  <c r="AD402" i="1"/>
  <c r="AC408" i="1"/>
  <c r="AD408" i="1"/>
  <c r="AC415" i="1"/>
  <c r="AD415" i="1"/>
  <c r="AC422" i="1"/>
  <c r="AD422" i="1"/>
  <c r="AC432" i="1"/>
  <c r="AD432" i="1"/>
  <c r="AC439" i="1"/>
  <c r="AD439" i="1"/>
  <c r="AC446" i="1"/>
  <c r="AD446" i="1"/>
  <c r="AC451" i="1"/>
  <c r="AD451" i="1"/>
  <c r="AC463" i="1"/>
  <c r="AD463" i="1"/>
  <c r="AC466" i="1"/>
  <c r="AD466" i="1"/>
  <c r="AC471" i="1"/>
  <c r="AD471" i="1"/>
  <c r="AC476" i="1"/>
  <c r="AD476" i="1"/>
  <c r="AC481" i="1"/>
  <c r="AD481" i="1"/>
  <c r="AC486" i="1"/>
  <c r="AD486" i="1"/>
  <c r="AC493" i="1"/>
  <c r="AD493" i="1"/>
  <c r="AC497" i="1"/>
  <c r="AD497" i="1"/>
  <c r="AC504" i="1"/>
  <c r="AD504" i="1"/>
  <c r="AC511" i="1"/>
  <c r="AD511" i="1"/>
  <c r="AC515" i="1"/>
  <c r="AD515" i="1"/>
  <c r="AC519" i="1"/>
  <c r="AD519" i="1"/>
  <c r="AC524" i="1"/>
  <c r="AD524" i="1"/>
  <c r="AC528" i="1"/>
  <c r="AD528" i="1"/>
  <c r="AC533" i="1"/>
  <c r="AD533" i="1"/>
  <c r="AC537" i="1"/>
  <c r="AD537" i="1"/>
  <c r="AC541" i="1"/>
  <c r="AD541" i="1"/>
  <c r="AC545" i="1"/>
  <c r="AD545" i="1"/>
  <c r="AC549" i="1"/>
  <c r="AD549" i="1"/>
  <c r="AC552" i="1"/>
  <c r="AD552" i="1"/>
  <c r="AC556" i="1"/>
  <c r="AD556" i="1"/>
  <c r="AC562" i="1"/>
  <c r="AD562" i="1"/>
  <c r="AC566" i="1"/>
  <c r="AD566" i="1"/>
  <c r="AC568" i="1"/>
  <c r="AD568" i="1"/>
  <c r="AC572" i="1"/>
  <c r="AD572" i="1"/>
  <c r="AC576" i="1"/>
  <c r="AD576" i="1"/>
  <c r="AC608" i="1"/>
  <c r="AD608" i="1"/>
  <c r="AC613" i="1"/>
  <c r="AD613" i="1"/>
  <c r="AC621" i="1"/>
  <c r="AD621" i="1"/>
  <c r="AC627" i="1"/>
  <c r="AD627" i="1"/>
  <c r="AC632" i="1"/>
  <c r="AD632" i="1"/>
  <c r="AC639" i="1"/>
  <c r="AD639" i="1"/>
  <c r="AC644" i="1"/>
  <c r="AD644" i="1"/>
  <c r="AD441" i="1" l="1"/>
  <c r="AD454" i="1"/>
  <c r="AD475" i="1"/>
  <c r="AD577" i="1"/>
  <c r="AD658" i="1"/>
  <c r="AD129" i="1"/>
  <c r="AD638" i="1"/>
  <c r="AD329" i="1"/>
  <c r="AD359" i="1"/>
  <c r="AD372" i="1"/>
  <c r="AD438" i="1"/>
  <c r="AD585" i="1"/>
  <c r="AD594" i="1"/>
  <c r="AD600" i="1"/>
  <c r="AD184" i="1"/>
  <c r="AD334" i="1"/>
  <c r="AD871" i="1"/>
  <c r="AD462" i="1"/>
  <c r="AD624" i="1"/>
  <c r="AD634" i="1"/>
  <c r="AD645" i="1"/>
  <c r="AD93" i="1"/>
  <c r="AD899" i="1"/>
  <c r="AD388" i="1"/>
  <c r="AD482" i="1"/>
  <c r="AD496" i="1"/>
  <c r="AD505" i="1"/>
  <c r="AD567" i="1"/>
  <c r="AD636" i="1"/>
  <c r="AD241" i="1"/>
  <c r="AD249" i="1"/>
  <c r="AD465" i="1"/>
  <c r="AD479" i="1"/>
  <c r="AD583" i="1"/>
  <c r="AD610" i="1"/>
  <c r="AD629" i="1"/>
  <c r="AD642" i="1"/>
  <c r="AD213" i="1"/>
  <c r="AD614" i="1"/>
  <c r="AD653" i="1"/>
  <c r="AD310" i="1"/>
  <c r="AD338" i="1"/>
  <c r="AD376" i="1"/>
  <c r="AD259" i="1"/>
  <c r="AD590" i="1"/>
  <c r="AD340" i="1"/>
  <c r="AD167" i="1"/>
  <c r="AD201" i="1"/>
  <c r="AD218" i="1"/>
  <c r="AD263" i="1"/>
  <c r="AD563" i="1"/>
  <c r="AD570" i="1"/>
  <c r="AD227" i="1"/>
  <c r="AD542" i="1"/>
  <c r="AD195" i="1"/>
  <c r="AD257" i="1"/>
  <c r="AD346" i="1"/>
  <c r="AD396" i="1"/>
  <c r="AD436" i="1"/>
  <c r="AD580" i="1"/>
  <c r="AD598" i="1"/>
  <c r="AD604" i="1"/>
  <c r="AD801" i="1"/>
  <c r="AD874" i="1"/>
  <c r="AD264" i="1"/>
  <c r="AD78" i="1"/>
  <c r="AD291" i="1"/>
  <c r="AD407" i="1"/>
  <c r="AD425" i="1"/>
  <c r="AD453" i="1"/>
  <c r="AD123" i="1"/>
  <c r="AD191" i="1"/>
  <c r="AD252" i="1"/>
  <c r="AD900" i="1"/>
  <c r="AD532" i="1"/>
  <c r="AD203" i="1"/>
  <c r="AD313" i="1"/>
  <c r="AD393" i="1"/>
  <c r="AD150" i="1"/>
  <c r="AD278" i="1"/>
  <c r="AD909" i="1"/>
  <c r="AD67" i="1"/>
  <c r="AD207" i="1"/>
  <c r="AD507" i="1"/>
  <c r="AD242" i="1"/>
  <c r="AD236" i="1"/>
  <c r="AD251" i="1"/>
  <c r="AD657" i="1"/>
  <c r="AD168" i="1"/>
  <c r="AD316" i="1"/>
  <c r="AD73" i="1"/>
  <c r="AD592" i="1"/>
  <c r="AD626" i="1"/>
  <c r="AD116" i="1"/>
  <c r="AD266" i="1"/>
  <c r="AD561" i="1"/>
  <c r="AD607" i="1"/>
  <c r="AD297" i="1"/>
  <c r="AD330" i="1"/>
  <c r="AD399" i="1"/>
  <c r="AD587" i="1"/>
  <c r="AD618" i="1"/>
  <c r="AD602" i="1"/>
  <c r="AD209" i="1"/>
  <c r="AD222" i="1"/>
  <c r="AD557" i="1"/>
  <c r="AD190" i="1"/>
  <c r="AD230" i="1"/>
  <c r="AD380" i="1"/>
  <c r="AD584" i="1"/>
  <c r="AD601" i="1"/>
  <c r="AD172" i="1"/>
  <c r="AD368" i="1"/>
  <c r="AD272" i="1"/>
  <c r="AD411" i="1"/>
  <c r="AD456" i="1"/>
  <c r="AD575" i="1"/>
  <c r="AD766" i="1"/>
  <c r="AD72" i="1"/>
  <c r="AD194" i="1"/>
  <c r="AD510" i="1"/>
  <c r="AD514" i="1"/>
  <c r="AD161" i="1"/>
  <c r="AD173" i="1"/>
  <c r="AD181" i="1"/>
  <c r="AD619" i="1"/>
  <c r="AD111" i="1"/>
  <c r="AD262" i="1"/>
  <c r="AD294" i="1"/>
  <c r="AD318" i="1"/>
  <c r="AD357" i="1"/>
  <c r="AD416" i="1"/>
  <c r="AD573" i="1"/>
  <c r="AD180" i="1"/>
  <c r="AD780" i="1"/>
  <c r="AD773" i="1"/>
  <c r="AD786" i="1"/>
  <c r="AD120" i="1"/>
  <c r="AD124" i="1"/>
  <c r="AD215" i="1"/>
  <c r="AD412" i="1"/>
  <c r="AD530" i="1"/>
  <c r="AD558" i="1"/>
  <c r="AD127" i="1"/>
  <c r="AD233" i="1"/>
  <c r="AD300" i="1"/>
  <c r="AD803" i="1"/>
  <c r="AD270" i="1"/>
  <c r="AD204" i="1"/>
  <c r="AD904" i="1"/>
  <c r="AD96" i="1"/>
  <c r="AD112" i="1"/>
  <c r="AD114" i="1"/>
  <c r="AD115" i="1"/>
  <c r="AD131" i="1"/>
  <c r="AD417" i="1"/>
  <c r="AD470" i="1"/>
  <c r="AD527" i="1"/>
  <c r="AD3" i="1"/>
  <c r="AD82" i="1"/>
  <c r="AD516" i="1"/>
  <c r="AD132" i="1"/>
  <c r="AD273" i="1"/>
  <c r="AD523" i="1"/>
  <c r="AD569" i="1"/>
  <c r="AD574" i="1"/>
  <c r="AD571" i="1"/>
  <c r="AD612" i="1"/>
  <c r="AD196" i="1"/>
  <c r="AD430" i="1"/>
  <c r="AD474" i="1"/>
  <c r="AD643" i="1"/>
  <c r="AD176" i="1"/>
  <c r="AD267" i="1"/>
  <c r="AD274" i="1"/>
  <c r="AD336" i="1"/>
  <c r="AD427" i="1"/>
  <c r="AD469" i="1"/>
  <c r="AD609" i="1"/>
  <c r="AD628" i="1"/>
  <c r="AD156" i="1"/>
  <c r="AD774" i="1"/>
  <c r="AD783" i="1"/>
  <c r="AD805" i="1"/>
  <c r="AD171" i="1"/>
  <c r="AD520" i="1"/>
  <c r="AD547" i="1"/>
  <c r="AD139" i="1"/>
</calcChain>
</file>

<file path=xl/sharedStrings.xml><?xml version="1.0" encoding="utf-8"?>
<sst xmlns="http://schemas.openxmlformats.org/spreadsheetml/2006/main" count="11891" uniqueCount="2775">
  <si>
    <t>order_id</t>
  </si>
  <si>
    <t>order_date</t>
  </si>
  <si>
    <t>ship_date</t>
  </si>
  <si>
    <t>customer_id</t>
  </si>
  <si>
    <t>customer_name</t>
  </si>
  <si>
    <t>segment</t>
  </si>
  <si>
    <t>region</t>
  </si>
  <si>
    <t>state</t>
  </si>
  <si>
    <t>city</t>
  </si>
  <si>
    <t>category</t>
  </si>
  <si>
    <t>sub_category</t>
  </si>
  <si>
    <t>product_name</t>
  </si>
  <si>
    <t>ship_mode</t>
  </si>
  <si>
    <t>quantity</t>
  </si>
  <si>
    <t>unit_price</t>
  </si>
  <si>
    <t>discount</t>
  </si>
  <si>
    <t>sales</t>
  </si>
  <si>
    <t>cost</t>
  </si>
  <si>
    <t>profit</t>
  </si>
  <si>
    <t>payment_status</t>
  </si>
  <si>
    <t>order_status</t>
  </si>
  <si>
    <t>ORD-2024-10001</t>
  </si>
  <si>
    <t>CUST-4655</t>
  </si>
  <si>
    <t>Karan Malhotra</t>
  </si>
  <si>
    <t>Consumer</t>
  </si>
  <si>
    <t>North</t>
  </si>
  <si>
    <t>Rajasthan</t>
  </si>
  <si>
    <t>Jaipur</t>
  </si>
  <si>
    <t>Office Supplies</t>
  </si>
  <si>
    <t>Paper</t>
  </si>
  <si>
    <t>Pro Paper 122</t>
  </si>
  <si>
    <t>Second Class</t>
  </si>
  <si>
    <t>Paid</t>
  </si>
  <si>
    <t>Completed</t>
  </si>
  <si>
    <t>ORD-2024-10002</t>
  </si>
  <si>
    <t>CUST-2054</t>
  </si>
  <si>
    <t>Mira Das</t>
  </si>
  <si>
    <t>Small Business</t>
  </si>
  <si>
    <t>East</t>
  </si>
  <si>
    <t>Odisha</t>
  </si>
  <si>
    <t>Bhubaneswar</t>
  </si>
  <si>
    <t>Furniture</t>
  </si>
  <si>
    <t>Tables</t>
  </si>
  <si>
    <t>Pro Tables 258</t>
  </si>
  <si>
    <t>Same Day</t>
  </si>
  <si>
    <t>ORD-2024-10003</t>
  </si>
  <si>
    <t>CUST-6843</t>
  </si>
  <si>
    <t>Isha Nair</t>
  </si>
  <si>
    <t>Art</t>
  </si>
  <si>
    <t>Elite Art 525</t>
  </si>
  <si>
    <t>First Class</t>
  </si>
  <si>
    <t>ORD-2024-10004</t>
  </si>
  <si>
    <t>CUST-3722</t>
  </si>
  <si>
    <t>Arjun Bose</t>
  </si>
  <si>
    <t>South</t>
  </si>
  <si>
    <t>Telangana</t>
  </si>
  <si>
    <t>Hyderabad</t>
  </si>
  <si>
    <t>Furnishings</t>
  </si>
  <si>
    <t>Smart Furnishings 294</t>
  </si>
  <si>
    <t>Standard Class</t>
  </si>
  <si>
    <t>ORD-2025-10005</t>
  </si>
  <si>
    <t>CUST-8130</t>
  </si>
  <si>
    <t>Ananya Rao</t>
  </si>
  <si>
    <t>West</t>
  </si>
  <si>
    <t>Maharashtra</t>
  </si>
  <si>
    <t>Mumbai</t>
  </si>
  <si>
    <t>Chairs</t>
  </si>
  <si>
    <t>Elite Chairs 543</t>
  </si>
  <si>
    <t>Cancelled</t>
  </si>
  <si>
    <t>ORD-2024-10006</t>
  </si>
  <si>
    <t>CUST-6056</t>
  </si>
  <si>
    <t>Vikram Iyer</t>
  </si>
  <si>
    <t>Madhya Pradesh</t>
  </si>
  <si>
    <t>Indore</t>
  </si>
  <si>
    <t>Technology</t>
  </si>
  <si>
    <t>Accessories</t>
  </si>
  <si>
    <t>Pro Accessories 821</t>
  </si>
  <si>
    <t>ORD-2025-10007</t>
  </si>
  <si>
    <t>CUST-3656</t>
  </si>
  <si>
    <t>Neha Gupta</t>
  </si>
  <si>
    <t>Copiers</t>
  </si>
  <si>
    <t>Eco Copiers 790</t>
  </si>
  <si>
    <t>ORD-2025-10008</t>
  </si>
  <si>
    <t>CUST-4683</t>
  </si>
  <si>
    <t>Andhra Pradesh</t>
  </si>
  <si>
    <t>Vijayawada</t>
  </si>
  <si>
    <t>Eco Art 848</t>
  </si>
  <si>
    <t>ORD-2024-10009</t>
  </si>
  <si>
    <t>CUST-2598</t>
  </si>
  <si>
    <t>Aditi Sen</t>
  </si>
  <si>
    <t>Corporate</t>
  </si>
  <si>
    <t>Labels</t>
  </si>
  <si>
    <t>Classic Labels 815</t>
  </si>
  <si>
    <t>ORD-2025-10010</t>
  </si>
  <si>
    <t>CUST-2483</t>
  </si>
  <si>
    <t>Home Office</t>
  </si>
  <si>
    <t>Pro Paper 622</t>
  </si>
  <si>
    <t>ORD-2025-10011</t>
  </si>
  <si>
    <t>CUST-8092</t>
  </si>
  <si>
    <t>West Bengal</t>
  </si>
  <si>
    <t>Kolkata</t>
  </si>
  <si>
    <t>Prime Labels 644</t>
  </si>
  <si>
    <t>Refunded</t>
  </si>
  <si>
    <t>Returned</t>
  </si>
  <si>
    <t>ORD-2024-10012</t>
  </si>
  <si>
    <t>CUST-6528</t>
  </si>
  <si>
    <t>Smart Accessories 603</t>
  </si>
  <si>
    <t>ORD-2024-10013</t>
  </si>
  <si>
    <t>CUST-2648</t>
  </si>
  <si>
    <t>Udaipur</t>
  </si>
  <si>
    <t>Pro Paper 481</t>
  </si>
  <si>
    <t>Pending</t>
  </si>
  <si>
    <t>ORD-2025-10014</t>
  </si>
  <si>
    <t>CUST-7482</t>
  </si>
  <si>
    <t>Priya Menon</t>
  </si>
  <si>
    <t>Smart Art 795</t>
  </si>
  <si>
    <t>ORD-2024-10015</t>
  </si>
  <si>
    <t>CUST-4912</t>
  </si>
  <si>
    <t>Rahul Verma</t>
  </si>
  <si>
    <t>Max Copiers 983</t>
  </si>
  <si>
    <t>ORD-2024-10016</t>
  </si>
  <si>
    <t>CUST-7656</t>
  </si>
  <si>
    <t>Punjab</t>
  </si>
  <si>
    <t>Ludhiana</t>
  </si>
  <si>
    <t>Storage</t>
  </si>
  <si>
    <t>Classic Storage 198</t>
  </si>
  <si>
    <t>ORD-2024-10017</t>
  </si>
  <si>
    <t>CUST-6214</t>
  </si>
  <si>
    <t>Aarav Sharma</t>
  </si>
  <si>
    <t>Basic Art 204</t>
  </si>
  <si>
    <t>ORD-2024-10018</t>
  </si>
  <si>
    <t>CUST-1626</t>
  </si>
  <si>
    <t>Sneha Kapoor</t>
  </si>
  <si>
    <t>Basic Furnishings 434</t>
  </si>
  <si>
    <t>ORD-2025-10019</t>
  </si>
  <si>
    <t>CUST-2110</t>
  </si>
  <si>
    <t>Uttar Pradesh</t>
  </si>
  <si>
    <t>Noida</t>
  </si>
  <si>
    <t>Eco Copiers 755</t>
  </si>
  <si>
    <t>ORD-2024-10020</t>
  </si>
  <si>
    <t>CUST-3186</t>
  </si>
  <si>
    <t>Rohan Mehta</t>
  </si>
  <si>
    <t>Prime Storage 121</t>
  </si>
  <si>
    <t>ORD-2025-10021</t>
  </si>
  <si>
    <t>CUST-3190</t>
  </si>
  <si>
    <t>Bihar</t>
  </si>
  <si>
    <t>Patna</t>
  </si>
  <si>
    <t>Elite Copiers 233</t>
  </si>
  <si>
    <t>ORD-2025-10022</t>
  </si>
  <si>
    <t>CUST-3036</t>
  </si>
  <si>
    <t>Eco Furnishings 897</t>
  </si>
  <si>
    <t>ORD-2025-10023</t>
  </si>
  <si>
    <t>CUST-3588</t>
  </si>
  <si>
    <t>Binders</t>
  </si>
  <si>
    <t>Max Binders 355</t>
  </si>
  <si>
    <t>Failed</t>
  </si>
  <si>
    <t>ORD-2025-10024</t>
  </si>
  <si>
    <t>CUST-7098</t>
  </si>
  <si>
    <t>Bookcases</t>
  </si>
  <si>
    <t>Pro Bookcases 394</t>
  </si>
  <si>
    <t>ORD-2024-10025</t>
  </si>
  <si>
    <t>CUST-1747</t>
  </si>
  <si>
    <t>Diya Patel</t>
  </si>
  <si>
    <t>Max Art 215</t>
  </si>
  <si>
    <t>ORD-2024-10026</t>
  </si>
  <si>
    <t>CUST-1731</t>
  </si>
  <si>
    <t>Assam</t>
  </si>
  <si>
    <t>Guwahati</t>
  </si>
  <si>
    <t>Classic Accessories 478</t>
  </si>
  <si>
    <t>ORD-2024-10027</t>
  </si>
  <si>
    <t>CUST-4401</t>
  </si>
  <si>
    <t>Phones</t>
  </si>
  <si>
    <t>Pro Phones 243</t>
  </si>
  <si>
    <t>ORD-2025-10028</t>
  </si>
  <si>
    <t>CUST-9875</t>
  </si>
  <si>
    <t>Karnataka</t>
  </si>
  <si>
    <t>Bengaluru</t>
  </si>
  <si>
    <t>Basic Paper 613</t>
  </si>
  <si>
    <t>ORD-2024-10029</t>
  </si>
  <si>
    <t>CUST-1569</t>
  </si>
  <si>
    <t>Gujarat</t>
  </si>
  <si>
    <t>Ahmedabad</t>
  </si>
  <si>
    <t>Prime Phones 698</t>
  </si>
  <si>
    <t>ORD-2025-10030</t>
  </si>
  <si>
    <t>CUST-5936</t>
  </si>
  <si>
    <t>Kerala</t>
  </si>
  <si>
    <t>Kochi</t>
  </si>
  <si>
    <t>Pro Phones 442</t>
  </si>
  <si>
    <t>ORD-2024-10031</t>
  </si>
  <si>
    <t>CUST-8759</t>
  </si>
  <si>
    <t>Goa</t>
  </si>
  <si>
    <t>Panaji</t>
  </si>
  <si>
    <t>Pro Labels 355</t>
  </si>
  <si>
    <t>ORD-2025-10032</t>
  </si>
  <si>
    <t>CUST-7867</t>
  </si>
  <si>
    <t>Pro Paper 959</t>
  </si>
  <si>
    <t>ORD-2024-10033</t>
  </si>
  <si>
    <t>CUST-6509</t>
  </si>
  <si>
    <t>Basic Phones 242</t>
  </si>
  <si>
    <t>ORD-2024-10034</t>
  </si>
  <si>
    <t>CUST-6660</t>
  </si>
  <si>
    <t>Max Tables 836</t>
  </si>
  <si>
    <t>ORD-2025-10035</t>
  </si>
  <si>
    <t>CUST-2392</t>
  </si>
  <si>
    <t>Elite Chairs 862</t>
  </si>
  <si>
    <t>ORD-2024-10036</t>
  </si>
  <si>
    <t>CUST-1611</t>
  </si>
  <si>
    <t>Prime Bookcases 414</t>
  </si>
  <si>
    <t>ORD-2024-10037</t>
  </si>
  <si>
    <t>CUST-8296</t>
  </si>
  <si>
    <t>Eco Bookcases 220</t>
  </si>
  <si>
    <t>ORD-2025-10038</t>
  </si>
  <si>
    <t>CUST-4646</t>
  </si>
  <si>
    <t>Pro Copiers 830</t>
  </si>
  <si>
    <t>ORD-2024-10039</t>
  </si>
  <si>
    <t>CUST-8235</t>
  </si>
  <si>
    <t>Prime Phones 507</t>
  </si>
  <si>
    <t>ORD-2024-10040</t>
  </si>
  <si>
    <t>CUST-5830</t>
  </si>
  <si>
    <t>Classic Copiers 590</t>
  </si>
  <si>
    <t>ORD-2024-10041</t>
  </si>
  <si>
    <t>CUST-7178</t>
  </si>
  <si>
    <t>Eco Copiers 865</t>
  </si>
  <si>
    <t>ORD-2024-10042</t>
  </si>
  <si>
    <t>CUST-3829</t>
  </si>
  <si>
    <t>Classic Bookcases 835</t>
  </si>
  <si>
    <t>ORD-2025-10043</t>
  </si>
  <si>
    <t>CUST-6708</t>
  </si>
  <si>
    <t>Jharkhand</t>
  </si>
  <si>
    <t>Ranchi</t>
  </si>
  <si>
    <t>Eco Phones 702</t>
  </si>
  <si>
    <t>ORD-2024-10044</t>
  </si>
  <si>
    <t>CUST-7119</t>
  </si>
  <si>
    <t>Smart Furnishings 956</t>
  </si>
  <si>
    <t>ORD-2024-10045</t>
  </si>
  <si>
    <t>CUST-3373</t>
  </si>
  <si>
    <t>Haryana</t>
  </si>
  <si>
    <t>Gurugram</t>
  </si>
  <si>
    <t>Max Chairs 393</t>
  </si>
  <si>
    <t>ORD-2024-10046</t>
  </si>
  <si>
    <t>CUST-8896</t>
  </si>
  <si>
    <t>Prime Art 221</t>
  </si>
  <si>
    <t>ORD-2024-10047</t>
  </si>
  <si>
    <t>CUST-8517</t>
  </si>
  <si>
    <t>Elite Bookcases 671</t>
  </si>
  <si>
    <t>ORD-2024-10048</t>
  </si>
  <si>
    <t>CUST-1987</t>
  </si>
  <si>
    <t>Tamil Nadu</t>
  </si>
  <si>
    <t>Chennai</t>
  </si>
  <si>
    <t>Max Storage 432</t>
  </si>
  <si>
    <t>ORD-2025-10049</t>
  </si>
  <si>
    <t>CUST-8183</t>
  </si>
  <si>
    <t>Basic Chairs 837</t>
  </si>
  <si>
    <t>ORD-2024-10050</t>
  </si>
  <si>
    <t>CUST-2380</t>
  </si>
  <si>
    <t>Classic Copiers 295</t>
  </si>
  <si>
    <t>ORD-2025-10051</t>
  </si>
  <si>
    <t>CUST-8787</t>
  </si>
  <si>
    <t>Pro Copiers 963</t>
  </si>
  <si>
    <t>ORD-2024-10052</t>
  </si>
  <si>
    <t>CUST-3557</t>
  </si>
  <si>
    <t>Pro Art 907</t>
  </si>
  <si>
    <t>ORD-2024-10053</t>
  </si>
  <si>
    <t>CUST-2778</t>
  </si>
  <si>
    <t>Kabir Singh</t>
  </si>
  <si>
    <t>Pro Chairs 526</t>
  </si>
  <si>
    <t>ORD-2025-10054</t>
  </si>
  <si>
    <t>CUST-7195</t>
  </si>
  <si>
    <t>Elite Storage 924</t>
  </si>
  <si>
    <t>ORD-2025-10055</t>
  </si>
  <si>
    <t>CUST-9039</t>
  </si>
  <si>
    <t>Pro Labels 957</t>
  </si>
  <si>
    <t>ORD-2025-10056</t>
  </si>
  <si>
    <t>CUST-9821</t>
  </si>
  <si>
    <t>Machines</t>
  </si>
  <si>
    <t>Classic Machines 310</t>
  </si>
  <si>
    <t>ORD-2025-10057</t>
  </si>
  <si>
    <t>CUST-8701</t>
  </si>
  <si>
    <t>Smart Binders 393</t>
  </si>
  <si>
    <t>ORD-2024-10058</t>
  </si>
  <si>
    <t>CUST-9941</t>
  </si>
  <si>
    <t>Max Chairs 813</t>
  </si>
  <si>
    <t>ORD-2024-10059</t>
  </si>
  <si>
    <t>CUST-3983</t>
  </si>
  <si>
    <t>Basic Storage 872</t>
  </si>
  <si>
    <t>ORD-2024-10060</t>
  </si>
  <si>
    <t>CUST-2418</t>
  </si>
  <si>
    <t>Smart Labels 655</t>
  </si>
  <si>
    <t>ORD-2024-10061</t>
  </si>
  <si>
    <t>CUST-2892</t>
  </si>
  <si>
    <t>Eco Labels 210</t>
  </si>
  <si>
    <t>ORD-2024-10062</t>
  </si>
  <si>
    <t>CUST-7008</t>
  </si>
  <si>
    <t>Classic Bookcases 296</t>
  </si>
  <si>
    <t>ORD-2024-10063</t>
  </si>
  <si>
    <t>CUST-4900</t>
  </si>
  <si>
    <t>Basic Phones 230</t>
  </si>
  <si>
    <t>ORD-2024-10064</t>
  </si>
  <si>
    <t>CUST-5382</t>
  </si>
  <si>
    <t>Pro Binders 690</t>
  </si>
  <si>
    <t>ORD-2024-10065</t>
  </si>
  <si>
    <t>CUST-2749</t>
  </si>
  <si>
    <t>Classic Paper 458</t>
  </si>
  <si>
    <t>ORD-2024-10066</t>
  </si>
  <si>
    <t>CUST-2463</t>
  </si>
  <si>
    <t>Pro Paper 552</t>
  </si>
  <si>
    <t>ORD-2025-10067</t>
  </si>
  <si>
    <t>CUST-1504</t>
  </si>
  <si>
    <t>Elite Accessories 187</t>
  </si>
  <si>
    <t>ORD-2025-10068</t>
  </si>
  <si>
    <t>CUST-8282</t>
  </si>
  <si>
    <t>Eco Paper 922</t>
  </si>
  <si>
    <t>ORD-2024-10069</t>
  </si>
  <si>
    <t>CUST-6054</t>
  </si>
  <si>
    <t>Pro Storage 975</t>
  </si>
  <si>
    <t>ORD-2024-10070</t>
  </si>
  <si>
    <t>CUST-5979</t>
  </si>
  <si>
    <t>Prime Machines 782</t>
  </si>
  <si>
    <t>ORD-2025-10071</t>
  </si>
  <si>
    <t>CUST-5582</t>
  </si>
  <si>
    <t>Max Phones 661</t>
  </si>
  <si>
    <t>ORD-2025-10072</t>
  </si>
  <si>
    <t>CUST-3308</t>
  </si>
  <si>
    <t>Elite Machines 836</t>
  </si>
  <si>
    <t>ORD-2024-10073</t>
  </si>
  <si>
    <t>CUST-5018</t>
  </si>
  <si>
    <t>Prime Tables 902</t>
  </si>
  <si>
    <t>ORD-2025-10074</t>
  </si>
  <si>
    <t>CUST-2342</t>
  </si>
  <si>
    <t>Smart Bookcases 167</t>
  </si>
  <si>
    <t>ORD-2025-10075</t>
  </si>
  <si>
    <t>CUST-6201</t>
  </si>
  <si>
    <t>Max Chairs 244</t>
  </si>
  <si>
    <t>ORD-2025-10076</t>
  </si>
  <si>
    <t>CUST-5808</t>
  </si>
  <si>
    <t>Eco Labels 653</t>
  </si>
  <si>
    <t>ORD-2024-10077</t>
  </si>
  <si>
    <t>CUST-2642</t>
  </si>
  <si>
    <t>Max Labels 617</t>
  </si>
  <si>
    <t>ORD-2025-10078</t>
  </si>
  <si>
    <t>CUST-4385</t>
  </si>
  <si>
    <t>Pro Furnishings 529</t>
  </si>
  <si>
    <t>ORD-2025-10079</t>
  </si>
  <si>
    <t>CUST-8043</t>
  </si>
  <si>
    <t>Smart Tables 561</t>
  </si>
  <si>
    <t>ORD-2025-10080</t>
  </si>
  <si>
    <t>CUST-9978</t>
  </si>
  <si>
    <t>Prime Chairs 838</t>
  </si>
  <si>
    <t>ORD-2024-10081</t>
  </si>
  <si>
    <t>CUST-2094</t>
  </si>
  <si>
    <t>Delhi</t>
  </si>
  <si>
    <t>New Delhi</t>
  </si>
  <si>
    <t>Elite Storage 371</t>
  </si>
  <si>
    <t>ORD-2025-10082</t>
  </si>
  <si>
    <t>CUST-7907</t>
  </si>
  <si>
    <t>Eco Labels 662</t>
  </si>
  <si>
    <t>ORD-2024-10083</t>
  </si>
  <si>
    <t>CUST-6516</t>
  </si>
  <si>
    <t>Smart Copiers 702</t>
  </si>
  <si>
    <t>ORD-2024-10084</t>
  </si>
  <si>
    <t>CUST-4989</t>
  </si>
  <si>
    <t>Elite Tables 362</t>
  </si>
  <si>
    <t>ORD-2024-10085</t>
  </si>
  <si>
    <t>CUST-3758</t>
  </si>
  <si>
    <t>Elite Phones 781</t>
  </si>
  <si>
    <t>ORD-2024-10086</t>
  </si>
  <si>
    <t>CUST-6702</t>
  </si>
  <si>
    <t>Eco Binders 456</t>
  </si>
  <si>
    <t>ORD-2024-10087</t>
  </si>
  <si>
    <t>CUST-9148</t>
  </si>
  <si>
    <t>Basic Copiers 525</t>
  </si>
  <si>
    <t>ORD-2024-10088</t>
  </si>
  <si>
    <t>CUST-5829</t>
  </si>
  <si>
    <t>Eco Binders 258</t>
  </si>
  <si>
    <t>ORD-2024-10089</t>
  </si>
  <si>
    <t>CUST-6059</t>
  </si>
  <si>
    <t>Max Bookcases 398</t>
  </si>
  <si>
    <t>ORD-2024-10090</t>
  </si>
  <si>
    <t>CUST-7744</t>
  </si>
  <si>
    <t>Smart Bookcases 857</t>
  </si>
  <si>
    <t>ORD-2025-10091</t>
  </si>
  <si>
    <t>CUST-5909</t>
  </si>
  <si>
    <t>Smart Copiers 556</t>
  </si>
  <si>
    <t>ORD-2025-10092</t>
  </si>
  <si>
    <t>CUST-6409</t>
  </si>
  <si>
    <t>Prime Copiers 575</t>
  </si>
  <si>
    <t>ORD-2025-10093</t>
  </si>
  <si>
    <t>CUST-3014</t>
  </si>
  <si>
    <t>Elite Paper 669</t>
  </si>
  <si>
    <t>ORD-2024-10094</t>
  </si>
  <si>
    <t>CUST-6106</t>
  </si>
  <si>
    <t>Eco Binders 780</t>
  </si>
  <si>
    <t>ORD-2024-10095</t>
  </si>
  <si>
    <t>CUST-1926</t>
  </si>
  <si>
    <t>Elite Phones 723</t>
  </si>
  <si>
    <t>ORD-2025-10096</t>
  </si>
  <si>
    <t>CUST-2687</t>
  </si>
  <si>
    <t>Classic Bookcases 988</t>
  </si>
  <si>
    <t>ORD-2024-10097</t>
  </si>
  <si>
    <t>CUST-7283</t>
  </si>
  <si>
    <t>Smart Copiers 547</t>
  </si>
  <si>
    <t>ORD-2025-10098</t>
  </si>
  <si>
    <t>CUST-8111</t>
  </si>
  <si>
    <t>Basic Storage 656</t>
  </si>
  <si>
    <t>ORD-2024-10099</t>
  </si>
  <si>
    <t>CUST-5434</t>
  </si>
  <si>
    <t>Elite Copiers 785</t>
  </si>
  <si>
    <t>ORD-2025-10100</t>
  </si>
  <si>
    <t>CUST-3865</t>
  </si>
  <si>
    <t>Smart Accessories 542</t>
  </si>
  <si>
    <t>ORD-2025-10101</t>
  </si>
  <si>
    <t>CUST-6015</t>
  </si>
  <si>
    <t>Eco Storage 936</t>
  </si>
  <si>
    <t>ORD-2024-10102</t>
  </si>
  <si>
    <t>CUST-7909</t>
  </si>
  <si>
    <t>Classic Furnishings 682</t>
  </si>
  <si>
    <t>ORD-2025-10103</t>
  </si>
  <si>
    <t>CUST-9603</t>
  </si>
  <si>
    <t>Classic Chairs 604</t>
  </si>
  <si>
    <t>ORD-2025-10104</t>
  </si>
  <si>
    <t>CUST-6263</t>
  </si>
  <si>
    <t>Prime Tables 377</t>
  </si>
  <si>
    <t>ORD-2025-10105</t>
  </si>
  <si>
    <t>CUST-1576</t>
  </si>
  <si>
    <t>Prime Labels 807</t>
  </si>
  <si>
    <t>ORD-2024-10106</t>
  </si>
  <si>
    <t>CUST-6540</t>
  </si>
  <si>
    <t>Eco Tables 575</t>
  </si>
  <si>
    <t>ORD-2024-10107</t>
  </si>
  <si>
    <t>CUST-4008</t>
  </si>
  <si>
    <t>Eco Paper 918</t>
  </si>
  <si>
    <t>ORD-2024-10108</t>
  </si>
  <si>
    <t>CUST-6604</t>
  </si>
  <si>
    <t>Prime Furnishings 952</t>
  </si>
  <si>
    <t>ORD-2024-10109</t>
  </si>
  <si>
    <t>CUST-4337</t>
  </si>
  <si>
    <t>Prime Bookcases 631</t>
  </si>
  <si>
    <t>ORD-2025-10110</t>
  </si>
  <si>
    <t>CUST-3740</t>
  </si>
  <si>
    <t>Classic Binders 660</t>
  </si>
  <si>
    <t>ORD-2024-10111</t>
  </si>
  <si>
    <t>CUST-7128</t>
  </si>
  <si>
    <t>Pro Labels 255</t>
  </si>
  <si>
    <t>ORD-2025-10112</t>
  </si>
  <si>
    <t>CUST-4743</t>
  </si>
  <si>
    <t>Basic Accessories 187</t>
  </si>
  <si>
    <t>ORD-2024-10113</t>
  </si>
  <si>
    <t>CUST-5213</t>
  </si>
  <si>
    <t>Max Accessories 451</t>
  </si>
  <si>
    <t>ORD-2024-10114</t>
  </si>
  <si>
    <t>Classic Tables 752</t>
  </si>
  <si>
    <t>ORD-2024-10115</t>
  </si>
  <si>
    <t>CUST-2927</t>
  </si>
  <si>
    <t>Eco Accessories 452</t>
  </si>
  <si>
    <t>ORD-2024-10116</t>
  </si>
  <si>
    <t>CUST-7764</t>
  </si>
  <si>
    <t>Classic Binders 203</t>
  </si>
  <si>
    <t>ORD-2025-10117</t>
  </si>
  <si>
    <t>CUST-3632</t>
  </si>
  <si>
    <t>Basic Binders 859</t>
  </si>
  <si>
    <t>ORD-2024-10118</t>
  </si>
  <si>
    <t>CUST-9608</t>
  </si>
  <si>
    <t>Elite Machines 705</t>
  </si>
  <si>
    <t>ORD-2024-10119</t>
  </si>
  <si>
    <t>CUST-9135</t>
  </si>
  <si>
    <t>Pro Copiers 208</t>
  </si>
  <si>
    <t>ORD-2024-10120</t>
  </si>
  <si>
    <t>CUST-7861</t>
  </si>
  <si>
    <t>Elite Chairs 921</t>
  </si>
  <si>
    <t>ORD-2024-10121</t>
  </si>
  <si>
    <t>CUST-6096</t>
  </si>
  <si>
    <t>Prime Phones 540</t>
  </si>
  <si>
    <t>ORD-2025-10122</t>
  </si>
  <si>
    <t>CUST-2044</t>
  </si>
  <si>
    <t>Max Machines 948</t>
  </si>
  <si>
    <t>ORD-2024-10123</t>
  </si>
  <si>
    <t>CUST-1721</t>
  </si>
  <si>
    <t>Max Chairs 786</t>
  </si>
  <si>
    <t>ORD-2024-10124</t>
  </si>
  <si>
    <t>CUST-1007</t>
  </si>
  <si>
    <t>Max Copiers 970</t>
  </si>
  <si>
    <t>ORD-2024-10125</t>
  </si>
  <si>
    <t>CUST-4450</t>
  </si>
  <si>
    <t>Pro Copiers 769</t>
  </si>
  <si>
    <t>ORD-2025-10126</t>
  </si>
  <si>
    <t>CUST-7924</t>
  </si>
  <si>
    <t>Basic Tables 753</t>
  </si>
  <si>
    <t>ORD-2025-10127</t>
  </si>
  <si>
    <t>CUST-1715</t>
  </si>
  <si>
    <t>Prime Copiers 651</t>
  </si>
  <si>
    <t>ORD-2025-10128</t>
  </si>
  <si>
    <t>CUST-6802</t>
  </si>
  <si>
    <t>Basic Storage 321</t>
  </si>
  <si>
    <t>ORD-2024-10129</t>
  </si>
  <si>
    <t>CUST-9328</t>
  </si>
  <si>
    <t>Prime Furnishings 710</t>
  </si>
  <si>
    <t>ORD-2024-10130</t>
  </si>
  <si>
    <t>CUST-2588</t>
  </si>
  <si>
    <t>Elite Binders 723</t>
  </si>
  <si>
    <t>ORD-2024-10131</t>
  </si>
  <si>
    <t>CUST-5435</t>
  </si>
  <si>
    <t>Smart Labels 878</t>
  </si>
  <si>
    <t>ORD-2025-10132</t>
  </si>
  <si>
    <t>CUST-7637</t>
  </si>
  <si>
    <t>Pro Paper 934</t>
  </si>
  <si>
    <t>ORD-2024-10133</t>
  </si>
  <si>
    <t>CUST-3602</t>
  </si>
  <si>
    <t>Classic Machines 886</t>
  </si>
  <si>
    <t>ORD-2024-10134</t>
  </si>
  <si>
    <t>CUST-9441</t>
  </si>
  <si>
    <t>Prime Phones 419</t>
  </si>
  <si>
    <t>ORD-2025-10135</t>
  </si>
  <si>
    <t>CUST-7361</t>
  </si>
  <si>
    <t>Elite Bookcases 266</t>
  </si>
  <si>
    <t>ORD-2025-10136</t>
  </si>
  <si>
    <t>CUST-1148</t>
  </si>
  <si>
    <t>Prime Bookcases 954</t>
  </si>
  <si>
    <t>ORD-2025-10137</t>
  </si>
  <si>
    <t>CUST-3350</t>
  </si>
  <si>
    <t>Max Binders 362</t>
  </si>
  <si>
    <t>ORD-2025-10138</t>
  </si>
  <si>
    <t>CUST-7932</t>
  </si>
  <si>
    <t>Prime Chairs 261</t>
  </si>
  <si>
    <t>ORD-2024-10139</t>
  </si>
  <si>
    <t>CUST-7173</t>
  </si>
  <si>
    <t>Basic Machines 185</t>
  </si>
  <si>
    <t>ORD-2025-10140</t>
  </si>
  <si>
    <t>CUST-4225</t>
  </si>
  <si>
    <t>Basic Labels 509</t>
  </si>
  <si>
    <t>ORD-2024-10141</t>
  </si>
  <si>
    <t>CUST-2149</t>
  </si>
  <si>
    <t>Elite Bookcases 696</t>
  </si>
  <si>
    <t>ORD-2024-10142</t>
  </si>
  <si>
    <t>CUST-3314</t>
  </si>
  <si>
    <t>Elite Bookcases 772</t>
  </si>
  <si>
    <t>ORD-2024-10143</t>
  </si>
  <si>
    <t>CUST-8944</t>
  </si>
  <si>
    <t>Classic Phones 142</t>
  </si>
  <si>
    <t>ORD-2024-10144</t>
  </si>
  <si>
    <t>CUST-3144</t>
  </si>
  <si>
    <t>Pro Paper 575</t>
  </si>
  <si>
    <t>ORD-2024-10145</t>
  </si>
  <si>
    <t>CUST-6747</t>
  </si>
  <si>
    <t>Elite Accessories 905</t>
  </si>
  <si>
    <t>ORD-2025-10146</t>
  </si>
  <si>
    <t>CUST-6161</t>
  </si>
  <si>
    <t>Smart Paper 899</t>
  </si>
  <si>
    <t>ORD-2025-10147</t>
  </si>
  <si>
    <t>CUST-1460</t>
  </si>
  <si>
    <t>Classic Storage 423</t>
  </si>
  <si>
    <t>ORD-2024-10148</t>
  </si>
  <si>
    <t>CUST-2692</t>
  </si>
  <si>
    <t>Classic Furnishings 743</t>
  </si>
  <si>
    <t>ORD-2025-10149</t>
  </si>
  <si>
    <t>CUST-2822</t>
  </si>
  <si>
    <t>Smart Phones 336</t>
  </si>
  <si>
    <t>ORD-2024-10150</t>
  </si>
  <si>
    <t>CUST-5876</t>
  </si>
  <si>
    <t>Eco Copiers 381</t>
  </si>
  <si>
    <t>ORD-2024-10151</t>
  </si>
  <si>
    <t>CUST-4661</t>
  </si>
  <si>
    <t>Max Bookcases 595</t>
  </si>
  <si>
    <t>ORD-2024-10152</t>
  </si>
  <si>
    <t>CUST-6011</t>
  </si>
  <si>
    <t>Max Copiers 992</t>
  </si>
  <si>
    <t>ORD-2024-10153</t>
  </si>
  <si>
    <t>CUST-6160</t>
  </si>
  <si>
    <t>Pro Tables 407</t>
  </si>
  <si>
    <t>ORD-2025-10154</t>
  </si>
  <si>
    <t>CUST-6971</t>
  </si>
  <si>
    <t>Prime Labels 559</t>
  </si>
  <si>
    <t>ORD-2024-10155</t>
  </si>
  <si>
    <t>Classic Bookcases 847</t>
  </si>
  <si>
    <t>ORD-2025-10156</t>
  </si>
  <si>
    <t>CUST-8327</t>
  </si>
  <si>
    <t>Classic Furnishings 655</t>
  </si>
  <si>
    <t>ORD-2025-10157</t>
  </si>
  <si>
    <t>CUST-4058</t>
  </si>
  <si>
    <t>Eco Machines 657</t>
  </si>
  <si>
    <t>ORD-2024-10158</t>
  </si>
  <si>
    <t>CUST-1142</t>
  </si>
  <si>
    <t>Pro Bookcases 430</t>
  </si>
  <si>
    <t>ORD-2024-10159</t>
  </si>
  <si>
    <t>CUST-2324</t>
  </si>
  <si>
    <t>Max Bookcases 881</t>
  </si>
  <si>
    <t>ORD-2025-10160</t>
  </si>
  <si>
    <t>CUST-7717</t>
  </si>
  <si>
    <t>Elite Chairs 998</t>
  </si>
  <si>
    <t>ORD-2025-10161</t>
  </si>
  <si>
    <t>CUST-4932</t>
  </si>
  <si>
    <t>Max Paper 113</t>
  </si>
  <si>
    <t>ORD-2025-10162</t>
  </si>
  <si>
    <t>CUST-2367</t>
  </si>
  <si>
    <t>Smart Binders 267</t>
  </si>
  <si>
    <t>ORD-2024-10163</t>
  </si>
  <si>
    <t>CUST-4830</t>
  </si>
  <si>
    <t>Pro Furnishings 108</t>
  </si>
  <si>
    <t>ORD-2025-10164</t>
  </si>
  <si>
    <t>CUST-2548</t>
  </si>
  <si>
    <t>Elite Tables 389</t>
  </si>
  <si>
    <t>ORD-2025-10165</t>
  </si>
  <si>
    <t>CUST-3833</t>
  </si>
  <si>
    <t>Pro Bookcases 595</t>
  </si>
  <si>
    <t>ORD-2024-10166</t>
  </si>
  <si>
    <t>CUST-4598</t>
  </si>
  <si>
    <t>Max Chairs 148</t>
  </si>
  <si>
    <t>ORD-2025-10167</t>
  </si>
  <si>
    <t>CUST-7215</t>
  </si>
  <si>
    <t>Basic Labels 671</t>
  </si>
  <si>
    <t>ORD-2025-10168</t>
  </si>
  <si>
    <t>CUST-7770</t>
  </si>
  <si>
    <t>Elite Storage 628</t>
  </si>
  <si>
    <t>ORD-2025-10169</t>
  </si>
  <si>
    <t>CUST-9756</t>
  </si>
  <si>
    <t>Eco Accessories 590</t>
  </si>
  <si>
    <t>ORD-2025-10170</t>
  </si>
  <si>
    <t>CUST-2261</t>
  </si>
  <si>
    <t>Pro Art 734</t>
  </si>
  <si>
    <t>ORD-2025-10171</t>
  </si>
  <si>
    <t>CUST-3734</t>
  </si>
  <si>
    <t>Eco Copiers 102</t>
  </si>
  <si>
    <t>ORD-2025-10172</t>
  </si>
  <si>
    <t>CUST-3436</t>
  </si>
  <si>
    <t>Basic Labels 876</t>
  </si>
  <si>
    <t>ORD-2025-10173</t>
  </si>
  <si>
    <t>CUST-4845</t>
  </si>
  <si>
    <t>Prime Furnishings 381</t>
  </si>
  <si>
    <t>ORD-2024-10174</t>
  </si>
  <si>
    <t>CUST-6153</t>
  </si>
  <si>
    <t>Prime Copiers 440</t>
  </si>
  <si>
    <t>ORD-2025-10175</t>
  </si>
  <si>
    <t>CUST-5475</t>
  </si>
  <si>
    <t>Pro Bookcases 319</t>
  </si>
  <si>
    <t>ORD-2024-10176</t>
  </si>
  <si>
    <t>CUST-5580</t>
  </si>
  <si>
    <t>Basic Machines 584</t>
  </si>
  <si>
    <t>ORD-2025-10177</t>
  </si>
  <si>
    <t>CUST-3027</t>
  </si>
  <si>
    <t>Pro Bookcases 612</t>
  </si>
  <si>
    <t>ORD-2024-10178</t>
  </si>
  <si>
    <t>CUST-4399</t>
  </si>
  <si>
    <t>Classic Art 573</t>
  </si>
  <si>
    <t>ORD-2024-10179</t>
  </si>
  <si>
    <t>CUST-3092</t>
  </si>
  <si>
    <t>Eco Art 854</t>
  </si>
  <si>
    <t>ORD-2024-10180</t>
  </si>
  <si>
    <t>CUST-1778</t>
  </si>
  <si>
    <t>Classic Furnishings 996</t>
  </si>
  <si>
    <t>ORD-2024-10181</t>
  </si>
  <si>
    <t>CUST-3787</t>
  </si>
  <si>
    <t>Prime Binders 735</t>
  </si>
  <si>
    <t>ORD-2025-10182</t>
  </si>
  <si>
    <t>CUST-5119</t>
  </si>
  <si>
    <t>Pro Art 587</t>
  </si>
  <si>
    <t>ORD-2024-10183</t>
  </si>
  <si>
    <t>CUST-4121</t>
  </si>
  <si>
    <t>Basic Machines 575</t>
  </si>
  <si>
    <t>ORD-2025-10184</t>
  </si>
  <si>
    <t>CUST-3366</t>
  </si>
  <si>
    <t>Elite Copiers 788</t>
  </si>
  <si>
    <t>ORD-2024-10185</t>
  </si>
  <si>
    <t>CUST-1358</t>
  </si>
  <si>
    <t>Max Bookcases 472</t>
  </si>
  <si>
    <t>ORD-2024-10186</t>
  </si>
  <si>
    <t>CUST-4968</t>
  </si>
  <si>
    <t>Smart Labels 475</t>
  </si>
  <si>
    <t>ORD-2024-10187</t>
  </si>
  <si>
    <t>Basic Tables 417</t>
  </si>
  <si>
    <t>ORD-2025-10188</t>
  </si>
  <si>
    <t>CUST-3109</t>
  </si>
  <si>
    <t>Pro Chairs 844</t>
  </si>
  <si>
    <t>ORD-2025-10189</t>
  </si>
  <si>
    <t>CUST-3422</t>
  </si>
  <si>
    <t>Elite Bookcases 883</t>
  </si>
  <si>
    <t>ORD-2025-10190</t>
  </si>
  <si>
    <t>CUST-3375</t>
  </si>
  <si>
    <t>Basic Bookcases 754</t>
  </si>
  <si>
    <t>ORD-2025-10191</t>
  </si>
  <si>
    <t>CUST-5138</t>
  </si>
  <si>
    <t>Eco Storage 158</t>
  </si>
  <si>
    <t>ORD-2024-10192</t>
  </si>
  <si>
    <t>CUST-7410</t>
  </si>
  <si>
    <t>Prime Bookcases 602</t>
  </si>
  <si>
    <t>ORD-2024-10193</t>
  </si>
  <si>
    <t>CUST-7115</t>
  </si>
  <si>
    <t>Eco Chairs 438</t>
  </si>
  <si>
    <t>ORD-2024-10194</t>
  </si>
  <si>
    <t>CUST-9853</t>
  </si>
  <si>
    <t>Prime Copiers 142</t>
  </si>
  <si>
    <t>ORD-2025-10195</t>
  </si>
  <si>
    <t>CUST-3637</t>
  </si>
  <si>
    <t>Prime Furnishings 433</t>
  </si>
  <si>
    <t>ORD-2025-10196</t>
  </si>
  <si>
    <t>CUST-4328</t>
  </si>
  <si>
    <t>Smart Furnishings 685</t>
  </si>
  <si>
    <t>ORD-2024-10197</t>
  </si>
  <si>
    <t>CUST-8028</t>
  </si>
  <si>
    <t>Elite Storage 915</t>
  </si>
  <si>
    <t>ORD-2025-10198</t>
  </si>
  <si>
    <t>Basic Storage 961</t>
  </si>
  <si>
    <t>ORD-2024-10199</t>
  </si>
  <si>
    <t>CUST-7820</t>
  </si>
  <si>
    <t>Classic Art 968</t>
  </si>
  <si>
    <t>ORD-2024-10200</t>
  </si>
  <si>
    <t>CUST-4536</t>
  </si>
  <si>
    <t>Prime Machines 806</t>
  </si>
  <si>
    <t>ORD-2025-10201</t>
  </si>
  <si>
    <t>CUST-7047</t>
  </si>
  <si>
    <t>Classic Copiers 479</t>
  </si>
  <si>
    <t>ORD-2025-10202</t>
  </si>
  <si>
    <t>CUST-8005</t>
  </si>
  <si>
    <t>Basic Labels 511</t>
  </si>
  <si>
    <t>ORD-2025-10203</t>
  </si>
  <si>
    <t>CUST-9378</t>
  </si>
  <si>
    <t>Prime Accessories 733</t>
  </si>
  <si>
    <t>ORD-2024-10204</t>
  </si>
  <si>
    <t>CUST-3384</t>
  </si>
  <si>
    <t>Max Accessories 186</t>
  </si>
  <si>
    <t>ORD-2025-10205</t>
  </si>
  <si>
    <t>CUST-1986</t>
  </si>
  <si>
    <t>Elite Tables 318</t>
  </si>
  <si>
    <t>ORD-2025-10206</t>
  </si>
  <si>
    <t>CUST-3338</t>
  </si>
  <si>
    <t>Smart Labels 354</t>
  </si>
  <si>
    <t>ORD-2025-10207</t>
  </si>
  <si>
    <t>CUST-2343</t>
  </si>
  <si>
    <t>Pro Furnishings 981</t>
  </si>
  <si>
    <t>ORD-2024-10208</t>
  </si>
  <si>
    <t>CUST-3362</t>
  </si>
  <si>
    <t>Eco Bookcases 671</t>
  </si>
  <si>
    <t>ORD-2025-10209</t>
  </si>
  <si>
    <t>CUST-3662</t>
  </si>
  <si>
    <t>Max Chairs 151</t>
  </si>
  <si>
    <t>ORD-2025-10210</t>
  </si>
  <si>
    <t>CUST-4947</t>
  </si>
  <si>
    <t>Prime Paper 903</t>
  </si>
  <si>
    <t>ORD-2024-10211</t>
  </si>
  <si>
    <t>CUST-3076</t>
  </si>
  <si>
    <t>Classic Machines 944</t>
  </si>
  <si>
    <t>ORD-2024-10212</t>
  </si>
  <si>
    <t>CUST-2222</t>
  </si>
  <si>
    <t>Basic Copiers 222</t>
  </si>
  <si>
    <t>ORD-2024-10213</t>
  </si>
  <si>
    <t>CUST-3610</t>
  </si>
  <si>
    <t>Max Phones 329</t>
  </si>
  <si>
    <t>ORD-2024-10214</t>
  </si>
  <si>
    <t>CUST-9136</t>
  </si>
  <si>
    <t>Classic Accessories 840</t>
  </si>
  <si>
    <t>ORD-2024-10215</t>
  </si>
  <si>
    <t>CUST-1301</t>
  </si>
  <si>
    <t>Classic Accessories 757</t>
  </si>
  <si>
    <t>ORD-2024-10216</t>
  </si>
  <si>
    <t>CUST-8603</t>
  </si>
  <si>
    <t>Prime Paper 286</t>
  </si>
  <si>
    <t>ORD-2025-10217</t>
  </si>
  <si>
    <t>CUST-4330</t>
  </si>
  <si>
    <t>Basic Tables 400</t>
  </si>
  <si>
    <t>ORD-2025-10218</t>
  </si>
  <si>
    <t>CUST-4533</t>
  </si>
  <si>
    <t>Basic Bookcases 405</t>
  </si>
  <si>
    <t>ORD-2025-10219</t>
  </si>
  <si>
    <t>CUST-8270</t>
  </si>
  <si>
    <t>Classic Bookcases 139</t>
  </si>
  <si>
    <t>ORD-2024-10220</t>
  </si>
  <si>
    <t>CUST-1472</t>
  </si>
  <si>
    <t>Elite Machines 290</t>
  </si>
  <si>
    <t>ORD-2024-10221</t>
  </si>
  <si>
    <t>CUST-1031</t>
  </si>
  <si>
    <t>Elite Storage 925</t>
  </si>
  <si>
    <t>ORD-2025-10222</t>
  </si>
  <si>
    <t>CUST-2495</t>
  </si>
  <si>
    <t>Classic Chairs 231</t>
  </si>
  <si>
    <t>ORD-2025-10223</t>
  </si>
  <si>
    <t>CUST-4583</t>
  </si>
  <si>
    <t>Prime Storage 818</t>
  </si>
  <si>
    <t>ORD-2025-10224</t>
  </si>
  <si>
    <t>CUST-5319</t>
  </si>
  <si>
    <t>Elite Furnishings 449</t>
  </si>
  <si>
    <t>ORD-2025-10225</t>
  </si>
  <si>
    <t>CUST-9871</t>
  </si>
  <si>
    <t>Classic Furnishings 109</t>
  </si>
  <si>
    <t>ORD-2024-10226</t>
  </si>
  <si>
    <t>CUST-1266</t>
  </si>
  <si>
    <t>Classic Phones 548</t>
  </si>
  <si>
    <t>ORD-2025-10227</t>
  </si>
  <si>
    <t>CUST-2545</t>
  </si>
  <si>
    <t>Max Copiers 363</t>
  </si>
  <si>
    <t>ORD-2024-10228</t>
  </si>
  <si>
    <t>CUST-2819</t>
  </si>
  <si>
    <t>Prime Binders 507</t>
  </si>
  <si>
    <t>ORD-2024-10229</t>
  </si>
  <si>
    <t>CUST-1076</t>
  </si>
  <si>
    <t>Smart Labels 914</t>
  </si>
  <si>
    <t>ORD-2025-10230</t>
  </si>
  <si>
    <t>CUST-1943</t>
  </si>
  <si>
    <t>Smart Bookcases 662</t>
  </si>
  <si>
    <t>ORD-2024-10231</t>
  </si>
  <si>
    <t>CUST-3434</t>
  </si>
  <si>
    <t>Eco Paper 937</t>
  </si>
  <si>
    <t>ORD-2024-10232</t>
  </si>
  <si>
    <t>CUST-9139</t>
  </si>
  <si>
    <t>Max Labels 370</t>
  </si>
  <si>
    <t>ORD-2025-10233</t>
  </si>
  <si>
    <t>CUST-5341</t>
  </si>
  <si>
    <t>Classic Phones 530</t>
  </si>
  <si>
    <t>ORD-2024-10234</t>
  </si>
  <si>
    <t>CUST-3710</t>
  </si>
  <si>
    <t>Smart Bookcases 328</t>
  </si>
  <si>
    <t>ORD-2024-10235</t>
  </si>
  <si>
    <t>CUST-9754</t>
  </si>
  <si>
    <t>Eco Furnishings 981</t>
  </si>
  <si>
    <t>ORD-2024-10236</t>
  </si>
  <si>
    <t>CUST-6256</t>
  </si>
  <si>
    <t>Basic Storage 195</t>
  </si>
  <si>
    <t>ORD-2024-10237</t>
  </si>
  <si>
    <t>CUST-7113</t>
  </si>
  <si>
    <t>Elite Bookcases 907</t>
  </si>
  <si>
    <t>ORD-2024-10238</t>
  </si>
  <si>
    <t>CUST-3827</t>
  </si>
  <si>
    <t>Smart Copiers 471</t>
  </si>
  <si>
    <t>ORD-2024-10239</t>
  </si>
  <si>
    <t>CUST-2375</t>
  </si>
  <si>
    <t>Prime Storage 625</t>
  </si>
  <si>
    <t>ORD-2024-10240</t>
  </si>
  <si>
    <t>CUST-2233</t>
  </si>
  <si>
    <t>Smart Machines 801</t>
  </si>
  <si>
    <t>ORD-2024-10241</t>
  </si>
  <si>
    <t>CUST-9778</t>
  </si>
  <si>
    <t>Max Binders 170</t>
  </si>
  <si>
    <t>ORD-2025-10242</t>
  </si>
  <si>
    <t>CUST-6949</t>
  </si>
  <si>
    <t>Basic Storage 737</t>
  </si>
  <si>
    <t>ORD-2025-10243</t>
  </si>
  <si>
    <t>CUST-3430</t>
  </si>
  <si>
    <t>Classic Art 126</t>
  </si>
  <si>
    <t>ORD-2025-10244</t>
  </si>
  <si>
    <t>CUST-6310</t>
  </si>
  <si>
    <t>Prime Accessories 243</t>
  </si>
  <si>
    <t>ORD-2024-10245</t>
  </si>
  <si>
    <t>CUST-6008</t>
  </si>
  <si>
    <t>Eco Bookcases 768</t>
  </si>
  <si>
    <t>ORD-2024-10246</t>
  </si>
  <si>
    <t>CUST-1704</t>
  </si>
  <si>
    <t>Pro Chairs 316</t>
  </si>
  <si>
    <t>ORD-2024-10247</t>
  </si>
  <si>
    <t>CUST-1827</t>
  </si>
  <si>
    <t>Classic Machines 819</t>
  </si>
  <si>
    <t>ORD-2024-10248</t>
  </si>
  <si>
    <t>CUST-6663</t>
  </si>
  <si>
    <t>Smart Accessories 572</t>
  </si>
  <si>
    <t>ORD-2024-10249</t>
  </si>
  <si>
    <t>CUST-6278</t>
  </si>
  <si>
    <t>Basic Labels 432</t>
  </si>
  <si>
    <t>ORD-2025-10250</t>
  </si>
  <si>
    <t>CUST-2305</t>
  </si>
  <si>
    <t>Classic Furnishings 378</t>
  </si>
  <si>
    <t>ORD-2024-10251</t>
  </si>
  <si>
    <t>CUST-5351</t>
  </si>
  <si>
    <t>Prime Furnishings 781</t>
  </si>
  <si>
    <t>ORD-2025-10252</t>
  </si>
  <si>
    <t>CUST-6268</t>
  </si>
  <si>
    <t>Prime Tables 263</t>
  </si>
  <si>
    <t>ORD-2025-10253</t>
  </si>
  <si>
    <t>CUST-2103</t>
  </si>
  <si>
    <t>Basic Storage 269</t>
  </si>
  <si>
    <t>ORD-2024-10254</t>
  </si>
  <si>
    <t>CUST-5394</t>
  </si>
  <si>
    <t>Classic Phones 442</t>
  </si>
  <si>
    <t>ORD-2025-10255</t>
  </si>
  <si>
    <t>CUST-6853</t>
  </si>
  <si>
    <t>Elite Accessories 978</t>
  </si>
  <si>
    <t>ORD-2025-10256</t>
  </si>
  <si>
    <t>CUST-1549</t>
  </si>
  <si>
    <t>Eco Phones 132</t>
  </si>
  <si>
    <t>ORD-2024-10257</t>
  </si>
  <si>
    <t>CUST-8411</t>
  </si>
  <si>
    <t>Prime Tables 481</t>
  </si>
  <si>
    <t>ORD-2025-10258</t>
  </si>
  <si>
    <t>CUST-5615</t>
  </si>
  <si>
    <t>Smart Accessories 180</t>
  </si>
  <si>
    <t>ORD-2024-10259</t>
  </si>
  <si>
    <t>CUST-8467</t>
  </si>
  <si>
    <t>Smart Tables 774</t>
  </si>
  <si>
    <t>ORD-2024-10260</t>
  </si>
  <si>
    <t>CUST-5174</t>
  </si>
  <si>
    <t>Prime Machines 793</t>
  </si>
  <si>
    <t>ORD-2025-10261</t>
  </si>
  <si>
    <t>CUST-3543</t>
  </si>
  <si>
    <t>Elite Binders 827</t>
  </si>
  <si>
    <t>ORD-2025-10262</t>
  </si>
  <si>
    <t>CUST-7623</t>
  </si>
  <si>
    <t>Prime Labels 326</t>
  </si>
  <si>
    <t>ORD-2025-10263</t>
  </si>
  <si>
    <t>Eco Phones 245</t>
  </si>
  <si>
    <t>ORD-2025-10264</t>
  </si>
  <si>
    <t>CUST-8265</t>
  </si>
  <si>
    <t>Smart Binders 905</t>
  </si>
  <si>
    <t>ORD-2024-10265</t>
  </si>
  <si>
    <t>CUST-4750</t>
  </si>
  <si>
    <t>Pro Copiers 599</t>
  </si>
  <si>
    <t>ORD-2024-10266</t>
  </si>
  <si>
    <t>CUST-3974</t>
  </si>
  <si>
    <t>Basic Bookcases 570</t>
  </si>
  <si>
    <t>ORD-2025-10267</t>
  </si>
  <si>
    <t>CUST-7114</t>
  </si>
  <si>
    <t>Classic Storage 926</t>
  </si>
  <si>
    <t>ORD-2025-10268</t>
  </si>
  <si>
    <t>CUST-4431</t>
  </si>
  <si>
    <t>Basic Furnishings 372</t>
  </si>
  <si>
    <t>ORD-2025-10269</t>
  </si>
  <si>
    <t>CUST-1488</t>
  </si>
  <si>
    <t>Prime Accessories 367</t>
  </si>
  <si>
    <t>ORD-2025-10270</t>
  </si>
  <si>
    <t>CUST-1586</t>
  </si>
  <si>
    <t>Max Tables 526</t>
  </si>
  <si>
    <t>ORD-2024-10271</t>
  </si>
  <si>
    <t>CUST-2487</t>
  </si>
  <si>
    <t>Prime Machines 794</t>
  </si>
  <si>
    <t>ORD-2024-10272</t>
  </si>
  <si>
    <t>CUST-8009</t>
  </si>
  <si>
    <t>Max Binders 927</t>
  </si>
  <si>
    <t>ORD-2024-10273</t>
  </si>
  <si>
    <t>CUST-7389</t>
  </si>
  <si>
    <t>Eco Chairs 314</t>
  </si>
  <si>
    <t>ORD-2025-10274</t>
  </si>
  <si>
    <t>CUST-8249</t>
  </si>
  <si>
    <t>Basic Paper 657</t>
  </si>
  <si>
    <t>ORD-2024-10275</t>
  </si>
  <si>
    <t>CUST-4202</t>
  </si>
  <si>
    <t>Pro Copiers 406</t>
  </si>
  <si>
    <t>ORD-2024-10276</t>
  </si>
  <si>
    <t>CUST-2875</t>
  </si>
  <si>
    <t>Eco Furnishings 678</t>
  </si>
  <si>
    <t>ORD-2024-10277</t>
  </si>
  <si>
    <t>CUST-7039</t>
  </si>
  <si>
    <t>Basic Chairs 141</t>
  </si>
  <si>
    <t>ORD-2025-10278</t>
  </si>
  <si>
    <t>Elite Accessories 291</t>
  </si>
  <si>
    <t>ORD-2025-10279</t>
  </si>
  <si>
    <t>CUST-8242</t>
  </si>
  <si>
    <t>Pro Accessories 207</t>
  </si>
  <si>
    <t>ORD-2024-10280</t>
  </si>
  <si>
    <t>CUST-4571</t>
  </si>
  <si>
    <t>Max Storage 564</t>
  </si>
  <si>
    <t>ORD-2024-10281</t>
  </si>
  <si>
    <t>CUST-4098</t>
  </si>
  <si>
    <t>Prime Copiers 961</t>
  </si>
  <si>
    <t>ORD-2025-10282</t>
  </si>
  <si>
    <t>CUST-2052</t>
  </si>
  <si>
    <t>Basic Binders 637</t>
  </si>
  <si>
    <t>ORD-2024-10283</t>
  </si>
  <si>
    <t>CUST-9445</t>
  </si>
  <si>
    <t>Classic Tables 811</t>
  </si>
  <si>
    <t>ORD-2025-10284</t>
  </si>
  <si>
    <t>CUST-6568</t>
  </si>
  <si>
    <t>Classic Furnishings 819</t>
  </si>
  <si>
    <t>ORD-2024-10285</t>
  </si>
  <si>
    <t>CUST-2076</t>
  </si>
  <si>
    <t>Prime Tables 542</t>
  </si>
  <si>
    <t>ORD-2025-10286</t>
  </si>
  <si>
    <t>CUST-5610</t>
  </si>
  <si>
    <t>Basic Storage 771</t>
  </si>
  <si>
    <t>ORD-2024-10287</t>
  </si>
  <si>
    <t>CUST-5823</t>
  </si>
  <si>
    <t>Pro Furnishings 848</t>
  </si>
  <si>
    <t>ORD-2024-10288</t>
  </si>
  <si>
    <t>CUST-7095</t>
  </si>
  <si>
    <t>Prime Copiers 924</t>
  </si>
  <si>
    <t>ORD-2024-10289</t>
  </si>
  <si>
    <t>CUST-4805</t>
  </si>
  <si>
    <t>Classic Binders 721</t>
  </si>
  <si>
    <t>ORD-2025-10290</t>
  </si>
  <si>
    <t>CUST-9114</t>
  </si>
  <si>
    <t>Basic Bookcases 823</t>
  </si>
  <si>
    <t>ORD-2025-10291</t>
  </si>
  <si>
    <t>CUST-8557</t>
  </si>
  <si>
    <t>Classic Tables 178</t>
  </si>
  <si>
    <t>ORD-2024-10292</t>
  </si>
  <si>
    <t>CUST-2860</t>
  </si>
  <si>
    <t>Eco Binders 153</t>
  </si>
  <si>
    <t>ORD-2025-10293</t>
  </si>
  <si>
    <t>CUST-7837</t>
  </si>
  <si>
    <t>Classic Art 183</t>
  </si>
  <si>
    <t>ORD-2024-10294</t>
  </si>
  <si>
    <t>CUST-7010</t>
  </si>
  <si>
    <t>Pro Phones 455</t>
  </si>
  <si>
    <t>ORD-2025-10295</t>
  </si>
  <si>
    <t>CUST-4755</t>
  </si>
  <si>
    <t>Basic Phones 326</t>
  </si>
  <si>
    <t>ORD-2025-10296</t>
  </si>
  <si>
    <t>CUST-6778</t>
  </si>
  <si>
    <t>Max Binders 587</t>
  </si>
  <si>
    <t>ORD-2025-10297</t>
  </si>
  <si>
    <t>CUST-7629</t>
  </si>
  <si>
    <t>Basic Furnishings 617</t>
  </si>
  <si>
    <t>ORD-2024-10298</t>
  </si>
  <si>
    <t>CUST-6724</t>
  </si>
  <si>
    <t>Prime Copiers 669</t>
  </si>
  <si>
    <t>ORD-2025-10299</t>
  </si>
  <si>
    <t>CUST-2141</t>
  </si>
  <si>
    <t>Eco Copiers 894</t>
  </si>
  <si>
    <t>ORD-2024-10300</t>
  </si>
  <si>
    <t>CUST-7264</t>
  </si>
  <si>
    <t>Max Accessories 145</t>
  </si>
  <si>
    <t>ORD-2024-10301</t>
  </si>
  <si>
    <t>CUST-2668</t>
  </si>
  <si>
    <t>Classic Accessories 126</t>
  </si>
  <si>
    <t>ORD-2025-10302</t>
  </si>
  <si>
    <t>CUST-5599</t>
  </si>
  <si>
    <t>Elite Phones 202</t>
  </si>
  <si>
    <t>ORD-2025-10303</t>
  </si>
  <si>
    <t>CUST-1623</t>
  </si>
  <si>
    <t>Elite Storage 535</t>
  </si>
  <si>
    <t>ORD-2024-10304</t>
  </si>
  <si>
    <t>CUST-9035</t>
  </si>
  <si>
    <t>Elite Chairs 107</t>
  </si>
  <si>
    <t>ORD-2024-10305</t>
  </si>
  <si>
    <t>CUST-6286</t>
  </si>
  <si>
    <t>Pro Furnishings 991</t>
  </si>
  <si>
    <t>ORD-2024-10306</t>
  </si>
  <si>
    <t>CUST-7246</t>
  </si>
  <si>
    <t>Eco Chairs 105</t>
  </si>
  <si>
    <t>ORD-2025-10307</t>
  </si>
  <si>
    <t>CUST-2589</t>
  </si>
  <si>
    <t>Pro Phones 530</t>
  </si>
  <si>
    <t>ORD-2025-10308</t>
  </si>
  <si>
    <t>CUST-4153</t>
  </si>
  <si>
    <t>Basic Tables 911</t>
  </si>
  <si>
    <t>ORD-2025-10309</t>
  </si>
  <si>
    <t>CUST-6727</t>
  </si>
  <si>
    <t>Classic Tables 224</t>
  </si>
  <si>
    <t>ORD-2024-10310</t>
  </si>
  <si>
    <t>CUST-8860</t>
  </si>
  <si>
    <t>Prime Tables 214</t>
  </si>
  <si>
    <t>ORD-2024-10311</t>
  </si>
  <si>
    <t>CUST-3784</t>
  </si>
  <si>
    <t>Max Machines 988</t>
  </si>
  <si>
    <t>ORD-2024-10312</t>
  </si>
  <si>
    <t>CUST-3545</t>
  </si>
  <si>
    <t>Max Binders 425</t>
  </si>
  <si>
    <t>ORD-2024-10313</t>
  </si>
  <si>
    <t>CUST-4851</t>
  </si>
  <si>
    <t>Elite Phones 679</t>
  </si>
  <si>
    <t>ORD-2025-10314</t>
  </si>
  <si>
    <t>CUST-4770</t>
  </si>
  <si>
    <t>Pro Phones 764</t>
  </si>
  <si>
    <t>ORD-2025-10315</t>
  </si>
  <si>
    <t>CUST-1945</t>
  </si>
  <si>
    <t>Elite Labels 544</t>
  </si>
  <si>
    <t>ORD-2024-10316</t>
  </si>
  <si>
    <t>CUST-7565</t>
  </si>
  <si>
    <t>Smart Paper 817</t>
  </si>
  <si>
    <t>ORD-2024-10317</t>
  </si>
  <si>
    <t>CUST-9913</t>
  </si>
  <si>
    <t>Classic Labels 466</t>
  </si>
  <si>
    <t>ORD-2025-10318</t>
  </si>
  <si>
    <t>CUST-7992</t>
  </si>
  <si>
    <t>Pro Tables 778</t>
  </si>
  <si>
    <t>ORD-2024-10319</t>
  </si>
  <si>
    <t>CUST-8877</t>
  </si>
  <si>
    <t>Basic Phones 789</t>
  </si>
  <si>
    <t>ORD-2024-10320</t>
  </si>
  <si>
    <t>CUST-4589</t>
  </si>
  <si>
    <t>Prime Binders 554</t>
  </si>
  <si>
    <t>ORD-2024-10321</t>
  </si>
  <si>
    <t>CUST-4667</t>
  </si>
  <si>
    <t>Classic Art 299</t>
  </si>
  <si>
    <t>ORD-2024-10322</t>
  </si>
  <si>
    <t>CUST-7821</t>
  </si>
  <si>
    <t>Eco Accessories 220</t>
  </si>
  <si>
    <t>ORD-2024-10323</t>
  </si>
  <si>
    <t>CUST-8579</t>
  </si>
  <si>
    <t>Max Phones 422</t>
  </si>
  <si>
    <t>ORD-2024-10324</t>
  </si>
  <si>
    <t>CUST-6909</t>
  </si>
  <si>
    <t>ORD-2025-10325</t>
  </si>
  <si>
    <t>CUST-7212</t>
  </si>
  <si>
    <t>Basic Labels 102</t>
  </si>
  <si>
    <t>ORD-2025-10326</t>
  </si>
  <si>
    <t>CUST-7980</t>
  </si>
  <si>
    <t>Prime Copiers 170</t>
  </si>
  <si>
    <t>ORD-2025-10327</t>
  </si>
  <si>
    <t>CUST-1966</t>
  </si>
  <si>
    <t>Smart Furnishings 533</t>
  </si>
  <si>
    <t>ORD-2024-10328</t>
  </si>
  <si>
    <t>CUST-6163</t>
  </si>
  <si>
    <t>Classic Accessories 489</t>
  </si>
  <si>
    <t>ORD-2025-10329</t>
  </si>
  <si>
    <t>CUST-7239</t>
  </si>
  <si>
    <t>Smart Storage 439</t>
  </si>
  <si>
    <t>ORD-2025-10330</t>
  </si>
  <si>
    <t>CUST-9718</t>
  </si>
  <si>
    <t>Prime Storage 232</t>
  </si>
  <si>
    <t>ORD-2024-10331</t>
  </si>
  <si>
    <t>CUST-1116</t>
  </si>
  <si>
    <t>Prime Accessories 335</t>
  </si>
  <si>
    <t>ORD-2024-10332</t>
  </si>
  <si>
    <t>CUST-9346</t>
  </si>
  <si>
    <t>Smart Binders 939</t>
  </si>
  <si>
    <t>ORD-2025-10333</t>
  </si>
  <si>
    <t>CUST-5332</t>
  </si>
  <si>
    <t>Basic Machines 601</t>
  </si>
  <si>
    <t>ORD-2025-10334</t>
  </si>
  <si>
    <t>CUST-8081</t>
  </si>
  <si>
    <t>Pro Phones 968</t>
  </si>
  <si>
    <t>ORD-2024-10335</t>
  </si>
  <si>
    <t>CUST-3062</t>
  </si>
  <si>
    <t>Pro Storage 563</t>
  </si>
  <si>
    <t>ORD-2025-10336</t>
  </si>
  <si>
    <t>CUST-3621</t>
  </si>
  <si>
    <t>Prime Paper 559</t>
  </si>
  <si>
    <t>ORD-2024-10337</t>
  </si>
  <si>
    <t>Pro Copiers 999</t>
  </si>
  <si>
    <t>ORD-2024-10338</t>
  </si>
  <si>
    <t>CUST-4599</t>
  </si>
  <si>
    <t>Classic Labels 206</t>
  </si>
  <si>
    <t>ORD-2024-10339</t>
  </si>
  <si>
    <t>CUST-3066</t>
  </si>
  <si>
    <t>Eco Accessories 315</t>
  </si>
  <si>
    <t>ORD-2025-10340</t>
  </si>
  <si>
    <t>CUST-2752</t>
  </si>
  <si>
    <t>Elite Bookcases 988</t>
  </si>
  <si>
    <t>ORD-2024-10341</t>
  </si>
  <si>
    <t>CUST-6291</t>
  </si>
  <si>
    <t>Smart Binders 414</t>
  </si>
  <si>
    <t>ORD-2025-10342</t>
  </si>
  <si>
    <t>CUST-9969</t>
  </si>
  <si>
    <t>Eco Chairs 552</t>
  </si>
  <si>
    <t>ORD-2025-10343</t>
  </si>
  <si>
    <t>CUST-3335</t>
  </si>
  <si>
    <t>Smart Binders 574</t>
  </si>
  <si>
    <t>ORD-2025-10344</t>
  </si>
  <si>
    <t>CUST-7358</t>
  </si>
  <si>
    <t>Pro Machines 444</t>
  </si>
  <si>
    <t>ORD-2024-10345</t>
  </si>
  <si>
    <t>CUST-8025</t>
  </si>
  <si>
    <t>Elite Bookcases 184</t>
  </si>
  <si>
    <t>ORD-2024-10346</t>
  </si>
  <si>
    <t>CUST-4634</t>
  </si>
  <si>
    <t>Elite Furnishings 138</t>
  </si>
  <si>
    <t>ORD-2025-10347</t>
  </si>
  <si>
    <t>CUST-3400</t>
  </si>
  <si>
    <t>Eco Chairs 369</t>
  </si>
  <si>
    <t>ORD-2024-10348</t>
  </si>
  <si>
    <t>CUST-1172</t>
  </si>
  <si>
    <t>Max Chairs 487</t>
  </si>
  <si>
    <t>ORD-2024-10349</t>
  </si>
  <si>
    <t>CUST-9517</t>
  </si>
  <si>
    <t>Classic Phones 989</t>
  </si>
  <si>
    <t>ORD-2025-10350</t>
  </si>
  <si>
    <t>CUST-6697</t>
  </si>
  <si>
    <t>Max Furnishings 628</t>
  </si>
  <si>
    <t>ORD-2024-10351</t>
  </si>
  <si>
    <t>CUST-7644</t>
  </si>
  <si>
    <t>Elite Furnishings 279</t>
  </si>
  <si>
    <t>ORD-2025-10352</t>
  </si>
  <si>
    <t>CUST-9963</t>
  </si>
  <si>
    <t>Pro Storage 847</t>
  </si>
  <si>
    <t>ORD-2025-10353</t>
  </si>
  <si>
    <t>CUST-6382</t>
  </si>
  <si>
    <t>Elite Copiers 706</t>
  </si>
  <si>
    <t>ORD-2025-10354</t>
  </si>
  <si>
    <t>CUST-3253</t>
  </si>
  <si>
    <t>Prime Art 978</t>
  </si>
  <si>
    <t>ORD-2024-10355</t>
  </si>
  <si>
    <t>CUST-1058</t>
  </si>
  <si>
    <t>Classic Furnishings 498</t>
  </si>
  <si>
    <t>ORD-2024-10356</t>
  </si>
  <si>
    <t>CUST-6414</t>
  </si>
  <si>
    <t>Max Tables 829</t>
  </si>
  <si>
    <t>ORD-2025-10357</t>
  </si>
  <si>
    <t>CUST-9268</t>
  </si>
  <si>
    <t>Eco Chairs 346</t>
  </si>
  <si>
    <t>ORD-2025-10358</t>
  </si>
  <si>
    <t>CUST-1363</t>
  </si>
  <si>
    <t>Max Machines 770</t>
  </si>
  <si>
    <t>ORD-2025-10359</t>
  </si>
  <si>
    <t>CUST-2477</t>
  </si>
  <si>
    <t>Smart Bookcases 134</t>
  </si>
  <si>
    <t>ORD-2024-10360</t>
  </si>
  <si>
    <t>CUST-9571</t>
  </si>
  <si>
    <t>Classic Phones 586</t>
  </si>
  <si>
    <t>ORD-2024-10361</t>
  </si>
  <si>
    <t>CUST-3690</t>
  </si>
  <si>
    <t>Elite Furnishings 634</t>
  </si>
  <si>
    <t>ORD-2025-10362</t>
  </si>
  <si>
    <t>CUST-2909</t>
  </si>
  <si>
    <t>Basic Chairs 113</t>
  </si>
  <si>
    <t>ORD-2024-10363</t>
  </si>
  <si>
    <t>CUST-6755</t>
  </si>
  <si>
    <t>Elite Machines 216</t>
  </si>
  <si>
    <t>ORD-2025-10364</t>
  </si>
  <si>
    <t>CUST-1832</t>
  </si>
  <si>
    <t>Smart Tables 943</t>
  </si>
  <si>
    <t>ORD-2025-10365</t>
  </si>
  <si>
    <t>CUST-4452</t>
  </si>
  <si>
    <t>Prime Chairs 101</t>
  </si>
  <si>
    <t>ORD-2024-10366</t>
  </si>
  <si>
    <t>CUST-2203</t>
  </si>
  <si>
    <t>Basic Accessories 774</t>
  </si>
  <si>
    <t>ORD-2025-10367</t>
  </si>
  <si>
    <t>CUST-5397</t>
  </si>
  <si>
    <t>Max Tables 478</t>
  </si>
  <si>
    <t>ORD-2024-10368</t>
  </si>
  <si>
    <t>CUST-4696</t>
  </si>
  <si>
    <t>Eco Art 646</t>
  </si>
  <si>
    <t>ORD-2025-10369</t>
  </si>
  <si>
    <t>CUST-8246</t>
  </si>
  <si>
    <t>Prime Accessories 962</t>
  </si>
  <si>
    <t>ORD-2025-10370</t>
  </si>
  <si>
    <t>CUST-5672</t>
  </si>
  <si>
    <t>Eco Labels 646</t>
  </si>
  <si>
    <t>ORD-2024-10371</t>
  </si>
  <si>
    <t>CUST-8521</t>
  </si>
  <si>
    <t>Classic Copiers 505</t>
  </si>
  <si>
    <t>ORD-2024-10372</t>
  </si>
  <si>
    <t>CUST-2204</t>
  </si>
  <si>
    <t>Pro Art 906</t>
  </si>
  <si>
    <t>ORD-2025-10373</t>
  </si>
  <si>
    <t>Max Chairs 181</t>
  </si>
  <si>
    <t>ORD-2025-10374</t>
  </si>
  <si>
    <t>CUST-8566</t>
  </si>
  <si>
    <t>Prime Storage 951</t>
  </si>
  <si>
    <t>ORD-2025-10375</t>
  </si>
  <si>
    <t>CUST-2358</t>
  </si>
  <si>
    <t>Smart Labels 668</t>
  </si>
  <si>
    <t>ORD-2024-10376</t>
  </si>
  <si>
    <t>CUST-2810</t>
  </si>
  <si>
    <t>Pro Chairs 364</t>
  </si>
  <si>
    <t>ORD-2024-10377</t>
  </si>
  <si>
    <t>CUST-5166</t>
  </si>
  <si>
    <t>Basic Chairs 248</t>
  </si>
  <si>
    <t>ORD-2025-10378</t>
  </si>
  <si>
    <t>CUST-4875</t>
  </si>
  <si>
    <t>Basic Storage 360</t>
  </si>
  <si>
    <t>ORD-2025-10379</t>
  </si>
  <si>
    <t>CUST-3154</t>
  </si>
  <si>
    <t>Basic Accessories 988</t>
  </si>
  <si>
    <t>ORD-2024-10380</t>
  </si>
  <si>
    <t>CUST-6405</t>
  </si>
  <si>
    <t>Max Paper 334</t>
  </si>
  <si>
    <t>ORD-2024-10381</t>
  </si>
  <si>
    <t>CUST-5779</t>
  </si>
  <si>
    <t>Prime Bookcases 952</t>
  </si>
  <si>
    <t>ORD-2025-10382</t>
  </si>
  <si>
    <t>CUST-9943</t>
  </si>
  <si>
    <t>Prime Binders 523</t>
  </si>
  <si>
    <t>ORD-2025-10383</t>
  </si>
  <si>
    <t>Pro Phones 538</t>
  </si>
  <si>
    <t>ORD-2025-10384</t>
  </si>
  <si>
    <t>CUST-7438</t>
  </si>
  <si>
    <t>Basic Art 608</t>
  </si>
  <si>
    <t>ORD-2024-10385</t>
  </si>
  <si>
    <t>CUST-8432</t>
  </si>
  <si>
    <t>Prime Copiers 820</t>
  </si>
  <si>
    <t>ORD-2025-10386</t>
  </si>
  <si>
    <t>CUST-2834</t>
  </si>
  <si>
    <t>Classic Labels 670</t>
  </si>
  <si>
    <t>ORD-2025-10387</t>
  </si>
  <si>
    <t>CUST-4222</t>
  </si>
  <si>
    <t>Prime Furnishings 597</t>
  </si>
  <si>
    <t>ORD-2025-10388</t>
  </si>
  <si>
    <t>CUST-1053</t>
  </si>
  <si>
    <t>Prime Chairs 196</t>
  </si>
  <si>
    <t>ORD-2024-10389</t>
  </si>
  <si>
    <t>CUST-1457</t>
  </si>
  <si>
    <t>Elite Chairs 639</t>
  </si>
  <si>
    <t>ORD-2024-10390</t>
  </si>
  <si>
    <t>CUST-3930</t>
  </si>
  <si>
    <t>Elite Machines 563</t>
  </si>
  <si>
    <t>ORD-2024-10391</t>
  </si>
  <si>
    <t>CUST-7853</t>
  </si>
  <si>
    <t>Pro Furnishings 281</t>
  </si>
  <si>
    <t>ORD-2025-10392</t>
  </si>
  <si>
    <t>CUST-2267</t>
  </si>
  <si>
    <t>Eco Storage 285</t>
  </si>
  <si>
    <t>ORD-2024-10393</t>
  </si>
  <si>
    <t>CUST-6866</t>
  </si>
  <si>
    <t>Classic Furnishings 746</t>
  </si>
  <si>
    <t>ORD-2024-10394</t>
  </si>
  <si>
    <t>CUST-3160</t>
  </si>
  <si>
    <t>Eco Labels 815</t>
  </si>
  <si>
    <t>ORD-2024-10395</t>
  </si>
  <si>
    <t>CUST-8444</t>
  </si>
  <si>
    <t>Prime Furnishings 879</t>
  </si>
  <si>
    <t>ORD-2024-10396</t>
  </si>
  <si>
    <t>CUST-4765</t>
  </si>
  <si>
    <t>Pro Tables 142</t>
  </si>
  <si>
    <t>ORD-2025-10397</t>
  </si>
  <si>
    <t>CUST-2280</t>
  </si>
  <si>
    <t>Prime Machines 267</t>
  </si>
  <si>
    <t>ORD-2025-10398</t>
  </si>
  <si>
    <t>CUST-3177</t>
  </si>
  <si>
    <t>Eco Tables 378</t>
  </si>
  <si>
    <t>ORD-2024-10399</t>
  </si>
  <si>
    <t>CUST-4718</t>
  </si>
  <si>
    <t>Elite Machines 523</t>
  </si>
  <si>
    <t>ORD-2025-10400</t>
  </si>
  <si>
    <t>CUST-5647</t>
  </si>
  <si>
    <t>Elite Paper 308</t>
  </si>
  <si>
    <t>ORD-2025-10401</t>
  </si>
  <si>
    <t>CUST-7150</t>
  </si>
  <si>
    <t>Prime Paper 851</t>
  </si>
  <si>
    <t>ORD-2025-10402</t>
  </si>
  <si>
    <t>CUST-6694</t>
  </si>
  <si>
    <t>Classic Tables 151</t>
  </si>
  <si>
    <t>ORD-2024-10403</t>
  </si>
  <si>
    <t>CUST-7680</t>
  </si>
  <si>
    <t>Smart Tables 829</t>
  </si>
  <si>
    <t>ORD-2024-10404</t>
  </si>
  <si>
    <t>CUST-2700</t>
  </si>
  <si>
    <t>Classic Paper 237</t>
  </si>
  <si>
    <t>ORD-2024-10405</t>
  </si>
  <si>
    <t>CUST-2904</t>
  </si>
  <si>
    <t>Prime Chairs 891</t>
  </si>
  <si>
    <t>ORD-2024-10406</t>
  </si>
  <si>
    <t>CUST-9961</t>
  </si>
  <si>
    <t>Max Bookcases 812</t>
  </si>
  <si>
    <t>ORD-2025-10407</t>
  </si>
  <si>
    <t>CUST-9909</t>
  </si>
  <si>
    <t>Basic Furnishings 164</t>
  </si>
  <si>
    <t>ORD-2024-10408</t>
  </si>
  <si>
    <t>CUST-8520</t>
  </si>
  <si>
    <t>Smart Labels 261</t>
  </si>
  <si>
    <t>ORD-2025-10409</t>
  </si>
  <si>
    <t>CUST-5036</t>
  </si>
  <si>
    <t>Max Chairs 765</t>
  </si>
  <si>
    <t>ORD-2025-10410</t>
  </si>
  <si>
    <t>CUST-7721</t>
  </si>
  <si>
    <t>Pro Accessories 686</t>
  </si>
  <si>
    <t>ORD-2024-10411</t>
  </si>
  <si>
    <t>CUST-9495</t>
  </si>
  <si>
    <t>Smart Tables 100</t>
  </si>
  <si>
    <t>ORD-2025-10412</t>
  </si>
  <si>
    <t>CUST-2855</t>
  </si>
  <si>
    <t>Basic Tables 615</t>
  </si>
  <si>
    <t>ORD-2024-10413</t>
  </si>
  <si>
    <t>CUST-4329</t>
  </si>
  <si>
    <t>Basic Chairs 790</t>
  </si>
  <si>
    <t>ORD-2025-10414</t>
  </si>
  <si>
    <t>CUST-5094</t>
  </si>
  <si>
    <t>Smart Accessories 226</t>
  </si>
  <si>
    <t>ORD-2024-10415</t>
  </si>
  <si>
    <t>CUST-4194</t>
  </si>
  <si>
    <t>Max Storage 692</t>
  </si>
  <si>
    <t>ORD-2024-10416</t>
  </si>
  <si>
    <t>CUST-7087</t>
  </si>
  <si>
    <t>Basic Storage 684</t>
  </si>
  <si>
    <t>ORD-2025-10417</t>
  </si>
  <si>
    <t>CUST-7608</t>
  </si>
  <si>
    <t>Smart Furnishings 152</t>
  </si>
  <si>
    <t>ORD-2025-10418</t>
  </si>
  <si>
    <t>CUST-5269</t>
  </si>
  <si>
    <t>Max Art 736</t>
  </si>
  <si>
    <t>ORD-2024-10419</t>
  </si>
  <si>
    <t>CUST-7925</t>
  </si>
  <si>
    <t>Elite Copiers 971</t>
  </si>
  <si>
    <t>ORD-2025-10420</t>
  </si>
  <si>
    <t>CUST-6552</t>
  </si>
  <si>
    <t>Classic Phones 940</t>
  </si>
  <si>
    <t>ORD-2025-10421</t>
  </si>
  <si>
    <t>CUST-7131</t>
  </si>
  <si>
    <t>Pro Machines 579</t>
  </si>
  <si>
    <t>ORD-2025-10422</t>
  </si>
  <si>
    <t>CUST-2779</t>
  </si>
  <si>
    <t>Elite Binders 943</t>
  </si>
  <si>
    <t>ORD-2025-10423</t>
  </si>
  <si>
    <t>CUST-6077</t>
  </si>
  <si>
    <t>Elite Copiers 474</t>
  </si>
  <si>
    <t>ORD-2024-10424</t>
  </si>
  <si>
    <t>CUST-6169</t>
  </si>
  <si>
    <t>Prime Accessories 236</t>
  </si>
  <si>
    <t>ORD-2024-10425</t>
  </si>
  <si>
    <t>CUST-8904</t>
  </si>
  <si>
    <t>Prime Phones 881</t>
  </si>
  <si>
    <t>ORD-2024-10426</t>
  </si>
  <si>
    <t>CUST-9586</t>
  </si>
  <si>
    <t>Pro Labels 903</t>
  </si>
  <si>
    <t>ORD-2024-10427</t>
  </si>
  <si>
    <t>CUST-5431</t>
  </si>
  <si>
    <t>Max Copiers 402</t>
  </si>
  <si>
    <t>ORD-2025-10428</t>
  </si>
  <si>
    <t>CUST-8843</t>
  </si>
  <si>
    <t>Prime Accessories 419</t>
  </si>
  <si>
    <t>ORD-2025-10429</t>
  </si>
  <si>
    <t>CUST-7626</t>
  </si>
  <si>
    <t>Elite Phones 488</t>
  </si>
  <si>
    <t>ORD-2025-10430</t>
  </si>
  <si>
    <t>CUST-8562</t>
  </si>
  <si>
    <t>Prime Copiers 109</t>
  </si>
  <si>
    <t>ORD-2024-10431</t>
  </si>
  <si>
    <t>CUST-2732</t>
  </si>
  <si>
    <t>Max Paper 576</t>
  </si>
  <si>
    <t>ORD-2024-10432</t>
  </si>
  <si>
    <t>CUST-3989</t>
  </si>
  <si>
    <t>Max Machines 412</t>
  </si>
  <si>
    <t>ORD-2024-10433</t>
  </si>
  <si>
    <t>CUST-3522</t>
  </si>
  <si>
    <t>Classic Bookcases 291</t>
  </si>
  <si>
    <t>ORD-2024-10434</t>
  </si>
  <si>
    <t>CUST-7066</t>
  </si>
  <si>
    <t>Elite Art 946</t>
  </si>
  <si>
    <t>ORD-2025-10435</t>
  </si>
  <si>
    <t>CUST-2351</t>
  </si>
  <si>
    <t>Eco Accessories 705</t>
  </si>
  <si>
    <t>ORD-2025-10436</t>
  </si>
  <si>
    <t>CUST-7291</t>
  </si>
  <si>
    <t>Max Machines 151</t>
  </si>
  <si>
    <t>ORD-2024-10437</t>
  </si>
  <si>
    <t>CUST-4492</t>
  </si>
  <si>
    <t>Max Furnishings 803</t>
  </si>
  <si>
    <t>ORD-2024-10438</t>
  </si>
  <si>
    <t>CUST-5029</t>
  </si>
  <si>
    <t>Max Accessories 423</t>
  </si>
  <si>
    <t>ORD-2025-10439</t>
  </si>
  <si>
    <t>CUST-7252</t>
  </si>
  <si>
    <t>Elite Phones 276</t>
  </si>
  <si>
    <t>ORD-2025-10440</t>
  </si>
  <si>
    <t>CUST-7346</t>
  </si>
  <si>
    <t>Smart Storage 287</t>
  </si>
  <si>
    <t>ORD-2024-10441</t>
  </si>
  <si>
    <t>Basic Machines 610</t>
  </si>
  <si>
    <t>ORD-2024-10442</t>
  </si>
  <si>
    <t>CUST-3975</t>
  </si>
  <si>
    <t>Elite Bookcases 393</t>
  </si>
  <si>
    <t>ORD-2025-10443</t>
  </si>
  <si>
    <t>CUST-6588</t>
  </si>
  <si>
    <t>Prime Tables 242</t>
  </si>
  <si>
    <t>ORD-2024-10444</t>
  </si>
  <si>
    <t>CUST-2207</t>
  </si>
  <si>
    <t>Basic Furnishings 563</t>
  </si>
  <si>
    <t>ORD-2025-10445</t>
  </si>
  <si>
    <t>CUST-4475</t>
  </si>
  <si>
    <t>Prime Accessories 482</t>
  </si>
  <si>
    <t>ORD-2024-10446</t>
  </si>
  <si>
    <t>CUST-1351</t>
  </si>
  <si>
    <t>Eco Bookcases 215</t>
  </si>
  <si>
    <t>ORD-2025-10447</t>
  </si>
  <si>
    <t>CUST-9295</t>
  </si>
  <si>
    <t>Eco Storage 793</t>
  </si>
  <si>
    <t>ORD-2025-10448</t>
  </si>
  <si>
    <t>CUST-3614</t>
  </si>
  <si>
    <t>Basic Bookcases 182</t>
  </si>
  <si>
    <t>ORD-2024-10449</t>
  </si>
  <si>
    <t>CUST-1932</t>
  </si>
  <si>
    <t>Prime Chairs 631</t>
  </si>
  <si>
    <t>ORD-2024-10450</t>
  </si>
  <si>
    <t>Basic Machines 808</t>
  </si>
  <si>
    <t>ORD-2025-10451</t>
  </si>
  <si>
    <t>CUST-8672</t>
  </si>
  <si>
    <t>Pro Chairs 302</t>
  </si>
  <si>
    <t>ORD-2024-10452</t>
  </si>
  <si>
    <t>CUST-3907</t>
  </si>
  <si>
    <t>Classic Paper 272</t>
  </si>
  <si>
    <t>ORD-2024-10453</t>
  </si>
  <si>
    <t>CUST-8796</t>
  </si>
  <si>
    <t>Smart Accessories 149</t>
  </si>
  <si>
    <t>ORD-2025-10454</t>
  </si>
  <si>
    <t>CUST-2317</t>
  </si>
  <si>
    <t>Elite Labels 322</t>
  </si>
  <si>
    <t>ORD-2025-10455</t>
  </si>
  <si>
    <t>CUST-8643</t>
  </si>
  <si>
    <t>Max Furnishings 821</t>
  </si>
  <si>
    <t>ORD-2024-10456</t>
  </si>
  <si>
    <t>CUST-1800</t>
  </si>
  <si>
    <t>Basic Art 556</t>
  </si>
  <si>
    <t>ORD-2024-10457</t>
  </si>
  <si>
    <t>CUST-7688</t>
  </si>
  <si>
    <t>Smart Accessories 265</t>
  </si>
  <si>
    <t>ORD-2024-10458</t>
  </si>
  <si>
    <t>CUST-4957</t>
  </si>
  <si>
    <t>Elite Tables 418</t>
  </si>
  <si>
    <t>ORD-2024-10459</t>
  </si>
  <si>
    <t>CUST-1263</t>
  </si>
  <si>
    <t>Pro Phones 907</t>
  </si>
  <si>
    <t>ORD-2024-10460</t>
  </si>
  <si>
    <t>CUST-4745</t>
  </si>
  <si>
    <t>Basic Paper 233</t>
  </si>
  <si>
    <t>ORD-2025-10461</t>
  </si>
  <si>
    <t>CUST-5551</t>
  </si>
  <si>
    <t>Eco Copiers 603</t>
  </si>
  <si>
    <t>ORD-2025-10462</t>
  </si>
  <si>
    <t>CUST-3659</t>
  </si>
  <si>
    <t>Max Paper 700</t>
  </si>
  <si>
    <t>ORD-2024-10463</t>
  </si>
  <si>
    <t>CUST-6594</t>
  </si>
  <si>
    <t>Pro Binders 404</t>
  </si>
  <si>
    <t>ORD-2025-10464</t>
  </si>
  <si>
    <t>CUST-2626</t>
  </si>
  <si>
    <t>Eco Phones 208</t>
  </si>
  <si>
    <t>ORD-2025-10465</t>
  </si>
  <si>
    <t>CUST-7362</t>
  </si>
  <si>
    <t>Elite Paper 106</t>
  </si>
  <si>
    <t>ORD-2024-10466</t>
  </si>
  <si>
    <t>CUST-1748</t>
  </si>
  <si>
    <t>Eco Labels 914</t>
  </si>
  <si>
    <t>ORD-2024-10467</t>
  </si>
  <si>
    <t>CUST-2725</t>
  </si>
  <si>
    <t>Max Accessories 486</t>
  </si>
  <si>
    <t>ORD-2024-10468</t>
  </si>
  <si>
    <t>CUST-9470</t>
  </si>
  <si>
    <t>Max Copiers 867</t>
  </si>
  <si>
    <t>ORD-2025-10469</t>
  </si>
  <si>
    <t>CUST-4176</t>
  </si>
  <si>
    <t>Pro Binders 555</t>
  </si>
  <si>
    <t>ORD-2024-10470</t>
  </si>
  <si>
    <t>CUST-3448</t>
  </si>
  <si>
    <t>Pro Copiers 971</t>
  </si>
  <si>
    <t>ORD-2024-10471</t>
  </si>
  <si>
    <t>CUST-4970</t>
  </si>
  <si>
    <t>Pro Tables 833</t>
  </si>
  <si>
    <t>ORD-2024-10472</t>
  </si>
  <si>
    <t>CUST-6147</t>
  </si>
  <si>
    <t>Prime Binders 497</t>
  </si>
  <si>
    <t>ORD-2024-10473</t>
  </si>
  <si>
    <t>CUST-7208</t>
  </si>
  <si>
    <t>Pro Storage 756</t>
  </si>
  <si>
    <t>ORD-2024-10474</t>
  </si>
  <si>
    <t>CUST-2794</t>
  </si>
  <si>
    <t>Max Copiers 829</t>
  </si>
  <si>
    <t>ORD-2024-10475</t>
  </si>
  <si>
    <t>CUST-6249</t>
  </si>
  <si>
    <t>Prime Furnishings 827</t>
  </si>
  <si>
    <t>ORD-2025-10476</t>
  </si>
  <si>
    <t>CUST-5712</t>
  </si>
  <si>
    <t>Eco Chairs 365</t>
  </si>
  <si>
    <t>ORD-2024-10477</t>
  </si>
  <si>
    <t>CUST-3004</t>
  </si>
  <si>
    <t>Classic Storage 545</t>
  </si>
  <si>
    <t>ORD-2025-10478</t>
  </si>
  <si>
    <t>CUST-6920</t>
  </si>
  <si>
    <t>Pro Chairs 186</t>
  </si>
  <si>
    <t>ORD-2024-10479</t>
  </si>
  <si>
    <t>CUST-4838</t>
  </si>
  <si>
    <t>Classic Machines 561</t>
  </si>
  <si>
    <t>ORD-2024-10480</t>
  </si>
  <si>
    <t>CUST-7520</t>
  </si>
  <si>
    <t>Max Chairs 594</t>
  </si>
  <si>
    <t>ORD-2025-10481</t>
  </si>
  <si>
    <t>CUST-9947</t>
  </si>
  <si>
    <t>Eco Storage 923</t>
  </si>
  <si>
    <t>ORD-2025-10482</t>
  </si>
  <si>
    <t>CUST-4403</t>
  </si>
  <si>
    <t>Classic Machines 287</t>
  </si>
  <si>
    <t>ORD-2024-10483</t>
  </si>
  <si>
    <t>CUST-3583</t>
  </si>
  <si>
    <t>Basic Accessories 518</t>
  </si>
  <si>
    <t>ORD-2024-10484</t>
  </si>
  <si>
    <t>CUST-9432</t>
  </si>
  <si>
    <t>Pro Copiers 984</t>
  </si>
  <si>
    <t>ORD-2024-10485</t>
  </si>
  <si>
    <t>CUST-1801</t>
  </si>
  <si>
    <t>Max Furnishings 297</t>
  </si>
  <si>
    <t>ORD-2025-10486</t>
  </si>
  <si>
    <t>CUST-1594</t>
  </si>
  <si>
    <t>Elite Bookcases 802</t>
  </si>
  <si>
    <t>ORD-2025-10487</t>
  </si>
  <si>
    <t>CUST-8132</t>
  </si>
  <si>
    <t>Pro Tables 257</t>
  </si>
  <si>
    <t>ORD-2025-10488</t>
  </si>
  <si>
    <t>CUST-7685</t>
  </si>
  <si>
    <t>Prime Furnishings 299</t>
  </si>
  <si>
    <t>ORD-2024-10489</t>
  </si>
  <si>
    <t>CUST-2183</t>
  </si>
  <si>
    <t>Eco Tables 487</t>
  </si>
  <si>
    <t>ORD-2024-10490</t>
  </si>
  <si>
    <t>CUST-1636</t>
  </si>
  <si>
    <t>Prime Accessories 960</t>
  </si>
  <si>
    <t>ORD-2024-10491</t>
  </si>
  <si>
    <t>CUST-1350</t>
  </si>
  <si>
    <t>Smart Binders 191</t>
  </si>
  <si>
    <t>ORD-2025-10492</t>
  </si>
  <si>
    <t>CUST-4101</t>
  </si>
  <si>
    <t>Prime Accessories 118</t>
  </si>
  <si>
    <t>ORD-2025-10493</t>
  </si>
  <si>
    <t>CUST-4679</t>
  </si>
  <si>
    <t>Elite Storage 331</t>
  </si>
  <si>
    <t>ORD-2025-10494</t>
  </si>
  <si>
    <t>CUST-3765</t>
  </si>
  <si>
    <t>Prime Paper 996</t>
  </si>
  <si>
    <t>ORD-2024-10495</t>
  </si>
  <si>
    <t>CUST-9056</t>
  </si>
  <si>
    <t>Smart Phones 125</t>
  </si>
  <si>
    <t>ORD-2024-10496</t>
  </si>
  <si>
    <t>CUST-9801</t>
  </si>
  <si>
    <t>Eco Phones 220</t>
  </si>
  <si>
    <t>ORD-2025-10497</t>
  </si>
  <si>
    <t>CUST-2038</t>
  </si>
  <si>
    <t>Eco Chairs 795</t>
  </si>
  <si>
    <t>ORD-2024-10498</t>
  </si>
  <si>
    <t>CUST-1567</t>
  </si>
  <si>
    <t>Smart Accessories 896</t>
  </si>
  <si>
    <t>ORD-2025-10499</t>
  </si>
  <si>
    <t>CUST-1190</t>
  </si>
  <si>
    <t>Basic Chairs 255</t>
  </si>
  <si>
    <t>ORD-2024-10500</t>
  </si>
  <si>
    <t>CUST-5604</t>
  </si>
  <si>
    <t>Eco Chairs 210</t>
  </si>
  <si>
    <t>ORD-2024-10501</t>
  </si>
  <si>
    <t>CUST-7661</t>
  </si>
  <si>
    <t>Prime Phones 533</t>
  </si>
  <si>
    <t>ORD-2024-10502</t>
  </si>
  <si>
    <t>Elite Art 325</t>
  </si>
  <si>
    <t>ORD-2024-10503</t>
  </si>
  <si>
    <t>CUST-1534</t>
  </si>
  <si>
    <t>Prime Copiers 557</t>
  </si>
  <si>
    <t>ORD-2024-10504</t>
  </si>
  <si>
    <t>CUST-7422</t>
  </si>
  <si>
    <t>Smart Phones 674</t>
  </si>
  <si>
    <t>ORD-2025-10505</t>
  </si>
  <si>
    <t>CUST-9693</t>
  </si>
  <si>
    <t>Elite Art 553</t>
  </si>
  <si>
    <t>ORD-2024-10506</t>
  </si>
  <si>
    <t>CUST-5458</t>
  </si>
  <si>
    <t>Classic Art 339</t>
  </si>
  <si>
    <t>ORD-2024-10507</t>
  </si>
  <si>
    <t>CUST-3011</t>
  </si>
  <si>
    <t>Smart Furnishings 352</t>
  </si>
  <si>
    <t>ORD-2025-10508</t>
  </si>
  <si>
    <t>CUST-1826</t>
  </si>
  <si>
    <t>Classic Binders 602</t>
  </si>
  <si>
    <t>ORD-2024-10509</t>
  </si>
  <si>
    <t>CUST-3333</t>
  </si>
  <si>
    <t>Smart Machines 853</t>
  </si>
  <si>
    <t>ORD-2025-10510</t>
  </si>
  <si>
    <t>CUST-7901</t>
  </si>
  <si>
    <t>Classic Machines 599</t>
  </si>
  <si>
    <t>ORD-2024-10511</t>
  </si>
  <si>
    <t>CUST-9759</t>
  </si>
  <si>
    <t>Pro Storage 373</t>
  </si>
  <si>
    <t>ORD-2024-10512</t>
  </si>
  <si>
    <t>CUST-7232</t>
  </si>
  <si>
    <t>Smart Bookcases 920</t>
  </si>
  <si>
    <t>ORD-2025-10513</t>
  </si>
  <si>
    <t>Pro Labels 849</t>
  </si>
  <si>
    <t>ORD-2025-10514</t>
  </si>
  <si>
    <t>CUST-8993</t>
  </si>
  <si>
    <t>Prime Accessories 849</t>
  </si>
  <si>
    <t>ORD-2024-10515</t>
  </si>
  <si>
    <t>CUST-7729</t>
  </si>
  <si>
    <t>Smart Accessories 388</t>
  </si>
  <si>
    <t>ORD-2025-10516</t>
  </si>
  <si>
    <t>CUST-9986</t>
  </si>
  <si>
    <t>Classic Paper 752</t>
  </si>
  <si>
    <t>ORD-2024-10517</t>
  </si>
  <si>
    <t>CUST-2731</t>
  </si>
  <si>
    <t>Classic Copiers 143</t>
  </si>
  <si>
    <t>ORD-2025-10518</t>
  </si>
  <si>
    <t>CUST-4235</t>
  </si>
  <si>
    <t>Basic Furnishings 386</t>
  </si>
  <si>
    <t>ORD-2025-10519</t>
  </si>
  <si>
    <t>CUST-3377</t>
  </si>
  <si>
    <t>Classic Tables 592</t>
  </si>
  <si>
    <t>ORD-2025-10520</t>
  </si>
  <si>
    <t>CUST-3258</t>
  </si>
  <si>
    <t>Pro Tables 412</t>
  </si>
  <si>
    <t>ORD-2024-10521</t>
  </si>
  <si>
    <t>CUST-2155</t>
  </si>
  <si>
    <t>Prime Machines 393</t>
  </si>
  <si>
    <t>ORD-2025-10522</t>
  </si>
  <si>
    <t>CUST-8012</t>
  </si>
  <si>
    <t>Classic Labels 776</t>
  </si>
  <si>
    <t>ORD-2025-10523</t>
  </si>
  <si>
    <t>CUST-2917</t>
  </si>
  <si>
    <t>Max Phones 612</t>
  </si>
  <si>
    <t>ORD-2024-10524</t>
  </si>
  <si>
    <t>CUST-4653</t>
  </si>
  <si>
    <t>Basic Paper 315</t>
  </si>
  <si>
    <t>ORD-2024-10525</t>
  </si>
  <si>
    <t>CUST-3311</t>
  </si>
  <si>
    <t>Basic Chairs 333</t>
  </si>
  <si>
    <t>ORD-2024-10526</t>
  </si>
  <si>
    <t>CUST-2924</t>
  </si>
  <si>
    <t>Prime Chairs 215</t>
  </si>
  <si>
    <t>ORD-2025-10527</t>
  </si>
  <si>
    <t>CUST-7198</t>
  </si>
  <si>
    <t>Elite Tables 815</t>
  </si>
  <si>
    <t>ORD-2025-10528</t>
  </si>
  <si>
    <t>CUST-3419</t>
  </si>
  <si>
    <t>Basic Paper 388</t>
  </si>
  <si>
    <t>ORD-2024-10529</t>
  </si>
  <si>
    <t>CUST-2390</t>
  </si>
  <si>
    <t>Eco Binders 855</t>
  </si>
  <si>
    <t>ORD-2024-10530</t>
  </si>
  <si>
    <t>Classic Bookcases 947</t>
  </si>
  <si>
    <t>ORD-2025-10531</t>
  </si>
  <si>
    <t>CUST-8177</t>
  </si>
  <si>
    <t>Eco Binders 352</t>
  </si>
  <si>
    <t>ORD-2024-10532</t>
  </si>
  <si>
    <t>CUST-6357</t>
  </si>
  <si>
    <t>Pro Storage 364</t>
  </si>
  <si>
    <t>ORD-2025-10533</t>
  </si>
  <si>
    <t>CUST-7690</t>
  </si>
  <si>
    <t>Classic Tables 213</t>
  </si>
  <si>
    <t>ORD-2024-10534</t>
  </si>
  <si>
    <t>CUST-4487</t>
  </si>
  <si>
    <t>Smart Tables 659</t>
  </si>
  <si>
    <t>ORD-2025-10535</t>
  </si>
  <si>
    <t>CUST-8204</t>
  </si>
  <si>
    <t>Classic Accessories 325</t>
  </si>
  <si>
    <t>ORD-2024-10536</t>
  </si>
  <si>
    <t>CUST-1729</t>
  </si>
  <si>
    <t>Eco Copiers 243</t>
  </si>
  <si>
    <t>ORD-2025-10537</t>
  </si>
  <si>
    <t>CUST-4269</t>
  </si>
  <si>
    <t>Elite Chairs 777</t>
  </si>
  <si>
    <t>ORD-2024-10538</t>
  </si>
  <si>
    <t>CUST-1370</t>
  </si>
  <si>
    <t>Classic Art 772</t>
  </si>
  <si>
    <t>ORD-2024-10539</t>
  </si>
  <si>
    <t>CUST-5381</t>
  </si>
  <si>
    <t>Elite Tables 888</t>
  </si>
  <si>
    <t>ORD-2025-10540</t>
  </si>
  <si>
    <t>CUST-3694</t>
  </si>
  <si>
    <t>Classic Chairs 666</t>
  </si>
  <si>
    <t>ORD-2024-10541</t>
  </si>
  <si>
    <t>CUST-7563</t>
  </si>
  <si>
    <t>Basic Furnishings 350</t>
  </si>
  <si>
    <t>ORD-2025-10542</t>
  </si>
  <si>
    <t>CUST-4188</t>
  </si>
  <si>
    <t>Elite Copiers 831</t>
  </si>
  <si>
    <t>ORD-2024-10543</t>
  </si>
  <si>
    <t>CUST-9376</t>
  </si>
  <si>
    <t>Eco Bookcases 759</t>
  </si>
  <si>
    <t>ORD-2024-10544</t>
  </si>
  <si>
    <t>CUST-9094</t>
  </si>
  <si>
    <t>Max Copiers 440</t>
  </si>
  <si>
    <t>ORD-2025-10545</t>
  </si>
  <si>
    <t>CUST-2366</t>
  </si>
  <si>
    <t>Smart Art 201</t>
  </si>
  <si>
    <t>ORD-2024-10546</t>
  </si>
  <si>
    <t>CUST-7168</t>
  </si>
  <si>
    <t>Classic Storage 755</t>
  </si>
  <si>
    <t>ORD-2025-10547</t>
  </si>
  <si>
    <t>CUST-8157</t>
  </si>
  <si>
    <t>Prime Paper 143</t>
  </si>
  <si>
    <t>ORD-2024-10548</t>
  </si>
  <si>
    <t>CUST-9146</t>
  </si>
  <si>
    <t>Max Copiers 607</t>
  </si>
  <si>
    <t>ORD-2024-10549</t>
  </si>
  <si>
    <t>CUST-5129</t>
  </si>
  <si>
    <t>Prime Bookcases 402</t>
  </si>
  <si>
    <t>ORD-2025-10550</t>
  </si>
  <si>
    <t>CUST-6028</t>
  </si>
  <si>
    <t>Pro Art 287</t>
  </si>
  <si>
    <t>ORD-2024-10551</t>
  </si>
  <si>
    <t>CUST-8687</t>
  </si>
  <si>
    <t>Max Accessories 591</t>
  </si>
  <si>
    <t>ORD-2024-10552</t>
  </si>
  <si>
    <t>CUST-8172</t>
  </si>
  <si>
    <t>Elite Chairs 314</t>
  </si>
  <si>
    <t>ORD-2025-10553</t>
  </si>
  <si>
    <t>CUST-8861</t>
  </si>
  <si>
    <t>Pro Copiers 246</t>
  </si>
  <si>
    <t>ORD-2025-10554</t>
  </si>
  <si>
    <t>CUST-9241</t>
  </si>
  <si>
    <t>Pro Storage 128</t>
  </si>
  <si>
    <t>ORD-2024-10555</t>
  </si>
  <si>
    <t>CUST-2126</t>
  </si>
  <si>
    <t>Prime Furnishings 892</t>
  </si>
  <si>
    <t>ORD-2025-10556</t>
  </si>
  <si>
    <t>CUST-7513</t>
  </si>
  <si>
    <t>Prime Storage 689</t>
  </si>
  <si>
    <t>ORD-2024-10557</t>
  </si>
  <si>
    <t>CUST-1992</t>
  </si>
  <si>
    <t>Classic Tables 769</t>
  </si>
  <si>
    <t>ORD-2024-10558</t>
  </si>
  <si>
    <t>CUST-8848</t>
  </si>
  <si>
    <t>Prime Phones 503</t>
  </si>
  <si>
    <t>ORD-2025-10559</t>
  </si>
  <si>
    <t>CUST-9368</t>
  </si>
  <si>
    <t>Basic Machines 136</t>
  </si>
  <si>
    <t>ORD-2025-10560</t>
  </si>
  <si>
    <t>CUST-6797</t>
  </si>
  <si>
    <t>Basic Copiers 512</t>
  </si>
  <si>
    <t>ORD-2024-10561</t>
  </si>
  <si>
    <t>CUST-9333</t>
  </si>
  <si>
    <t>Smart Storage 767</t>
  </si>
  <si>
    <t>ORD-2025-10562</t>
  </si>
  <si>
    <t>CUST-6654</t>
  </si>
  <si>
    <t>Eco Copiers 954</t>
  </si>
  <si>
    <t>ORD-2024-10563</t>
  </si>
  <si>
    <t>CUST-8622</t>
  </si>
  <si>
    <t>Elite Binders 143</t>
  </si>
  <si>
    <t>ORD-2024-10564</t>
  </si>
  <si>
    <t>CUST-8776</t>
  </si>
  <si>
    <t>Classic Tables 560</t>
  </si>
  <si>
    <t>ORD-2024-10565</t>
  </si>
  <si>
    <t>CUST-9100</t>
  </si>
  <si>
    <t>Basic Tables 759</t>
  </si>
  <si>
    <t>ORD-2025-10566</t>
  </si>
  <si>
    <t>CUST-5601</t>
  </si>
  <si>
    <t>Prime Phones 564</t>
  </si>
  <si>
    <t>ORD-2024-10567</t>
  </si>
  <si>
    <t>CUST-5246</t>
  </si>
  <si>
    <t>Smart Paper 807</t>
  </si>
  <si>
    <t>ORD-2024-10568</t>
  </si>
  <si>
    <t>CUST-3128</t>
  </si>
  <si>
    <t>ORD-2024-10569</t>
  </si>
  <si>
    <t>CUST-4604</t>
  </si>
  <si>
    <t>Classic Machines 522</t>
  </si>
  <si>
    <t>ORD-2025-10570</t>
  </si>
  <si>
    <t>CUST-2586</t>
  </si>
  <si>
    <t>Elite Furnishings 822</t>
  </si>
  <si>
    <t>ORD-2025-10571</t>
  </si>
  <si>
    <t>CUST-6585</t>
  </si>
  <si>
    <t>Max Furnishings 647</t>
  </si>
  <si>
    <t>ORD-2025-10572</t>
  </si>
  <si>
    <t>CUST-3425</t>
  </si>
  <si>
    <t>Prime Phones 895</t>
  </si>
  <si>
    <t>ORD-2024-10573</t>
  </si>
  <si>
    <t>CUST-8633</t>
  </si>
  <si>
    <t>Eco Phones 368</t>
  </si>
  <si>
    <t>ORD-2025-10574</t>
  </si>
  <si>
    <t>CUST-8243</t>
  </si>
  <si>
    <t>Pro Phones 644</t>
  </si>
  <si>
    <t>ORD-2024-10575</t>
  </si>
  <si>
    <t>Smart Machines 566</t>
  </si>
  <si>
    <t>ORD-2025-10576</t>
  </si>
  <si>
    <t>CUST-5496</t>
  </si>
  <si>
    <t>Elite Furnishings 173</t>
  </si>
  <si>
    <t>ORD-2024-10577</t>
  </si>
  <si>
    <t>CUST-2228</t>
  </si>
  <si>
    <t>Smart Binders 417</t>
  </si>
  <si>
    <t>ORD-2025-10578</t>
  </si>
  <si>
    <t>CUST-4151</t>
  </si>
  <si>
    <t>Smart Furnishings 714</t>
  </si>
  <si>
    <t>ORD-2024-10579</t>
  </si>
  <si>
    <t>Elite Copiers 682</t>
  </si>
  <si>
    <t>ORD-2024-10580</t>
  </si>
  <si>
    <t>CUST-9617</t>
  </si>
  <si>
    <t>Pro Storage 482</t>
  </si>
  <si>
    <t>ORD-2025-10581</t>
  </si>
  <si>
    <t>CUST-7958</t>
  </si>
  <si>
    <t>Pro Chairs 888</t>
  </si>
  <si>
    <t>ORD-2025-10582</t>
  </si>
  <si>
    <t>CUST-9931</t>
  </si>
  <si>
    <t>Classic Art 611</t>
  </si>
  <si>
    <t>ORD-2024-10583</t>
  </si>
  <si>
    <t>CUST-2088</t>
  </si>
  <si>
    <t>Basic Art 174</t>
  </si>
  <si>
    <t>ORD-2024-10584</t>
  </si>
  <si>
    <t>CUST-1686</t>
  </si>
  <si>
    <t>Classic Storage 451</t>
  </si>
  <si>
    <t>ORD-2024-10585</t>
  </si>
  <si>
    <t>CUST-4894</t>
  </si>
  <si>
    <t>Pro Art 172</t>
  </si>
  <si>
    <t>ORD-2025-10586</t>
  </si>
  <si>
    <t>CUST-5201</t>
  </si>
  <si>
    <t>Prime Phones 744</t>
  </si>
  <si>
    <t>ORD-2025-10587</t>
  </si>
  <si>
    <t>CUST-8626</t>
  </si>
  <si>
    <t>Prime Binders 249</t>
  </si>
  <si>
    <t>ORD-2025-10588</t>
  </si>
  <si>
    <t>CUST-1013</t>
  </si>
  <si>
    <t>Eco Accessories 948</t>
  </si>
  <si>
    <t>ORD-2025-10589</t>
  </si>
  <si>
    <t>CUST-3601</t>
  </si>
  <si>
    <t>Classic Accessories 458</t>
  </si>
  <si>
    <t>ORD-2024-10590</t>
  </si>
  <si>
    <t>CUST-7846</t>
  </si>
  <si>
    <t>Max Phones 318</t>
  </si>
  <si>
    <t>ORD-2024-10591</t>
  </si>
  <si>
    <t>CUST-3433</t>
  </si>
  <si>
    <t>Elite Chairs 372</t>
  </si>
  <si>
    <t>ORD-2024-10592</t>
  </si>
  <si>
    <t>CUST-2423</t>
  </si>
  <si>
    <t>Eco Copiers 324</t>
  </si>
  <si>
    <t>ORD-2024-10593</t>
  </si>
  <si>
    <t>CUST-3559</t>
  </si>
  <si>
    <t>Classic Accessories 131</t>
  </si>
  <si>
    <t>ORD-2025-10594</t>
  </si>
  <si>
    <t>Eco Tables 550</t>
  </si>
  <si>
    <t>ORD-2024-10595</t>
  </si>
  <si>
    <t>CUST-6850</t>
  </si>
  <si>
    <t>Basic Chairs 932</t>
  </si>
  <si>
    <t>ORD-2025-10596</t>
  </si>
  <si>
    <t>CUST-5566</t>
  </si>
  <si>
    <t>Classic Phones 294</t>
  </si>
  <si>
    <t>ORD-2024-10597</t>
  </si>
  <si>
    <t>CUST-2593</t>
  </si>
  <si>
    <t>Elite Chairs 700</t>
  </si>
  <si>
    <t>ORD-2025-10598</t>
  </si>
  <si>
    <t>CUST-6957</t>
  </si>
  <si>
    <t>Prime Copiers 969</t>
  </si>
  <si>
    <t>ORD-2024-10599</t>
  </si>
  <si>
    <t>CUST-8498</t>
  </si>
  <si>
    <t>Eco Copiers 268</t>
  </si>
  <si>
    <t>ORD-2024-10600</t>
  </si>
  <si>
    <t>CUST-2612</t>
  </si>
  <si>
    <t>Pro Phones 588</t>
  </si>
  <si>
    <t>ORD-2025-10601</t>
  </si>
  <si>
    <t>CUST-6013</t>
  </si>
  <si>
    <t>Prime Storage 432</t>
  </si>
  <si>
    <t>ORD-2024-10602</t>
  </si>
  <si>
    <t>CUST-8289</t>
  </si>
  <si>
    <t>Basic Paper 452</t>
  </si>
  <si>
    <t>ORD-2024-10603</t>
  </si>
  <si>
    <t>CUST-5668</t>
  </si>
  <si>
    <t>Max Copiers 477</t>
  </si>
  <si>
    <t>ORD-2025-10604</t>
  </si>
  <si>
    <t>Prime Accessories 300</t>
  </si>
  <si>
    <t>ORD-2025-10605</t>
  </si>
  <si>
    <t>CUST-4526</t>
  </si>
  <si>
    <t>Max Binders 547</t>
  </si>
  <si>
    <t>ORD-2025-10606</t>
  </si>
  <si>
    <t>CUST-4447</t>
  </si>
  <si>
    <t>Pro Furnishings 267</t>
  </si>
  <si>
    <t>ORD-2025-10607</t>
  </si>
  <si>
    <t>CUST-2698</t>
  </si>
  <si>
    <t>Max Copiers 520</t>
  </si>
  <si>
    <t>ORD-2025-10608</t>
  </si>
  <si>
    <t>CUST-6297</t>
  </si>
  <si>
    <t>Max Storage 424</t>
  </si>
  <si>
    <t>ORD-2024-10609</t>
  </si>
  <si>
    <t>Elite Furnishings 706</t>
  </si>
  <si>
    <t>ORD-2025-10610</t>
  </si>
  <si>
    <t>CUST-4380</t>
  </si>
  <si>
    <t>Pro Chairs 908</t>
  </si>
  <si>
    <t>ORD-2024-10611</t>
  </si>
  <si>
    <t>Pro Chairs 712</t>
  </si>
  <si>
    <t>ORD-2025-10612</t>
  </si>
  <si>
    <t>CUST-6108</t>
  </si>
  <si>
    <t>Max Binders 785</t>
  </si>
  <si>
    <t>ORD-2025-10613</t>
  </si>
  <si>
    <t>CUST-5663</t>
  </si>
  <si>
    <t>Elite Phones 239</t>
  </si>
  <si>
    <t>ORD-2024-10614</t>
  </si>
  <si>
    <t>CUST-9311</t>
  </si>
  <si>
    <t>Basic Machines 413</t>
  </si>
  <si>
    <t>ORD-2024-10615</t>
  </si>
  <si>
    <t>CUST-8154</t>
  </si>
  <si>
    <t>Elite Chairs 140</t>
  </si>
  <si>
    <t>ORD-2024-10616</t>
  </si>
  <si>
    <t>CUST-4462</t>
  </si>
  <si>
    <t>Basic Art 771</t>
  </si>
  <si>
    <t>ORD-2024-10617</t>
  </si>
  <si>
    <t>CUST-4660</t>
  </si>
  <si>
    <t>Prime Paper 664</t>
  </si>
  <si>
    <t>ORD-2024-10618</t>
  </si>
  <si>
    <t>CUST-9002</t>
  </si>
  <si>
    <t>Pro Phones 226</t>
  </si>
  <si>
    <t>ORD-2024-10619</t>
  </si>
  <si>
    <t>CUST-1057</t>
  </si>
  <si>
    <t>Basic Tables 684</t>
  </si>
  <si>
    <t>ORD-2024-10620</t>
  </si>
  <si>
    <t>CUST-9596</t>
  </si>
  <si>
    <t>Prime Binders 938</t>
  </si>
  <si>
    <t>ORD-2024-10621</t>
  </si>
  <si>
    <t>CUST-6947</t>
  </si>
  <si>
    <t>Classic Machines 337</t>
  </si>
  <si>
    <t>ORD-2024-10622</t>
  </si>
  <si>
    <t>CUST-7236</t>
  </si>
  <si>
    <t>Max Chairs 748</t>
  </si>
  <si>
    <t>ORD-2025-10623</t>
  </si>
  <si>
    <t>CUST-1127</t>
  </si>
  <si>
    <t>Basic Storage 934</t>
  </si>
  <si>
    <t>ORD-2024-10624</t>
  </si>
  <si>
    <t>CUST-6262</t>
  </si>
  <si>
    <t>Pro Storage 509</t>
  </si>
  <si>
    <t>ORD-2024-10625</t>
  </si>
  <si>
    <t>CUST-5070</t>
  </si>
  <si>
    <t>Prime Chairs 765</t>
  </si>
  <si>
    <t>ORD-2024-10626</t>
  </si>
  <si>
    <t>CUST-7946</t>
  </si>
  <si>
    <t>Elite Chairs 358</t>
  </si>
  <si>
    <t>ORD-2025-10627</t>
  </si>
  <si>
    <t>CUST-1793</t>
  </si>
  <si>
    <t>Elite Machines 971</t>
  </si>
  <si>
    <t>ORD-2025-10628</t>
  </si>
  <si>
    <t>CUST-8839</t>
  </si>
  <si>
    <t>Max Phones 825</t>
  </si>
  <si>
    <t>ORD-2025-10629</t>
  </si>
  <si>
    <t>CUST-6725</t>
  </si>
  <si>
    <t>Eco Accessories 933</t>
  </si>
  <si>
    <t>ORD-2025-10630</t>
  </si>
  <si>
    <t>CUST-3793</t>
  </si>
  <si>
    <t>Max Tables 908</t>
  </si>
  <si>
    <t>ORD-2024-10631</t>
  </si>
  <si>
    <t>CUST-6075</t>
  </si>
  <si>
    <t>Elite Paper 239</t>
  </si>
  <si>
    <t>ORD-2024-10632</t>
  </si>
  <si>
    <t>CUST-6381</t>
  </si>
  <si>
    <t>Eco Chairs 452</t>
  </si>
  <si>
    <t>ORD-2025-10633</t>
  </si>
  <si>
    <t>CUST-4593</t>
  </si>
  <si>
    <t>Smart Furnishings 721</t>
  </si>
  <si>
    <t>ORD-2025-10634</t>
  </si>
  <si>
    <t>CUST-5043</t>
  </si>
  <si>
    <t>Basic Accessories 729</t>
  </si>
  <si>
    <t>ORD-2025-10635</t>
  </si>
  <si>
    <t>CUST-4722</t>
  </si>
  <si>
    <t>Classic Chairs 220</t>
  </si>
  <si>
    <t>ORD-2024-10636</t>
  </si>
  <si>
    <t>CUST-7931</t>
  </si>
  <si>
    <t>Max Chairs 305</t>
  </si>
  <si>
    <t>ORD-2024-10637</t>
  </si>
  <si>
    <t>CUST-7221</t>
  </si>
  <si>
    <t>Smart Paper 872</t>
  </si>
  <si>
    <t>ORD-2024-10638</t>
  </si>
  <si>
    <t>CUST-2594</t>
  </si>
  <si>
    <t>Max Copiers 994</t>
  </si>
  <si>
    <t>ORD-2024-10639</t>
  </si>
  <si>
    <t>CUST-2111</t>
  </si>
  <si>
    <t>Pro Storage 744</t>
  </si>
  <si>
    <t>ORD-2024-10640</t>
  </si>
  <si>
    <t>CUST-6829</t>
  </si>
  <si>
    <t>Elite Chairs 744</t>
  </si>
  <si>
    <t>ORD-2025-10641</t>
  </si>
  <si>
    <t>CUST-5061</t>
  </si>
  <si>
    <t>Basic Storage 973</t>
  </si>
  <si>
    <t>ORD-2025-10642</t>
  </si>
  <si>
    <t>CUST-7915</t>
  </si>
  <si>
    <t>Smart Furnishings 783</t>
  </si>
  <si>
    <t>ORD-2024-10643</t>
  </si>
  <si>
    <t>CUST-1940</t>
  </si>
  <si>
    <t>Prime Binders 287</t>
  </si>
  <si>
    <t>ORD-2024-10644</t>
  </si>
  <si>
    <t>Elite Labels 654</t>
  </si>
  <si>
    <t>ORD-2025-10645</t>
  </si>
  <si>
    <t>CUST-5549</t>
  </si>
  <si>
    <t>Pro Chairs 812</t>
  </si>
  <si>
    <t>ORD-2024-10646</t>
  </si>
  <si>
    <t>CUST-2314</t>
  </si>
  <si>
    <t>Basic Chairs 480</t>
  </si>
  <si>
    <t>ORD-2024-10647</t>
  </si>
  <si>
    <t>CUST-6360</t>
  </si>
  <si>
    <t>Elite Machines 955</t>
  </si>
  <si>
    <t>ORD-2025-10648</t>
  </si>
  <si>
    <t>CUST-9942</t>
  </si>
  <si>
    <t>Prime Art 461</t>
  </si>
  <si>
    <t>ORD-2024-10649</t>
  </si>
  <si>
    <t>CUST-1808</t>
  </si>
  <si>
    <t>Prime Art 301</t>
  </si>
  <si>
    <t>ORD-2025-10650</t>
  </si>
  <si>
    <t>CUST-7277</t>
  </si>
  <si>
    <t>Classic Accessories 354</t>
  </si>
  <si>
    <t>ORD-2024-10651</t>
  </si>
  <si>
    <t>Basic Accessories 210</t>
  </si>
  <si>
    <t>ORD-2025-10652</t>
  </si>
  <si>
    <t>CUST-2660</t>
  </si>
  <si>
    <t>Smart Paper 364</t>
  </si>
  <si>
    <t>ORD-2025-10653</t>
  </si>
  <si>
    <t>Smart Binders 999</t>
  </si>
  <si>
    <t>ORD-2025-10654</t>
  </si>
  <si>
    <t>CUST-3970</t>
  </si>
  <si>
    <t>Max Copiers 356</t>
  </si>
  <si>
    <t>ORD-2025-10655</t>
  </si>
  <si>
    <t>Classic Machines 639</t>
  </si>
  <si>
    <t>ORD-2025-10656</t>
  </si>
  <si>
    <t>CUST-8039</t>
  </si>
  <si>
    <t>Smart Furnishings 748</t>
  </si>
  <si>
    <t>ORD-2024-10657</t>
  </si>
  <si>
    <t>CUST-4446</t>
  </si>
  <si>
    <t>Pro Machines 589</t>
  </si>
  <si>
    <t>ORD-2025-10658</t>
  </si>
  <si>
    <t>CUST-7787</t>
  </si>
  <si>
    <t>Eco Storage 316</t>
  </si>
  <si>
    <t>ORD-2025-10659</t>
  </si>
  <si>
    <t>CUST-9074</t>
  </si>
  <si>
    <t>Eco Art 763</t>
  </si>
  <si>
    <t>ORD-2025-10660</t>
  </si>
  <si>
    <t>CUST-8330</t>
  </si>
  <si>
    <t>Pro Phones 356</t>
  </si>
  <si>
    <t>ORD-2025-10661</t>
  </si>
  <si>
    <t>CUST-5638</t>
  </si>
  <si>
    <t>Basic Phones 865</t>
  </si>
  <si>
    <t>ORD-2024-10662</t>
  </si>
  <si>
    <t>CUST-4537</t>
  </si>
  <si>
    <t>Max Machines 595</t>
  </si>
  <si>
    <t>ORD-2024-10663</t>
  </si>
  <si>
    <t>CUST-3181</t>
  </si>
  <si>
    <t>Elite Machines 367</t>
  </si>
  <si>
    <t>ORD-2024-10664</t>
  </si>
  <si>
    <t>CUST-1015</t>
  </si>
  <si>
    <t>Basic Copiers 787</t>
  </si>
  <si>
    <t>ORD-2024-10665</t>
  </si>
  <si>
    <t>CUST-2709</t>
  </si>
  <si>
    <t>Max Accessories 903</t>
  </si>
  <si>
    <t>ORD-2025-10666</t>
  </si>
  <si>
    <t>CUST-1197</t>
  </si>
  <si>
    <t>Max Art 660</t>
  </si>
  <si>
    <t>ORD-2024-10667</t>
  </si>
  <si>
    <t>CUST-7758</t>
  </si>
  <si>
    <t>Classic Copiers 908</t>
  </si>
  <si>
    <t>ORD-2025-10668</t>
  </si>
  <si>
    <t>CUST-3912</t>
  </si>
  <si>
    <t>Pro Machines 706</t>
  </si>
  <si>
    <t>ORD-2024-10669</t>
  </si>
  <si>
    <t>CUST-4190</t>
  </si>
  <si>
    <t>Pro Paper 187</t>
  </si>
  <si>
    <t>ORD-2024-10670</t>
  </si>
  <si>
    <t>CUST-7568</t>
  </si>
  <si>
    <t>Classic Tables 606</t>
  </si>
  <si>
    <t>ORD-2025-10671</t>
  </si>
  <si>
    <t>Smart Tables 835</t>
  </si>
  <si>
    <t>ORD-2024-10672</t>
  </si>
  <si>
    <t>CUST-3293</t>
  </si>
  <si>
    <t>Classic Copiers 583</t>
  </si>
  <si>
    <t>ORD-2024-10673</t>
  </si>
  <si>
    <t>CUST-8180</t>
  </si>
  <si>
    <t>Classic Chairs 460</t>
  </si>
  <si>
    <t>ORD-2025-10674</t>
  </si>
  <si>
    <t>CUST-2807</t>
  </si>
  <si>
    <t>Classic Bookcases 488</t>
  </si>
  <si>
    <t>ORD-2024-10675</t>
  </si>
  <si>
    <t>CUST-4081</t>
  </si>
  <si>
    <t>Basic Accessories 944</t>
  </si>
  <si>
    <t>ORD-2025-10676</t>
  </si>
  <si>
    <t>Eco Furnishings 217</t>
  </si>
  <si>
    <t>ORD-2025-10677</t>
  </si>
  <si>
    <t>CUST-9212</t>
  </si>
  <si>
    <t>Smart Phones 967</t>
  </si>
  <si>
    <t>ORD-2024-10678</t>
  </si>
  <si>
    <t>Smart Chairs 610</t>
  </si>
  <si>
    <t>ORD-2024-10679</t>
  </si>
  <si>
    <t>CUST-1674</t>
  </si>
  <si>
    <t>Prime Tables 123</t>
  </si>
  <si>
    <t>ORD-2025-10680</t>
  </si>
  <si>
    <t>CUST-2897</t>
  </si>
  <si>
    <t>Smart Copiers 579</t>
  </si>
  <si>
    <t>ORD-2024-10681</t>
  </si>
  <si>
    <t>CUST-1136</t>
  </si>
  <si>
    <t>Eco Accessories 658</t>
  </si>
  <si>
    <t>ORD-2024-10682</t>
  </si>
  <si>
    <t>CUST-1376</t>
  </si>
  <si>
    <t>Smart Tables 777</t>
  </si>
  <si>
    <t>ORD-2025-10683</t>
  </si>
  <si>
    <t>CUST-1553</t>
  </si>
  <si>
    <t>Eco Storage 861</t>
  </si>
  <si>
    <t>ORD-2025-10684</t>
  </si>
  <si>
    <t>CUST-5704</t>
  </si>
  <si>
    <t>Eco Furnishings 875</t>
  </si>
  <si>
    <t>ORD-2025-10685</t>
  </si>
  <si>
    <t>CUST-6738</t>
  </si>
  <si>
    <t>Prime Bookcases 784</t>
  </si>
  <si>
    <t>ORD-2025-10686</t>
  </si>
  <si>
    <t>Classic Art 380</t>
  </si>
  <si>
    <t>ORD-2024-10687</t>
  </si>
  <si>
    <t>CUST-3127</t>
  </si>
  <si>
    <t>Pro Copiers 502</t>
  </si>
  <si>
    <t>ORD-2025-10688</t>
  </si>
  <si>
    <t>CUST-9347</t>
  </si>
  <si>
    <t>Prime Tables 604</t>
  </si>
  <si>
    <t>ORD-2025-10689</t>
  </si>
  <si>
    <t>CUST-8575</t>
  </si>
  <si>
    <t>Basic Art 798</t>
  </si>
  <si>
    <t>ORD-2024-10690</t>
  </si>
  <si>
    <t>CUST-4382</t>
  </si>
  <si>
    <t>Elite Tables 717</t>
  </si>
  <si>
    <t>ORD-2024-10691</t>
  </si>
  <si>
    <t>CUST-6815</t>
  </si>
  <si>
    <t>Max Art 725</t>
  </si>
  <si>
    <t>ORD-2024-10692</t>
  </si>
  <si>
    <t>CUST-7309</t>
  </si>
  <si>
    <t>Smart Copiers 456</t>
  </si>
  <si>
    <t>ORD-2025-10693</t>
  </si>
  <si>
    <t>CUST-9531</t>
  </si>
  <si>
    <t>Prime Furnishings 883</t>
  </si>
  <si>
    <t>ORD-2025-10694</t>
  </si>
  <si>
    <t>CUST-6032</t>
  </si>
  <si>
    <t>Smart Bookcases 828</t>
  </si>
  <si>
    <t>ORD-2025-10695</t>
  </si>
  <si>
    <t>Classic Storage 291</t>
  </si>
  <si>
    <t>ORD-2024-10696</t>
  </si>
  <si>
    <t>CUST-6257</t>
  </si>
  <si>
    <t>Prime Machines 102</t>
  </si>
  <si>
    <t>ORD-2025-10697</t>
  </si>
  <si>
    <t>CUST-7812</t>
  </si>
  <si>
    <t>Classic Phones 842</t>
  </si>
  <si>
    <t>ORD-2025-10698</t>
  </si>
  <si>
    <t>CUST-6205</t>
  </si>
  <si>
    <t>Max Labels 970</t>
  </si>
  <si>
    <t>ORD-2024-10699</t>
  </si>
  <si>
    <t>CUST-5357</t>
  </si>
  <si>
    <t>Classic Machines 648</t>
  </si>
  <si>
    <t>ORD-2024-10700</t>
  </si>
  <si>
    <t>CUST-9802</t>
  </si>
  <si>
    <t>Max Bookcases 565</t>
  </si>
  <si>
    <t>ORD-2024-10701</t>
  </si>
  <si>
    <t>CUST-5646</t>
  </si>
  <si>
    <t>Basic Machines 220</t>
  </si>
  <si>
    <t>ORD-2024-10702</t>
  </si>
  <si>
    <t>CUST-7171</t>
  </si>
  <si>
    <t>Pro Art 151</t>
  </si>
  <si>
    <t>ORD-2025-10703</t>
  </si>
  <si>
    <t>CUST-5231</t>
  </si>
  <si>
    <t>Pro Tables 980</t>
  </si>
  <si>
    <t>ORD-2024-10704</t>
  </si>
  <si>
    <t>CUST-8734</t>
  </si>
  <si>
    <t>Classic Tables 997</t>
  </si>
  <si>
    <t>ORD-2024-10705</t>
  </si>
  <si>
    <t>CUST-4916</t>
  </si>
  <si>
    <t>Max Bookcases 738</t>
  </si>
  <si>
    <t>ORD-2024-10706</t>
  </si>
  <si>
    <t>CUST-3289</t>
  </si>
  <si>
    <t>Max Binders 411</t>
  </si>
  <si>
    <t>ORD-2024-10707</t>
  </si>
  <si>
    <t>CUST-4928</t>
  </si>
  <si>
    <t>Max Paper 343</t>
  </si>
  <si>
    <t>ORD-2025-10708</t>
  </si>
  <si>
    <t>CUST-4902</t>
  </si>
  <si>
    <t>Pro Accessories 485</t>
  </si>
  <si>
    <t>ORD-2025-10709</t>
  </si>
  <si>
    <t>CUST-6504</t>
  </si>
  <si>
    <t>Elite Bookcases 113</t>
  </si>
  <si>
    <t>ORD-2025-10710</t>
  </si>
  <si>
    <t>CUST-8036</t>
  </si>
  <si>
    <t>Eco Phones 787</t>
  </si>
  <si>
    <t>ORD-2024-10711</t>
  </si>
  <si>
    <t>CUST-7199</t>
  </si>
  <si>
    <t>Smart Art 279</t>
  </si>
  <si>
    <t>ORD-2025-10712</t>
  </si>
  <si>
    <t>CUST-6176</t>
  </si>
  <si>
    <t>Basic Machines 172</t>
  </si>
  <si>
    <t>ORD-2024-10713</t>
  </si>
  <si>
    <t>CUST-5127</t>
  </si>
  <si>
    <t>Smart Chairs 259</t>
  </si>
  <si>
    <t>ORD-2025-10714</t>
  </si>
  <si>
    <t>Pro Machines 987</t>
  </si>
  <si>
    <t>ORD-2025-10715</t>
  </si>
  <si>
    <t>CUST-9902</t>
  </si>
  <si>
    <t>Pro Copiers 206</t>
  </si>
  <si>
    <t>ORD-2025-10716</t>
  </si>
  <si>
    <t>CUST-7446</t>
  </si>
  <si>
    <t>Max Chairs 372</t>
  </si>
  <si>
    <t>ORD-2025-10717</t>
  </si>
  <si>
    <t>CUST-7540</t>
  </si>
  <si>
    <t>Basic Phones 496</t>
  </si>
  <si>
    <t>ORD-2025-10718</t>
  </si>
  <si>
    <t>CUST-8351</t>
  </si>
  <si>
    <t>Prime Machines 612</t>
  </si>
  <si>
    <t>ORD-2024-10719</t>
  </si>
  <si>
    <t>CUST-3918</t>
  </si>
  <si>
    <t>Smart Art 866</t>
  </si>
  <si>
    <t>ORD-2025-10720</t>
  </si>
  <si>
    <t>Pro Art 447</t>
  </si>
  <si>
    <t>ORD-2024-10721</t>
  </si>
  <si>
    <t>CUST-1991</t>
  </si>
  <si>
    <t>Smart Copiers 196</t>
  </si>
  <si>
    <t>ORD-2025-10722</t>
  </si>
  <si>
    <t>CUST-7606</t>
  </si>
  <si>
    <t>Pro Copiers 532</t>
  </si>
  <si>
    <t>ORD-2024-10723</t>
  </si>
  <si>
    <t>CUST-8844</t>
  </si>
  <si>
    <t>Eco Chairs 442</t>
  </si>
  <si>
    <t>ORD-2025-10724</t>
  </si>
  <si>
    <t>CUST-4335</t>
  </si>
  <si>
    <t>Eco Accessories 364</t>
  </si>
  <si>
    <t>ORD-2024-10725</t>
  </si>
  <si>
    <t>CUST-5891</t>
  </si>
  <si>
    <t>Elite Furnishings 921</t>
  </si>
  <si>
    <t>ORD-2025-10726</t>
  </si>
  <si>
    <t>CUST-6371</t>
  </si>
  <si>
    <t>Max Tables 309</t>
  </si>
  <si>
    <t>ORD-2024-10727</t>
  </si>
  <si>
    <t>CUST-6655</t>
  </si>
  <si>
    <t>Pro Phones 857</t>
  </si>
  <si>
    <t>ORD-2024-10728</t>
  </si>
  <si>
    <t>CUST-6492</t>
  </si>
  <si>
    <t>Max Accessories 567</t>
  </si>
  <si>
    <t>ORD-2024-10729</t>
  </si>
  <si>
    <t>CUST-1154</t>
  </si>
  <si>
    <t>Max Machines 200</t>
  </si>
  <si>
    <t>ORD-2025-10730</t>
  </si>
  <si>
    <t>CUST-8713</t>
  </si>
  <si>
    <t>Pro Machines 563</t>
  </si>
  <si>
    <t>ORD-2025-10731</t>
  </si>
  <si>
    <t>CUST-6765</t>
  </si>
  <si>
    <t>Elite Art 696</t>
  </si>
  <si>
    <t>ORD-2024-10732</t>
  </si>
  <si>
    <t>CUST-6849</t>
  </si>
  <si>
    <t>Eco Binders 178</t>
  </si>
  <si>
    <t>ORD-2024-10733</t>
  </si>
  <si>
    <t>CUST-4973</t>
  </si>
  <si>
    <t>Max Phones 678</t>
  </si>
  <si>
    <t>ORD-2024-10734</t>
  </si>
  <si>
    <t>CUST-2394</t>
  </si>
  <si>
    <t>Classic Furnishings 582</t>
  </si>
  <si>
    <t>ORD-2024-10735</t>
  </si>
  <si>
    <t>CUST-5406</t>
  </si>
  <si>
    <t>Classic Accessories 981</t>
  </si>
  <si>
    <t>ORD-2024-10736</t>
  </si>
  <si>
    <t>CUST-1963</t>
  </si>
  <si>
    <t>Classic Tables 534</t>
  </si>
  <si>
    <t>ORD-2024-10737</t>
  </si>
  <si>
    <t>CUST-9017</t>
  </si>
  <si>
    <t>Pro Chairs 383</t>
  </si>
  <si>
    <t>ORD-2024-10738</t>
  </si>
  <si>
    <t>CUST-7967</t>
  </si>
  <si>
    <t>Max Chairs 845</t>
  </si>
  <si>
    <t>ORD-2025-10739</t>
  </si>
  <si>
    <t>CUST-5334</t>
  </si>
  <si>
    <t>Prime Paper 307</t>
  </si>
  <si>
    <t>ORD-2024-10740</t>
  </si>
  <si>
    <t>CUST-5846</t>
  </si>
  <si>
    <t>Basic Phones 859</t>
  </si>
  <si>
    <t>ORD-2024-10741</t>
  </si>
  <si>
    <t>Eco Chairs 883</t>
  </si>
  <si>
    <t>ORD-2025-10742</t>
  </si>
  <si>
    <t>CUST-3285</t>
  </si>
  <si>
    <t>Max Chairs 706</t>
  </si>
  <si>
    <t>ORD-2024-10743</t>
  </si>
  <si>
    <t>CUST-6368</t>
  </si>
  <si>
    <t>Prime Paper 768</t>
  </si>
  <si>
    <t>ORD-2025-10744</t>
  </si>
  <si>
    <t>CUST-6231</t>
  </si>
  <si>
    <t>Basic Art 764</t>
  </si>
  <si>
    <t>ORD-2025-10745</t>
  </si>
  <si>
    <t>CUST-2021</t>
  </si>
  <si>
    <t>Prime Binders 181</t>
  </si>
  <si>
    <t>ORD-2024-10746</t>
  </si>
  <si>
    <t>CUST-1493</t>
  </si>
  <si>
    <t>Max Copiers 866</t>
  </si>
  <si>
    <t>ORD-2025-10747</t>
  </si>
  <si>
    <t>Pro Paper 662</t>
  </si>
  <si>
    <t>ORD-2024-10748</t>
  </si>
  <si>
    <t>CUST-8416</t>
  </si>
  <si>
    <t>Classic Paper 388</t>
  </si>
  <si>
    <t>ORD-2024-10749</t>
  </si>
  <si>
    <t>CUST-3103</t>
  </si>
  <si>
    <t>Pro Phones 765</t>
  </si>
  <si>
    <t>ORD-2024-10750</t>
  </si>
  <si>
    <t>CUST-4457</t>
  </si>
  <si>
    <t>Classic Machines 543</t>
  </si>
  <si>
    <t>ORD-2025-10751</t>
  </si>
  <si>
    <t>CUST-7036</t>
  </si>
  <si>
    <t>Max Accessories 291</t>
  </si>
  <si>
    <t>ORD-2025-10752</t>
  </si>
  <si>
    <t>CUST-8512</t>
  </si>
  <si>
    <t>Eco Machines 414</t>
  </si>
  <si>
    <t>ORD-2024-10753</t>
  </si>
  <si>
    <t>CUST-6345</t>
  </si>
  <si>
    <t>Basic Storage 273</t>
  </si>
  <si>
    <t>ORD-2024-10754</t>
  </si>
  <si>
    <t>CUST-4505</t>
  </si>
  <si>
    <t>Elite Furnishings 588</t>
  </si>
  <si>
    <t>ORD-2025-10755</t>
  </si>
  <si>
    <t>CUST-7960</t>
  </si>
  <si>
    <t>Elite Storage 857</t>
  </si>
  <si>
    <t>ORD-2025-10756</t>
  </si>
  <si>
    <t>CUST-3365</t>
  </si>
  <si>
    <t>Prime Storage 183</t>
  </si>
  <si>
    <t>ORD-2024-10757</t>
  </si>
  <si>
    <t>CUST-1557</t>
  </si>
  <si>
    <t>Smart Accessories 362</t>
  </si>
  <si>
    <t>ORD-2025-10758</t>
  </si>
  <si>
    <t>CUST-3058</t>
  </si>
  <si>
    <t>Classic Bookcases 310</t>
  </si>
  <si>
    <t>ORD-2024-10759</t>
  </si>
  <si>
    <t>CUST-6076</t>
  </si>
  <si>
    <t>Prime Chairs 721</t>
  </si>
  <si>
    <t>ORD-2024-10760</t>
  </si>
  <si>
    <t>CUST-2098</t>
  </si>
  <si>
    <t>Prime Tables 797</t>
  </si>
  <si>
    <t>ORD-2024-10761</t>
  </si>
  <si>
    <t>CUST-7193</t>
  </si>
  <si>
    <t>Max Art 926</t>
  </si>
  <si>
    <t>ORD-2025-10762</t>
  </si>
  <si>
    <t>CUST-8948</t>
  </si>
  <si>
    <t>Max Machines 364</t>
  </si>
  <si>
    <t>ORD-2024-10763</t>
  </si>
  <si>
    <t>CUST-6921</t>
  </si>
  <si>
    <t>Classic Machines 122</t>
  </si>
  <si>
    <t>ORD-2025-10764</t>
  </si>
  <si>
    <t>CUST-4086</t>
  </si>
  <si>
    <t>Elite Furnishings 169</t>
  </si>
  <si>
    <t>ORD-2025-10765</t>
  </si>
  <si>
    <t>Pro Bookcases 615</t>
  </si>
  <si>
    <t>ORD-2025-10766</t>
  </si>
  <si>
    <t>CUST-8747</t>
  </si>
  <si>
    <t>Max Labels 136</t>
  </si>
  <si>
    <t>ORD-2024-10767</t>
  </si>
  <si>
    <t>CUST-3156</t>
  </si>
  <si>
    <t>Prime Art 380</t>
  </si>
  <si>
    <t>ORD-2024-10768</t>
  </si>
  <si>
    <t>CUST-2043</t>
  </si>
  <si>
    <t>Classic Binders 234</t>
  </si>
  <si>
    <t>ORD-2025-10769</t>
  </si>
  <si>
    <t>CUST-8808</t>
  </si>
  <si>
    <t>Classic Paper 280</t>
  </si>
  <si>
    <t>ORD-2024-10770</t>
  </si>
  <si>
    <t>CUST-1293</t>
  </si>
  <si>
    <t>Classic Bookcases 922</t>
  </si>
  <si>
    <t>ORD-2024-10771</t>
  </si>
  <si>
    <t>CUST-8384</t>
  </si>
  <si>
    <t>Eco Copiers 396</t>
  </si>
  <si>
    <t>ORD-2024-10772</t>
  </si>
  <si>
    <t>Basic Machines 401</t>
  </si>
  <si>
    <t>ORD-2025-10773</t>
  </si>
  <si>
    <t>CUST-8422</t>
  </si>
  <si>
    <t>Basic Chairs 279</t>
  </si>
  <si>
    <t>ORD-2025-10774</t>
  </si>
  <si>
    <t>CUST-4766</t>
  </si>
  <si>
    <t>Basic Phones 753</t>
  </si>
  <si>
    <t>ORD-2025-10775</t>
  </si>
  <si>
    <t>CUST-1182</t>
  </si>
  <si>
    <t>Smart Machines 789</t>
  </si>
  <si>
    <t>ORD-2024-10776</t>
  </si>
  <si>
    <t>CUST-4461</t>
  </si>
  <si>
    <t>Elite Accessories 312</t>
  </si>
  <si>
    <t>ORD-2025-10777</t>
  </si>
  <si>
    <t>CUST-9690</t>
  </si>
  <si>
    <t>Eco Copiers 528</t>
  </si>
  <si>
    <t>ORD-2024-10778</t>
  </si>
  <si>
    <t>CUST-6879</t>
  </si>
  <si>
    <t>Elite Accessories 226</t>
  </si>
  <si>
    <t>ORD-2024-10779</t>
  </si>
  <si>
    <t>CUST-4714</t>
  </si>
  <si>
    <t>Pro Copiers 298</t>
  </si>
  <si>
    <t>ORD-2024-10780</t>
  </si>
  <si>
    <t>CUST-7547</t>
  </si>
  <si>
    <t>Prime Chairs 331</t>
  </si>
  <si>
    <t>ORD-2024-10781</t>
  </si>
  <si>
    <t>CUST-3288</t>
  </si>
  <si>
    <t>Classic Chairs 798</t>
  </si>
  <si>
    <t>ORD-2024-10782</t>
  </si>
  <si>
    <t>CUST-8597</t>
  </si>
  <si>
    <t>Classic Labels 204</t>
  </si>
  <si>
    <t>ORD-2025-10783</t>
  </si>
  <si>
    <t>CUST-9085</t>
  </si>
  <si>
    <t>Basic Copiers 254</t>
  </si>
  <si>
    <t>ORD-2024-10784</t>
  </si>
  <si>
    <t>CUST-7746</t>
  </si>
  <si>
    <t>Basic Art 709</t>
  </si>
  <si>
    <t>ORD-2025-10785</t>
  </si>
  <si>
    <t>CUST-3119</t>
  </si>
  <si>
    <t>Max Copiers 551</t>
  </si>
  <si>
    <t>ORD-2024-10786</t>
  </si>
  <si>
    <t>CUST-7518</t>
  </si>
  <si>
    <t>Eco Storage 183</t>
  </si>
  <si>
    <t>ORD-2025-10787</t>
  </si>
  <si>
    <t>CUST-1343</t>
  </si>
  <si>
    <t>Pro Furnishings 233</t>
  </si>
  <si>
    <t>ORD-2024-10788</t>
  </si>
  <si>
    <t>CUST-7548</t>
  </si>
  <si>
    <t>Prime Paper 878</t>
  </si>
  <si>
    <t>ORD-2024-10789</t>
  </si>
  <si>
    <t>CUST-3631</t>
  </si>
  <si>
    <t>Smart Chairs 353</t>
  </si>
  <si>
    <t>ORD-2025-10790</t>
  </si>
  <si>
    <t>CUST-1453</t>
  </si>
  <si>
    <t>Smart Copiers 408</t>
  </si>
  <si>
    <t>ORD-2024-10791</t>
  </si>
  <si>
    <t>CUST-1951</t>
  </si>
  <si>
    <t>Classic Art 781</t>
  </si>
  <si>
    <t>ORD-2024-10792</t>
  </si>
  <si>
    <t>CUST-6300</t>
  </si>
  <si>
    <t>Eco Bookcases 144</t>
  </si>
  <si>
    <t>ORD-2025-10793</t>
  </si>
  <si>
    <t>CUST-1417</t>
  </si>
  <si>
    <t>Elite Furnishings 852</t>
  </si>
  <si>
    <t>ORD-2024-10794</t>
  </si>
  <si>
    <t>CUST-5421</t>
  </si>
  <si>
    <t>Basic Copiers 238</t>
  </si>
  <si>
    <t>ORD-2025-10795</t>
  </si>
  <si>
    <t>CUST-2829</t>
  </si>
  <si>
    <t>Elite Paper 847</t>
  </si>
  <si>
    <t>ORD-2024-10796</t>
  </si>
  <si>
    <t>CUST-6529</t>
  </si>
  <si>
    <t>Pro Copiers 653</t>
  </si>
  <si>
    <t>ORD-2024-10797</t>
  </si>
  <si>
    <t>CUST-3126</t>
  </si>
  <si>
    <t>Elite Machines 459</t>
  </si>
  <si>
    <t>ORD-2024-10798</t>
  </si>
  <si>
    <t>CUST-3991</t>
  </si>
  <si>
    <t>Elite Binders 764</t>
  </si>
  <si>
    <t>ORD-2025-10799</t>
  </si>
  <si>
    <t>CUST-7553</t>
  </si>
  <si>
    <t>Classic Furnishings 348</t>
  </si>
  <si>
    <t>ORD-2024-10800</t>
  </si>
  <si>
    <t>CUST-8527</t>
  </si>
  <si>
    <t>Smart Accessories 487</t>
  </si>
  <si>
    <t>ORD-2024-10801</t>
  </si>
  <si>
    <t>CUST-5015</t>
  </si>
  <si>
    <t>Elite Storage 825</t>
  </si>
  <si>
    <t>ORD-2025-10802</t>
  </si>
  <si>
    <t>CUST-3344</t>
  </si>
  <si>
    <t>Pro Accessories 500</t>
  </si>
  <si>
    <t>ORD-2025-10803</t>
  </si>
  <si>
    <t>CUST-5866</t>
  </si>
  <si>
    <t>Pro Furnishings 909</t>
  </si>
  <si>
    <t>ORD-2024-10804</t>
  </si>
  <si>
    <t>CUST-7180</t>
  </si>
  <si>
    <t>Basic Labels 359</t>
  </si>
  <si>
    <t>ORD-2025-10805</t>
  </si>
  <si>
    <t>CUST-8745</t>
  </si>
  <si>
    <t>Eco Furnishings 541</t>
  </si>
  <si>
    <t>ORD-2025-10806</t>
  </si>
  <si>
    <t>Classic Binders 103</t>
  </si>
  <si>
    <t>ORD-2024-10807</t>
  </si>
  <si>
    <t>CUST-3704</t>
  </si>
  <si>
    <t>Max Copiers 560</t>
  </si>
  <si>
    <t>ORD-2025-10808</t>
  </si>
  <si>
    <t>CUST-5884</t>
  </si>
  <si>
    <t>Smart Labels 436</t>
  </si>
  <si>
    <t>ORD-2025-10809</t>
  </si>
  <si>
    <t>CUST-7503</t>
  </si>
  <si>
    <t>Pro Furnishings 386</t>
  </si>
  <si>
    <t>ORD-2025-10810</t>
  </si>
  <si>
    <t>CUST-6973</t>
  </si>
  <si>
    <t>Eco Binders 601</t>
  </si>
  <si>
    <t>ORD-2024-10811</t>
  </si>
  <si>
    <t>Pro Copiers 867</t>
  </si>
  <si>
    <t>ORD-2024-10812</t>
  </si>
  <si>
    <t>CUST-3303</t>
  </si>
  <si>
    <t>Eco Accessories 122</t>
  </si>
  <si>
    <t>ORD-2024-10813</t>
  </si>
  <si>
    <t>CUST-5754</t>
  </si>
  <si>
    <t>Basic Tables 127</t>
  </si>
  <si>
    <t>ORD-2025-10814</t>
  </si>
  <si>
    <t>CUST-7848</t>
  </si>
  <si>
    <t>ORD-2025-10815</t>
  </si>
  <si>
    <t>CUST-9048</t>
  </si>
  <si>
    <t>Smart Labels 126</t>
  </si>
  <si>
    <t>ORD-2024-10816</t>
  </si>
  <si>
    <t>CUST-2951</t>
  </si>
  <si>
    <t>Max Machines 569</t>
  </si>
  <si>
    <t>ORD-2024-10817</t>
  </si>
  <si>
    <t>CUST-3072</t>
  </si>
  <si>
    <t>Basic Furnishings 306</t>
  </si>
  <si>
    <t>ORD-2025-10818</t>
  </si>
  <si>
    <t>CUST-2221</t>
  </si>
  <si>
    <t>Classic Binders 873</t>
  </si>
  <si>
    <t>ORD-2024-10819</t>
  </si>
  <si>
    <t>CUST-3943</t>
  </si>
  <si>
    <t>Pro Labels 611</t>
  </si>
  <si>
    <t>ORD-2024-10820</t>
  </si>
  <si>
    <t>CUST-7510</t>
  </si>
  <si>
    <t>Prime Machines 524</t>
  </si>
  <si>
    <t>ORD-2025-10821</t>
  </si>
  <si>
    <t>CUST-2041</t>
  </si>
  <si>
    <t>Classic Bookcases 882</t>
  </si>
  <si>
    <t>ORD-2024-10822</t>
  </si>
  <si>
    <t>CUST-4466</t>
  </si>
  <si>
    <t>Classic Accessories 471</t>
  </si>
  <si>
    <t>ORD-2024-10823</t>
  </si>
  <si>
    <t>CUST-3188</t>
  </si>
  <si>
    <t>Smart Furnishings 175</t>
  </si>
  <si>
    <t>ORD-2025-10824</t>
  </si>
  <si>
    <t>CUST-6638</t>
  </si>
  <si>
    <t>Basic Paper 899</t>
  </si>
  <si>
    <t>ORD-2025-10825</t>
  </si>
  <si>
    <t>CUST-3540</t>
  </si>
  <si>
    <t>Pro Paper 267</t>
  </si>
  <si>
    <t>ORD-2025-10826</t>
  </si>
  <si>
    <t>CUST-3351</t>
  </si>
  <si>
    <t>Basic Machines 832</t>
  </si>
  <si>
    <t>ORD-2025-10827</t>
  </si>
  <si>
    <t>CUST-4375</t>
  </si>
  <si>
    <t>Elite Accessories 790</t>
  </si>
  <si>
    <t>ORD-2024-10828</t>
  </si>
  <si>
    <t>CUST-5125</t>
  </si>
  <si>
    <t>Basic Paper 707</t>
  </si>
  <si>
    <t>ORD-2025-10829</t>
  </si>
  <si>
    <t>CUST-6010</t>
  </si>
  <si>
    <t>Elite Chairs 979</t>
  </si>
  <si>
    <t>ORD-2024-10830</t>
  </si>
  <si>
    <t>CUST-9036</t>
  </si>
  <si>
    <t>Pro Furnishings 192</t>
  </si>
  <si>
    <t>ORD-2025-10831</t>
  </si>
  <si>
    <t>CUST-7929</t>
  </si>
  <si>
    <t>Smart Machines 951</t>
  </si>
  <si>
    <t>ORD-2025-10832</t>
  </si>
  <si>
    <t>CUST-1106</t>
  </si>
  <si>
    <t>Smart Chairs 794</t>
  </si>
  <si>
    <t>ORD-2025-10833</t>
  </si>
  <si>
    <t>CUST-9557</t>
  </si>
  <si>
    <t>Max Phones 919</t>
  </si>
  <si>
    <t>ORD-2024-10834</t>
  </si>
  <si>
    <t>CUST-2689</t>
  </si>
  <si>
    <t>Basic Bookcases 499</t>
  </si>
  <si>
    <t>ORD-2024-10835</t>
  </si>
  <si>
    <t>CUST-2879</t>
  </si>
  <si>
    <t>Basic Art 143</t>
  </si>
  <si>
    <t>ORD-2025-10836</t>
  </si>
  <si>
    <t>CUST-5150</t>
  </si>
  <si>
    <t>Prime Phones 338</t>
  </si>
  <si>
    <t>ORD-2024-10837</t>
  </si>
  <si>
    <t>CUST-9776</t>
  </si>
  <si>
    <t>Smart Labels 814</t>
  </si>
  <si>
    <t>ORD-2025-10838</t>
  </si>
  <si>
    <t>CUST-2551</t>
  </si>
  <si>
    <t>Prime Paper 812</t>
  </si>
  <si>
    <t>ORD-2025-10839</t>
  </si>
  <si>
    <t>CUST-4708</t>
  </si>
  <si>
    <t>Pro Paper 355</t>
  </si>
  <si>
    <t>ORD-2024-10840</t>
  </si>
  <si>
    <t>CUST-8206</t>
  </si>
  <si>
    <t>Basic Phones 398</t>
  </si>
  <si>
    <t>ORD-2025-10841</t>
  </si>
  <si>
    <t>CUST-1297</t>
  </si>
  <si>
    <t>Classic Chairs 204</t>
  </si>
  <si>
    <t>ORD-2025-10842</t>
  </si>
  <si>
    <t>CUST-7558</t>
  </si>
  <si>
    <t>Max Art 339</t>
  </si>
  <si>
    <t>ORD-2024-10843</t>
  </si>
  <si>
    <t>CUST-1798</t>
  </si>
  <si>
    <t>Smart Machines 581</t>
  </si>
  <si>
    <t>ORD-2025-10844</t>
  </si>
  <si>
    <t>CUST-7333</t>
  </si>
  <si>
    <t>Prime Phones 482</t>
  </si>
  <si>
    <t>ORD-2025-10845</t>
  </si>
  <si>
    <t>CUST-2086</t>
  </si>
  <si>
    <t>Pro Art 588</t>
  </si>
  <si>
    <t>ORD-2024-10846</t>
  </si>
  <si>
    <t>Eco Tables 792</t>
  </si>
  <si>
    <t>ORD-2024-10847</t>
  </si>
  <si>
    <t>CUST-6522</t>
  </si>
  <si>
    <t>Prime Bookcases 177</t>
  </si>
  <si>
    <t>ORD-2025-10848</t>
  </si>
  <si>
    <t>CUST-8329</t>
  </si>
  <si>
    <t>Pro Tables 828</t>
  </si>
  <si>
    <t>ORD-2025-10849</t>
  </si>
  <si>
    <t>CUST-4426</t>
  </si>
  <si>
    <t>Elite Furnishings 480</t>
  </si>
  <si>
    <t>ORD-2024-10850</t>
  </si>
  <si>
    <t>CUST-3360</t>
  </si>
  <si>
    <t>Prime Bookcases 755</t>
  </si>
  <si>
    <t>ORD-2024-10851</t>
  </si>
  <si>
    <t>CUST-2623</t>
  </si>
  <si>
    <t>Prime Paper 317</t>
  </si>
  <si>
    <t>ORD-2024-10852</t>
  </si>
  <si>
    <t>CUST-3175</t>
  </si>
  <si>
    <t>Classic Accessories 933</t>
  </si>
  <si>
    <t>ORD-2024-10853</t>
  </si>
  <si>
    <t>CUST-9630</t>
  </si>
  <si>
    <t>Smart Tables 513</t>
  </si>
  <si>
    <t>ORD-2025-10854</t>
  </si>
  <si>
    <t>CUST-8274</t>
  </si>
  <si>
    <t>Elite Accessories 708</t>
  </si>
  <si>
    <t>ORD-2025-10855</t>
  </si>
  <si>
    <t>CUST-2514</t>
  </si>
  <si>
    <t>Max Bookcases 381</t>
  </si>
  <si>
    <t>ORD-2024-10856</t>
  </si>
  <si>
    <t>Classic Labels 215</t>
  </si>
  <si>
    <t>ORD-2024-10857</t>
  </si>
  <si>
    <t>Classic Storage 918</t>
  </si>
  <si>
    <t>ORD-2024-10858</t>
  </si>
  <si>
    <t>Max Storage 223</t>
  </si>
  <si>
    <t>ORD-2024-10859</t>
  </si>
  <si>
    <t>CUST-9576</t>
  </si>
  <si>
    <t>Basic Accessories 602</t>
  </si>
  <si>
    <t>ORD-2024-10860</t>
  </si>
  <si>
    <t>CUST-2395</t>
  </si>
  <si>
    <t>Elite Phones 394</t>
  </si>
  <si>
    <t>ORD-2024-10861</t>
  </si>
  <si>
    <t>CUST-8941</t>
  </si>
  <si>
    <t>Classic Storage 194</t>
  </si>
  <si>
    <t>ORD-2025-10862</t>
  </si>
  <si>
    <t>CUST-9448</t>
  </si>
  <si>
    <t>Smart Furnishings 892</t>
  </si>
  <si>
    <t>ORD-2025-10863</t>
  </si>
  <si>
    <t>CUST-8354</t>
  </si>
  <si>
    <t>Pro Binders 488</t>
  </si>
  <si>
    <t>ORD-2025-10864</t>
  </si>
  <si>
    <t>CUST-2200</t>
  </si>
  <si>
    <t>Prime Furnishings 679</t>
  </si>
  <si>
    <t>ORD-2025-10865</t>
  </si>
  <si>
    <t>CUST-1178</t>
  </si>
  <si>
    <t>Smart Phones 158</t>
  </si>
  <si>
    <t>ORD-2025-10866</t>
  </si>
  <si>
    <t>CUST-8099</t>
  </si>
  <si>
    <t>Classic Labels 218</t>
  </si>
  <si>
    <t>ORD-2025-10867</t>
  </si>
  <si>
    <t>CUST-7596</t>
  </si>
  <si>
    <t>Smart Bookcases 552</t>
  </si>
  <si>
    <t>ORD-2024-10868</t>
  </si>
  <si>
    <t>CUST-2328</t>
  </si>
  <si>
    <t>Eco Accessories 389</t>
  </si>
  <si>
    <t>ORD-2025-10869</t>
  </si>
  <si>
    <t>CUST-8483</t>
  </si>
  <si>
    <t>Elite Storage 187</t>
  </si>
  <si>
    <t>ORD-2025-10870</t>
  </si>
  <si>
    <t>CUST-2388</t>
  </si>
  <si>
    <t>ORD-2025-10871</t>
  </si>
  <si>
    <t>CUST-7054</t>
  </si>
  <si>
    <t>Max Tables 281</t>
  </si>
  <si>
    <t>ORD-2024-10872</t>
  </si>
  <si>
    <t>Pro Accessories 325</t>
  </si>
  <si>
    <t>ORD-2024-10873</t>
  </si>
  <si>
    <t>Prime Furnishings 178</t>
  </si>
  <si>
    <t>ORD-2025-10874</t>
  </si>
  <si>
    <t>CUST-8160</t>
  </si>
  <si>
    <t>Elite Storage 144</t>
  </si>
  <si>
    <t>ORD-2025-10875</t>
  </si>
  <si>
    <t>CUST-8770</t>
  </si>
  <si>
    <t>Elite Paper 309</t>
  </si>
  <si>
    <t>ORD-2024-10876</t>
  </si>
  <si>
    <t>CUST-6928</t>
  </si>
  <si>
    <t>Elite Copiers 752</t>
  </si>
  <si>
    <t>ORD-2024-10877</t>
  </si>
  <si>
    <t>CUST-9044</t>
  </si>
  <si>
    <t>ORD-2025-10878</t>
  </si>
  <si>
    <t>CUST-7146</t>
  </si>
  <si>
    <t>Max Storage 438</t>
  </si>
  <si>
    <t>ORD-2024-10879</t>
  </si>
  <si>
    <t>CUST-8534</t>
  </si>
  <si>
    <t>Basic Paper 904</t>
  </si>
  <si>
    <t>ORD-2025-10880</t>
  </si>
  <si>
    <t>CUST-4486</t>
  </si>
  <si>
    <t>Smart Art 990</t>
  </si>
  <si>
    <t>ORD-2024-10881</t>
  </si>
  <si>
    <t>CUST-5287</t>
  </si>
  <si>
    <t>Basic Chairs 327</t>
  </si>
  <si>
    <t>ORD-2024-10882</t>
  </si>
  <si>
    <t>CUST-3445</t>
  </si>
  <si>
    <t>Eco Copiers 987</t>
  </si>
  <si>
    <t>ORD-2025-10883</t>
  </si>
  <si>
    <t>CUST-4983</t>
  </si>
  <si>
    <t>Basic Accessories 607</t>
  </si>
  <si>
    <t>ORD-2025-10884</t>
  </si>
  <si>
    <t>CUST-2597</t>
  </si>
  <si>
    <t>Classic Storage 211</t>
  </si>
  <si>
    <t>ORD-2025-10885</t>
  </si>
  <si>
    <t>CUST-7505</t>
  </si>
  <si>
    <t>Eco Storage 783</t>
  </si>
  <si>
    <t>ORD-2024-10886</t>
  </si>
  <si>
    <t>CUST-3446</t>
  </si>
  <si>
    <t>Pro Tables 866</t>
  </si>
  <si>
    <t>ORD-2025-10887</t>
  </si>
  <si>
    <t>CUST-3549</t>
  </si>
  <si>
    <t>Max Accessories 541</t>
  </si>
  <si>
    <t>ORD-2024-10888</t>
  </si>
  <si>
    <t>CUST-2795</t>
  </si>
  <si>
    <t>Prime Art 596</t>
  </si>
  <si>
    <t>ORD-2025-10889</t>
  </si>
  <si>
    <t>CUST-1081</t>
  </si>
  <si>
    <t>Pro Art 620</t>
  </si>
  <si>
    <t>ORD-2025-10890</t>
  </si>
  <si>
    <t>Prime Storage 806</t>
  </si>
  <si>
    <t>ORD-2024-10891</t>
  </si>
  <si>
    <t>CUST-3992</t>
  </si>
  <si>
    <t>Smart Storage 288</t>
  </si>
  <si>
    <t>ORD-2024-10892</t>
  </si>
  <si>
    <t>CUST-6647</t>
  </si>
  <si>
    <t>Elite Machines 281</t>
  </si>
  <si>
    <t>ORD-2025-10893</t>
  </si>
  <si>
    <t>CUST-5087</t>
  </si>
  <si>
    <t>Elite Copiers 221</t>
  </si>
  <si>
    <t>ORD-2024-10894</t>
  </si>
  <si>
    <t>CUST-9297</t>
  </si>
  <si>
    <t>Max Tables 291</t>
  </si>
  <si>
    <t>ORD-2024-10895</t>
  </si>
  <si>
    <t>CUST-7996</t>
  </si>
  <si>
    <t>Classic Tables 638</t>
  </si>
  <si>
    <t>ORD-2024-10896</t>
  </si>
  <si>
    <t>CUST-4117</t>
  </si>
  <si>
    <t>Basic Chairs 212</t>
  </si>
  <si>
    <t>ORD-2024-10897</t>
  </si>
  <si>
    <t>CUST-4848</t>
  </si>
  <si>
    <t>Max Copiers 121</t>
  </si>
  <si>
    <t>ORD-2025-10898</t>
  </si>
  <si>
    <t>Eco Paper 747</t>
  </si>
  <si>
    <t>ORD-2024-10899</t>
  </si>
  <si>
    <t>CUST-6046</t>
  </si>
  <si>
    <t>Classic Tables 535</t>
  </si>
  <si>
    <t>ORD-2025-10900</t>
  </si>
  <si>
    <t>CUST-3789</t>
  </si>
  <si>
    <t>Elite Chairs 971</t>
  </si>
  <si>
    <t/>
  </si>
  <si>
    <t>Validation</t>
  </si>
  <si>
    <t>Shipping_delay_days</t>
  </si>
  <si>
    <t>dup_check</t>
  </si>
  <si>
    <t>duplicate_flag</t>
  </si>
  <si>
    <t>Missing_region</t>
  </si>
  <si>
    <t>missing_ship_mode</t>
  </si>
  <si>
    <t>clean_discount</t>
  </si>
  <si>
    <t>dis_flag</t>
  </si>
  <si>
    <t>calculated_sales</t>
  </si>
  <si>
    <t>calculated_profit</t>
  </si>
  <si>
    <t>profit_margin</t>
  </si>
  <si>
    <t>order_month</t>
  </si>
  <si>
    <t>order_year</t>
  </si>
  <si>
    <t>data_quality_flag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</si>
</sst>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name val="Carlito"/>
    </font>
    <font>
      <b/>
      <sz val="11"/>
      <color rgb="FFFFFFFF"/>
      <name val="Carlito"/>
    </font>
    <font>
      <sz val="11"/>
      <name val="Carlito"/>
    </font>
  </fonts>
  <fills count="3">
    <fill>
      <patternFill patternType="none"/>
    </fill>
    <fill>
      <patternFill patternType="gray125"/>
    </fill>
    <fill>
      <patternFill patternType="solid">
        <fgColor rgb="FF24406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7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14" fontId="0" fillId="0" borderId="0" xfId="0" applyNumberFormat="1" applyAlignment="1">
      <alignment horizontal="right"/>
    </xf>
    <xf numFmtId="14" fontId="0" fillId="0" borderId="0" xfId="0" applyNumberFormat="1"/>
    <xf numFmtId="1" fontId="0" fillId="0" borderId="0" xfId="0" applyNumberFormat="1" applyAlignment="1">
      <alignment horizontal="right"/>
    </xf>
    <xf numFmtId="2" fontId="0" fillId="0" borderId="0" xfId="0" applyNumberFormat="1"/>
    <xf numFmtId="9" fontId="0" fillId="0" borderId="0" xfId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913"/>
  <sheetViews>
    <sheetView tabSelected="1" topLeftCell="Q1" workbookViewId="0">
      <pane ySplit="1" topLeftCell="A2" activePane="bottomLeft" state="frozen"/>
      <selection activeCell="X1" sqref="X1"/>
      <selection pane="bottomLeft" activeCell="D889" sqref="D889"/>
    </sheetView>
  </sheetViews>
  <sheetFormatPr defaultRowHeight="13.8"/>
  <cols>
    <col min="1" max="5" width="16" customWidth="1"/>
    <col min="6" max="6" width="22.59765625" bestFit="1" customWidth="1"/>
    <col min="7" max="7" width="22.59765625" customWidth="1"/>
    <col min="8" max="32" width="16" customWidth="1"/>
  </cols>
  <sheetData>
    <row r="1" spans="1:35" ht="22.35" customHeight="1">
      <c r="A1" s="1" t="s">
        <v>0</v>
      </c>
      <c r="B1" s="1" t="s">
        <v>2763</v>
      </c>
      <c r="C1" s="1" t="s">
        <v>2764</v>
      </c>
      <c r="D1" s="1" t="s">
        <v>1</v>
      </c>
      <c r="E1" s="1" t="s">
        <v>2</v>
      </c>
      <c r="F1" s="1" t="s">
        <v>2761</v>
      </c>
      <c r="G1" s="1" t="s">
        <v>2762</v>
      </c>
      <c r="H1" s="1" t="s">
        <v>3</v>
      </c>
      <c r="I1" s="1" t="s">
        <v>4</v>
      </c>
      <c r="J1" s="1" t="s">
        <v>5</v>
      </c>
      <c r="K1" s="1" t="s">
        <v>6</v>
      </c>
      <c r="L1" s="1" t="s">
        <v>2765</v>
      </c>
      <c r="M1" s="1" t="s">
        <v>7</v>
      </c>
      <c r="N1" s="1" t="s">
        <v>8</v>
      </c>
      <c r="O1" s="1" t="s">
        <v>9</v>
      </c>
      <c r="P1" s="1" t="s">
        <v>10</v>
      </c>
      <c r="Q1" s="1" t="s">
        <v>11</v>
      </c>
      <c r="R1" s="1" t="s">
        <v>12</v>
      </c>
      <c r="S1" s="1" t="s">
        <v>2766</v>
      </c>
      <c r="T1" s="1" t="s">
        <v>13</v>
      </c>
      <c r="U1" s="1" t="s">
        <v>14</v>
      </c>
      <c r="V1" s="1" t="s">
        <v>15</v>
      </c>
      <c r="W1" s="1" t="s">
        <v>2767</v>
      </c>
      <c r="X1" s="1" t="s">
        <v>2768</v>
      </c>
      <c r="Y1" s="1" t="s">
        <v>16</v>
      </c>
      <c r="Z1" s="1" t="s">
        <v>2769</v>
      </c>
      <c r="AA1" s="1" t="s">
        <v>17</v>
      </c>
      <c r="AB1" s="1" t="s">
        <v>18</v>
      </c>
      <c r="AC1" s="1" t="s">
        <v>2770</v>
      </c>
      <c r="AD1" s="1" t="s">
        <v>2771</v>
      </c>
      <c r="AE1" s="1" t="s">
        <v>19</v>
      </c>
      <c r="AF1" s="1" t="s">
        <v>20</v>
      </c>
      <c r="AG1" s="1" t="s">
        <v>2772</v>
      </c>
      <c r="AH1" s="1" t="s">
        <v>2773</v>
      </c>
      <c r="AI1" s="1" t="s">
        <v>2774</v>
      </c>
    </row>
    <row r="2" spans="1:35">
      <c r="A2" t="s">
        <v>21</v>
      </c>
      <c r="B2">
        <f>COUNTIF($A$2:$A$932, A2)</f>
        <v>1</v>
      </c>
      <c r="C2" t="str">
        <f>IF(COUNTIF($A$2:A2, A2)&gt;1, "DUPLICATE_FLAGGED_FOR_REVIEW", "")</f>
        <v/>
      </c>
      <c r="D2" s="3">
        <v>45494</v>
      </c>
      <c r="E2" s="2">
        <v>45500</v>
      </c>
      <c r="F2" s="2" t="str">
        <f>IF(E2&lt;D2, "ERROR: Ship before order", "OK")</f>
        <v>OK</v>
      </c>
      <c r="G2" s="4">
        <f>IF(AND(ISNUMBER(E2),ISNUMBER(D2)), E2-D2, "")</f>
        <v>6</v>
      </c>
      <c r="H2" t="s">
        <v>22</v>
      </c>
      <c r="I2" t="s">
        <v>23</v>
      </c>
      <c r="J2" t="s">
        <v>24</v>
      </c>
      <c r="K2" t="s">
        <v>25</v>
      </c>
      <c r="L2" t="str">
        <f>IF(OR(K2="",ISBLANK(K2)), "Unknown", K2)</f>
        <v>North</v>
      </c>
      <c r="M2" t="s">
        <v>26</v>
      </c>
      <c r="N2" t="s">
        <v>27</v>
      </c>
      <c r="O2" t="s">
        <v>28</v>
      </c>
      <c r="P2" t="s">
        <v>29</v>
      </c>
      <c r="Q2" t="s">
        <v>30</v>
      </c>
      <c r="R2" t="s">
        <v>31</v>
      </c>
      <c r="S2" t="str">
        <f>IF(OR(R2="",ISBLANK(R2)), "Unknown", R2)</f>
        <v>Second Class</v>
      </c>
      <c r="T2">
        <v>8</v>
      </c>
      <c r="U2">
        <v>2976.45</v>
      </c>
      <c r="V2">
        <v>0.2</v>
      </c>
      <c r="W2">
        <f>IF(ISBLANK(V2), IF(AND(ISNUMBER(T2), ISNUMBER(U2)), 0, ""), IF(V2&lt;0, V2, IF(V2&gt;0.5, V2, V2)))</f>
        <v>0.2</v>
      </c>
      <c r="X2" t="str">
        <f>IF(V2&lt;0,"INVALID_NEGATIVE_DISCOUNT",IF(V2&gt;0.5,"INVALID_DISCOUNT_ABOVE_50PCT",IF(AND(ISBLANK(V2), ISNUMBER(T2), ISNUMBER(U2)),"DISCOUNT_MISSING_SET_TO_0","")))</f>
        <v/>
      </c>
      <c r="Y2">
        <v>19049.28</v>
      </c>
      <c r="Z2">
        <f>T2 * U2 * (1 - W2)</f>
        <v>19049.28</v>
      </c>
      <c r="AA2">
        <v>15841.89</v>
      </c>
      <c r="AB2">
        <v>3207.39</v>
      </c>
      <c r="AC2">
        <f>Z2-U2</f>
        <v>16072.829999999998</v>
      </c>
      <c r="AD2" s="6">
        <f>IF(Z2&lt;&gt;0, AC2 / Z2, 0)</f>
        <v>0.84375</v>
      </c>
      <c r="AE2" t="s">
        <v>32</v>
      </c>
      <c r="AF2" t="s">
        <v>33</v>
      </c>
      <c r="AG2">
        <f>MONTH(D2)</f>
        <v>7</v>
      </c>
      <c r="AH2">
        <f>YEAR(D2)</f>
        <v>2024</v>
      </c>
      <c r="AI2" t="str">
        <f>IF(OR(X2="INVALID_NEGATIVE_DISCOUNT",X2="INVALID_DISCOUNT_ABOVE_50PCT",F2="ERROR: Ship before order"),"INVALID",IF(OR(L2="Unknown",S2="Unknown",X2="DISCOUNT_MISSING_SET_TO_0"),"WARNING","CLEAN"))</f>
        <v>CLEAN</v>
      </c>
    </row>
    <row r="3" spans="1:35">
      <c r="A3" t="s">
        <v>34</v>
      </c>
      <c r="B3">
        <f t="shared" ref="B3:B66" si="0">COUNTIF($A$2:$A$932, A3)</f>
        <v>1</v>
      </c>
      <c r="C3" t="str">
        <f>IF(COUNTIF($A$2:A3, A3)&gt;1, "DUPLICATE_FLAGGED_FOR_REVIEW", "")</f>
        <v/>
      </c>
      <c r="D3" s="3">
        <v>45535</v>
      </c>
      <c r="E3" s="2">
        <v>45540</v>
      </c>
      <c r="F3" s="2" t="str">
        <f t="shared" ref="F3:F66" si="1">IF(E3&lt;D3, "ERROR: Ship before order", "OK")</f>
        <v>OK</v>
      </c>
      <c r="G3" s="4">
        <f t="shared" ref="G3:G66" si="2">IF(AND(ISNUMBER(E3),ISNUMBER(D3)), E3-D3, "")</f>
        <v>5</v>
      </c>
      <c r="H3" t="s">
        <v>35</v>
      </c>
      <c r="I3" t="s">
        <v>36</v>
      </c>
      <c r="J3" t="s">
        <v>37</v>
      </c>
      <c r="K3" t="s">
        <v>38</v>
      </c>
      <c r="L3" t="str">
        <f t="shared" ref="L3:L66" si="3">IF(OR(K3="",ISBLANK(K3)), "Unknown", K3)</f>
        <v>East</v>
      </c>
      <c r="M3" t="s">
        <v>39</v>
      </c>
      <c r="N3" t="s">
        <v>40</v>
      </c>
      <c r="O3" t="s">
        <v>41</v>
      </c>
      <c r="P3" t="s">
        <v>42</v>
      </c>
      <c r="Q3" t="s">
        <v>43</v>
      </c>
      <c r="R3" t="s">
        <v>44</v>
      </c>
      <c r="S3" t="str">
        <f t="shared" ref="S3:S66" si="4">IF(OR(R3="",ISBLANK(R3)), "Unknown", R3)</f>
        <v>Same Day</v>
      </c>
      <c r="T3">
        <v>3</v>
      </c>
      <c r="U3">
        <v>2437.5</v>
      </c>
      <c r="V3">
        <v>0</v>
      </c>
      <c r="W3">
        <f t="shared" ref="W3:W66" si="5">IF(ISBLANK(V3), IF(AND(ISNUMBER(T3), ISNUMBER(U3)), 0, ""), IF(V3&lt;0, V3, IF(V3&gt;0.5, V3, V3)))</f>
        <v>0</v>
      </c>
      <c r="X3" t="str">
        <f t="shared" ref="X3:X66" si="6">IF(V3&lt;0,"INVALID_NEGATIVE_DISCOUNT",IF(V3&gt;0.5,"INVALID_DISCOUNT_ABOVE_50PCT",IF(AND(ISBLANK(V3), ISNUMBER(T3), ISNUMBER(U3)),"DISCOUNT_MISSING_SET_TO_0","")))</f>
        <v/>
      </c>
      <c r="Y3">
        <v>7312.5</v>
      </c>
      <c r="Z3">
        <f t="shared" ref="Z3:Z66" si="7">T3 * U3 * (1 - W3)</f>
        <v>7312.5</v>
      </c>
      <c r="AA3">
        <v>4904.7299999999996</v>
      </c>
      <c r="AB3">
        <v>2407.77</v>
      </c>
      <c r="AC3">
        <f t="shared" ref="AC3:AC66" si="8">Z3-U3</f>
        <v>4875</v>
      </c>
      <c r="AD3" s="6">
        <f t="shared" ref="AD3:AD66" si="9">IF(Z3&lt;&gt;0, AC3 / Z3, 0)</f>
        <v>0.66666666666666663</v>
      </c>
      <c r="AE3" t="s">
        <v>32</v>
      </c>
      <c r="AF3" t="s">
        <v>33</v>
      </c>
      <c r="AG3">
        <f t="shared" ref="AG3:AG66" si="10">MONTH(D3)</f>
        <v>8</v>
      </c>
      <c r="AH3">
        <f t="shared" ref="AH3:AH66" si="11">YEAR(D3)</f>
        <v>2024</v>
      </c>
      <c r="AI3" t="str">
        <f t="shared" ref="AI3:AI66" si="12">IF(OR(X3="INVALID_NEGATIVE_DISCOUNT",X3="INVALID_DISCOUNT_ABOVE_50PCT",F3="ERROR: Ship before order"),"INVALID",IF(OR(L3="Unknown",S3="Unknown",X3="DISCOUNT_MISSING_SET_TO_0"),"WARNING","CLEAN"))</f>
        <v>CLEAN</v>
      </c>
    </row>
    <row r="4" spans="1:35">
      <c r="A4" t="s">
        <v>45</v>
      </c>
      <c r="B4">
        <f t="shared" si="0"/>
        <v>1</v>
      </c>
      <c r="C4" t="str">
        <f>IF(COUNTIF($A$2:A4, A4)&gt;1, "DUPLICATE_FLAGGED_FOR_REVIEW", "")</f>
        <v/>
      </c>
      <c r="D4" s="3">
        <v>45510</v>
      </c>
      <c r="E4" s="2">
        <v>45458</v>
      </c>
      <c r="F4" s="2" t="str">
        <f t="shared" si="1"/>
        <v>ERROR: Ship before order</v>
      </c>
      <c r="G4" s="4">
        <f t="shared" si="2"/>
        <v>-52</v>
      </c>
      <c r="H4" t="s">
        <v>46</v>
      </c>
      <c r="I4" t="s">
        <v>47</v>
      </c>
      <c r="J4" t="s">
        <v>24</v>
      </c>
      <c r="K4" t="s">
        <v>38</v>
      </c>
      <c r="L4" t="str">
        <f t="shared" si="3"/>
        <v>East</v>
      </c>
      <c r="M4" t="s">
        <v>39</v>
      </c>
      <c r="N4" t="s">
        <v>40</v>
      </c>
      <c r="O4" t="s">
        <v>28</v>
      </c>
      <c r="P4" t="s">
        <v>48</v>
      </c>
      <c r="Q4" t="s">
        <v>49</v>
      </c>
      <c r="R4" t="s">
        <v>50</v>
      </c>
      <c r="S4" t="str">
        <f t="shared" si="4"/>
        <v>First Class</v>
      </c>
      <c r="T4">
        <v>4</v>
      </c>
      <c r="U4">
        <v>1065.43</v>
      </c>
      <c r="V4">
        <v>0.55000000000000004</v>
      </c>
      <c r="W4">
        <f t="shared" si="5"/>
        <v>0.55000000000000004</v>
      </c>
      <c r="X4" t="str">
        <f t="shared" si="6"/>
        <v>INVALID_DISCOUNT_ABOVE_50PCT</v>
      </c>
      <c r="Y4">
        <v>4261.72</v>
      </c>
      <c r="Z4">
        <f t="shared" si="7"/>
        <v>1917.7739999999999</v>
      </c>
      <c r="AA4">
        <v>2465.69</v>
      </c>
      <c r="AB4">
        <v>1796.03</v>
      </c>
      <c r="AC4">
        <f t="shared" si="8"/>
        <v>852.34399999999982</v>
      </c>
      <c r="AD4" s="6">
        <f t="shared" si="9"/>
        <v>0.44444444444444436</v>
      </c>
      <c r="AE4" t="s">
        <v>32</v>
      </c>
      <c r="AF4" t="s">
        <v>33</v>
      </c>
      <c r="AG4">
        <f t="shared" si="10"/>
        <v>8</v>
      </c>
      <c r="AH4">
        <f t="shared" si="11"/>
        <v>2024</v>
      </c>
      <c r="AI4" t="str">
        <f t="shared" si="12"/>
        <v>INVALID</v>
      </c>
    </row>
    <row r="5" spans="1:35">
      <c r="A5" t="s">
        <v>51</v>
      </c>
      <c r="B5">
        <f t="shared" si="0"/>
        <v>1</v>
      </c>
      <c r="C5" t="str">
        <f>IF(COUNTIF($A$2:A5, A5)&gt;1, "DUPLICATE_FLAGGED_FOR_REVIEW", "")</f>
        <v/>
      </c>
      <c r="D5" s="3">
        <v>45624</v>
      </c>
      <c r="E5" s="2">
        <v>45625</v>
      </c>
      <c r="F5" s="2" t="str">
        <f t="shared" si="1"/>
        <v>OK</v>
      </c>
      <c r="G5" s="4">
        <f t="shared" si="2"/>
        <v>1</v>
      </c>
      <c r="H5" t="s">
        <v>52</v>
      </c>
      <c r="I5" t="s">
        <v>53</v>
      </c>
      <c r="J5" t="s">
        <v>37</v>
      </c>
      <c r="K5" t="s">
        <v>54</v>
      </c>
      <c r="L5" t="str">
        <f t="shared" si="3"/>
        <v>South</v>
      </c>
      <c r="M5" t="s">
        <v>55</v>
      </c>
      <c r="N5" t="s">
        <v>56</v>
      </c>
      <c r="O5" t="s">
        <v>41</v>
      </c>
      <c r="P5" t="s">
        <v>57</v>
      </c>
      <c r="Q5" t="s">
        <v>58</v>
      </c>
      <c r="R5" t="s">
        <v>59</v>
      </c>
      <c r="S5" t="str">
        <f t="shared" si="4"/>
        <v>Standard Class</v>
      </c>
      <c r="T5">
        <v>6</v>
      </c>
      <c r="U5">
        <v>1848.43</v>
      </c>
      <c r="V5">
        <v>0.25</v>
      </c>
      <c r="W5">
        <f t="shared" si="5"/>
        <v>0.25</v>
      </c>
      <c r="X5" t="str">
        <f t="shared" si="6"/>
        <v/>
      </c>
      <c r="Y5">
        <v>8317.93</v>
      </c>
      <c r="Z5">
        <f t="shared" si="7"/>
        <v>8317.9349999999995</v>
      </c>
      <c r="AA5">
        <v>6796.77</v>
      </c>
      <c r="AB5">
        <v>1521.16</v>
      </c>
      <c r="AC5">
        <f t="shared" si="8"/>
        <v>6469.5049999999992</v>
      </c>
      <c r="AD5" s="6">
        <f t="shared" si="9"/>
        <v>0.77777777777777768</v>
      </c>
      <c r="AE5" t="s">
        <v>32</v>
      </c>
      <c r="AF5" t="s">
        <v>33</v>
      </c>
      <c r="AG5">
        <f t="shared" si="10"/>
        <v>11</v>
      </c>
      <c r="AH5">
        <f t="shared" si="11"/>
        <v>2024</v>
      </c>
      <c r="AI5" t="str">
        <f t="shared" si="12"/>
        <v>CLEAN</v>
      </c>
    </row>
    <row r="6" spans="1:35">
      <c r="A6" t="s">
        <v>60</v>
      </c>
      <c r="B6">
        <f t="shared" si="0"/>
        <v>1</v>
      </c>
      <c r="C6" t="str">
        <f>IF(COUNTIF($A$2:A6, A6)&gt;1, "DUPLICATE_FLAGGED_FOR_REVIEW", "")</f>
        <v/>
      </c>
      <c r="D6" s="3">
        <v>45898</v>
      </c>
      <c r="E6" s="2">
        <v>45901</v>
      </c>
      <c r="F6" s="2" t="str">
        <f t="shared" si="1"/>
        <v>OK</v>
      </c>
      <c r="G6" s="4">
        <f t="shared" si="2"/>
        <v>3</v>
      </c>
      <c r="H6" t="s">
        <v>61</v>
      </c>
      <c r="I6" t="s">
        <v>62</v>
      </c>
      <c r="J6" t="s">
        <v>37</v>
      </c>
      <c r="K6" t="s">
        <v>63</v>
      </c>
      <c r="L6" t="str">
        <f t="shared" si="3"/>
        <v>West</v>
      </c>
      <c r="M6" t="s">
        <v>64</v>
      </c>
      <c r="N6" t="s">
        <v>65</v>
      </c>
      <c r="O6" t="s">
        <v>41</v>
      </c>
      <c r="P6" t="s">
        <v>66</v>
      </c>
      <c r="Q6" t="s">
        <v>67</v>
      </c>
      <c r="R6" t="s">
        <v>50</v>
      </c>
      <c r="S6" t="str">
        <f t="shared" si="4"/>
        <v>First Class</v>
      </c>
      <c r="T6">
        <v>7</v>
      </c>
      <c r="U6">
        <v>2973.76</v>
      </c>
      <c r="V6">
        <v>0</v>
      </c>
      <c r="W6">
        <f t="shared" si="5"/>
        <v>0</v>
      </c>
      <c r="X6" t="str">
        <f t="shared" si="6"/>
        <v/>
      </c>
      <c r="Y6">
        <v>20816.32</v>
      </c>
      <c r="Z6">
        <f t="shared" si="7"/>
        <v>20816.32</v>
      </c>
      <c r="AA6">
        <v>17705.37</v>
      </c>
      <c r="AB6">
        <v>3110.95</v>
      </c>
      <c r="AC6">
        <f t="shared" si="8"/>
        <v>17842.559999999998</v>
      </c>
      <c r="AD6" s="6">
        <f t="shared" si="9"/>
        <v>0.8571428571428571</v>
      </c>
      <c r="AE6" t="s">
        <v>32</v>
      </c>
      <c r="AF6" t="s">
        <v>68</v>
      </c>
      <c r="AG6">
        <f t="shared" si="10"/>
        <v>8</v>
      </c>
      <c r="AH6">
        <f t="shared" si="11"/>
        <v>2025</v>
      </c>
      <c r="AI6" t="str">
        <f t="shared" si="12"/>
        <v>CLEAN</v>
      </c>
    </row>
    <row r="7" spans="1:35">
      <c r="A7" t="s">
        <v>69</v>
      </c>
      <c r="B7">
        <f t="shared" si="0"/>
        <v>1</v>
      </c>
      <c r="C7" t="str">
        <f>IF(COUNTIF($A$2:A7, A7)&gt;1, "DUPLICATE_FLAGGED_FOR_REVIEW", "")</f>
        <v/>
      </c>
      <c r="D7" s="3">
        <v>45436</v>
      </c>
      <c r="E7" s="2">
        <v>45440</v>
      </c>
      <c r="F7" s="2" t="str">
        <f t="shared" si="1"/>
        <v>OK</v>
      </c>
      <c r="G7" s="4">
        <f t="shared" si="2"/>
        <v>4</v>
      </c>
      <c r="H7" t="s">
        <v>70</v>
      </c>
      <c r="I7" t="s">
        <v>71</v>
      </c>
      <c r="J7" t="s">
        <v>37</v>
      </c>
      <c r="K7" t="s">
        <v>63</v>
      </c>
      <c r="L7" t="str">
        <f t="shared" si="3"/>
        <v>West</v>
      </c>
      <c r="M7" t="s">
        <v>72</v>
      </c>
      <c r="N7" t="s">
        <v>73</v>
      </c>
      <c r="O7" t="s">
        <v>74</v>
      </c>
      <c r="P7" t="s">
        <v>75</v>
      </c>
      <c r="Q7" t="s">
        <v>76</v>
      </c>
      <c r="R7" t="s">
        <v>44</v>
      </c>
      <c r="S7" t="str">
        <f t="shared" si="4"/>
        <v>Same Day</v>
      </c>
      <c r="T7">
        <v>3</v>
      </c>
      <c r="U7">
        <v>1053.1099999999999</v>
      </c>
      <c r="V7">
        <v>0.2</v>
      </c>
      <c r="W7">
        <f t="shared" si="5"/>
        <v>0.2</v>
      </c>
      <c r="X7" t="str">
        <f t="shared" si="6"/>
        <v/>
      </c>
      <c r="Y7">
        <v>2527.46</v>
      </c>
      <c r="Z7">
        <f t="shared" si="7"/>
        <v>2527.4639999999999</v>
      </c>
      <c r="AA7">
        <v>1533.58</v>
      </c>
      <c r="AB7">
        <v>993.88</v>
      </c>
      <c r="AC7">
        <f t="shared" si="8"/>
        <v>1474.354</v>
      </c>
      <c r="AD7" s="6">
        <f t="shared" si="9"/>
        <v>0.58333333333333337</v>
      </c>
      <c r="AE7" t="s">
        <v>32</v>
      </c>
      <c r="AF7" t="s">
        <v>33</v>
      </c>
      <c r="AG7">
        <f t="shared" si="10"/>
        <v>5</v>
      </c>
      <c r="AH7">
        <f t="shared" si="11"/>
        <v>2024</v>
      </c>
      <c r="AI7" t="str">
        <f t="shared" si="12"/>
        <v>CLEAN</v>
      </c>
    </row>
    <row r="8" spans="1:35">
      <c r="A8" t="s">
        <v>77</v>
      </c>
      <c r="B8">
        <f t="shared" si="0"/>
        <v>1</v>
      </c>
      <c r="C8" t="str">
        <f>IF(COUNTIF($A$2:A8, A8)&gt;1, "DUPLICATE_FLAGGED_FOR_REVIEW", "")</f>
        <v/>
      </c>
      <c r="D8" s="3">
        <v>45934</v>
      </c>
      <c r="E8" s="2">
        <v>45763</v>
      </c>
      <c r="F8" s="2" t="str">
        <f t="shared" si="1"/>
        <v>ERROR: Ship before order</v>
      </c>
      <c r="G8" s="4">
        <f t="shared" si="2"/>
        <v>-171</v>
      </c>
      <c r="H8" t="s">
        <v>78</v>
      </c>
      <c r="I8" t="s">
        <v>79</v>
      </c>
      <c r="J8" t="s">
        <v>24</v>
      </c>
      <c r="K8" t="s">
        <v>38</v>
      </c>
      <c r="L8" t="str">
        <f t="shared" si="3"/>
        <v>East</v>
      </c>
      <c r="M8" t="s">
        <v>39</v>
      </c>
      <c r="N8" t="s">
        <v>40</v>
      </c>
      <c r="O8" t="s">
        <v>74</v>
      </c>
      <c r="P8" t="s">
        <v>80</v>
      </c>
      <c r="Q8" t="s">
        <v>81</v>
      </c>
      <c r="R8" t="s">
        <v>59</v>
      </c>
      <c r="S8" t="str">
        <f t="shared" si="4"/>
        <v>Standard Class</v>
      </c>
      <c r="T8">
        <v>4</v>
      </c>
      <c r="U8">
        <v>1719.87</v>
      </c>
      <c r="V8">
        <v>0.15</v>
      </c>
      <c r="W8">
        <f t="shared" si="5"/>
        <v>0.15</v>
      </c>
      <c r="X8" t="str">
        <f t="shared" si="6"/>
        <v/>
      </c>
      <c r="Y8">
        <v>5847.56</v>
      </c>
      <c r="Z8">
        <f t="shared" si="7"/>
        <v>5847.5579999999991</v>
      </c>
      <c r="AA8">
        <v>4727.25</v>
      </c>
      <c r="AB8">
        <v>1120.31</v>
      </c>
      <c r="AC8">
        <f t="shared" si="8"/>
        <v>4127.6879999999992</v>
      </c>
      <c r="AD8" s="6">
        <f t="shared" si="9"/>
        <v>0.70588235294117641</v>
      </c>
      <c r="AE8" t="s">
        <v>32</v>
      </c>
      <c r="AF8" t="s">
        <v>33</v>
      </c>
      <c r="AG8">
        <f t="shared" si="10"/>
        <v>10</v>
      </c>
      <c r="AH8">
        <f t="shared" si="11"/>
        <v>2025</v>
      </c>
      <c r="AI8" t="str">
        <f t="shared" si="12"/>
        <v>INVALID</v>
      </c>
    </row>
    <row r="9" spans="1:35">
      <c r="A9" t="s">
        <v>82</v>
      </c>
      <c r="B9">
        <f t="shared" si="0"/>
        <v>1</v>
      </c>
      <c r="C9" t="str">
        <f>IF(COUNTIF($A$2:A9, A9)&gt;1, "DUPLICATE_FLAGGED_FOR_REVIEW", "")</f>
        <v/>
      </c>
      <c r="D9" s="3">
        <v>45711</v>
      </c>
      <c r="E9" s="2">
        <v>45714</v>
      </c>
      <c r="F9" s="2" t="str">
        <f t="shared" si="1"/>
        <v>OK</v>
      </c>
      <c r="G9" s="4">
        <f t="shared" si="2"/>
        <v>3</v>
      </c>
      <c r="H9" t="s">
        <v>83</v>
      </c>
      <c r="I9" t="s">
        <v>47</v>
      </c>
      <c r="J9" t="s">
        <v>37</v>
      </c>
      <c r="K9" t="s">
        <v>54</v>
      </c>
      <c r="L9" t="str">
        <f t="shared" si="3"/>
        <v>South</v>
      </c>
      <c r="M9" t="s">
        <v>84</v>
      </c>
      <c r="N9" t="s">
        <v>85</v>
      </c>
      <c r="O9" t="s">
        <v>28</v>
      </c>
      <c r="P9" t="s">
        <v>48</v>
      </c>
      <c r="Q9" t="s">
        <v>86</v>
      </c>
      <c r="R9" t="s">
        <v>50</v>
      </c>
      <c r="S9" t="str">
        <f t="shared" si="4"/>
        <v>First Class</v>
      </c>
      <c r="T9">
        <v>1</v>
      </c>
      <c r="U9">
        <v>2980.71</v>
      </c>
      <c r="V9">
        <v>0</v>
      </c>
      <c r="W9">
        <f t="shared" si="5"/>
        <v>0</v>
      </c>
      <c r="X9" t="str">
        <f t="shared" si="6"/>
        <v/>
      </c>
      <c r="Y9">
        <v>2980.71</v>
      </c>
      <c r="Z9">
        <f t="shared" si="7"/>
        <v>2980.71</v>
      </c>
      <c r="AA9">
        <v>2357.2199999999998</v>
      </c>
      <c r="AB9">
        <v>623.49</v>
      </c>
      <c r="AC9">
        <f t="shared" si="8"/>
        <v>0</v>
      </c>
      <c r="AD9" s="6">
        <f t="shared" si="9"/>
        <v>0</v>
      </c>
      <c r="AE9" t="s">
        <v>32</v>
      </c>
      <c r="AF9" t="s">
        <v>33</v>
      </c>
      <c r="AG9">
        <f t="shared" si="10"/>
        <v>2</v>
      </c>
      <c r="AH9">
        <f t="shared" si="11"/>
        <v>2025</v>
      </c>
      <c r="AI9" t="str">
        <f t="shared" si="12"/>
        <v>CLEAN</v>
      </c>
    </row>
    <row r="10" spans="1:35">
      <c r="A10" t="s">
        <v>87</v>
      </c>
      <c r="B10">
        <f t="shared" si="0"/>
        <v>1</v>
      </c>
      <c r="C10" t="str">
        <f>IF(COUNTIF($A$2:A10, A10)&gt;1, "DUPLICATE_FLAGGED_FOR_REVIEW", "")</f>
        <v/>
      </c>
      <c r="D10" s="3">
        <v>45423</v>
      </c>
      <c r="E10" s="2">
        <v>45576</v>
      </c>
      <c r="F10" s="2" t="str">
        <f t="shared" si="1"/>
        <v>OK</v>
      </c>
      <c r="G10" s="4">
        <f t="shared" si="2"/>
        <v>153</v>
      </c>
      <c r="H10" t="s">
        <v>88</v>
      </c>
      <c r="I10" t="s">
        <v>89</v>
      </c>
      <c r="J10" t="s">
        <v>90</v>
      </c>
      <c r="K10" t="s">
        <v>54</v>
      </c>
      <c r="L10" t="str">
        <f t="shared" si="3"/>
        <v>South</v>
      </c>
      <c r="M10" t="s">
        <v>55</v>
      </c>
      <c r="N10" t="s">
        <v>56</v>
      </c>
      <c r="O10" t="s">
        <v>28</v>
      </c>
      <c r="P10" t="s">
        <v>91</v>
      </c>
      <c r="Q10" t="s">
        <v>92</v>
      </c>
      <c r="R10" t="s">
        <v>50</v>
      </c>
      <c r="S10" t="str">
        <f t="shared" si="4"/>
        <v>First Class</v>
      </c>
      <c r="T10">
        <v>8</v>
      </c>
      <c r="U10">
        <v>3134.2</v>
      </c>
      <c r="V10">
        <v>0</v>
      </c>
      <c r="W10">
        <f t="shared" si="5"/>
        <v>0</v>
      </c>
      <c r="X10" t="str">
        <f t="shared" si="6"/>
        <v/>
      </c>
      <c r="Y10">
        <v>25073.599999999999</v>
      </c>
      <c r="Z10">
        <f t="shared" si="7"/>
        <v>25073.599999999999</v>
      </c>
      <c r="AA10">
        <v>17347.23</v>
      </c>
      <c r="AB10">
        <v>7726.37</v>
      </c>
      <c r="AC10">
        <f t="shared" si="8"/>
        <v>21939.399999999998</v>
      </c>
      <c r="AD10" s="6">
        <f t="shared" si="9"/>
        <v>0.875</v>
      </c>
      <c r="AE10" t="s">
        <v>32</v>
      </c>
      <c r="AF10" t="s">
        <v>33</v>
      </c>
      <c r="AG10">
        <f t="shared" si="10"/>
        <v>5</v>
      </c>
      <c r="AH10">
        <f t="shared" si="11"/>
        <v>2024</v>
      </c>
      <c r="AI10" t="str">
        <f t="shared" si="12"/>
        <v>CLEAN</v>
      </c>
    </row>
    <row r="11" spans="1:35">
      <c r="A11" t="s">
        <v>93</v>
      </c>
      <c r="B11">
        <f t="shared" si="0"/>
        <v>1</v>
      </c>
      <c r="C11" t="str">
        <f>IF(COUNTIF($A$2:A11, A11)&gt;1, "DUPLICATE_FLAGGED_FOR_REVIEW", "")</f>
        <v/>
      </c>
      <c r="D11" s="3">
        <v>45907</v>
      </c>
      <c r="E11" s="2">
        <v>46000</v>
      </c>
      <c r="F11" s="2" t="str">
        <f t="shared" si="1"/>
        <v>OK</v>
      </c>
      <c r="G11" s="4">
        <f t="shared" si="2"/>
        <v>93</v>
      </c>
      <c r="H11" t="s">
        <v>94</v>
      </c>
      <c r="I11" t="s">
        <v>36</v>
      </c>
      <c r="J11" t="s">
        <v>95</v>
      </c>
      <c r="K11" t="s">
        <v>54</v>
      </c>
      <c r="L11" t="str">
        <f t="shared" si="3"/>
        <v>South</v>
      </c>
      <c r="M11" t="s">
        <v>55</v>
      </c>
      <c r="N11" t="s">
        <v>56</v>
      </c>
      <c r="O11" t="s">
        <v>28</v>
      </c>
      <c r="P11" t="s">
        <v>29</v>
      </c>
      <c r="Q11" t="s">
        <v>96</v>
      </c>
      <c r="R11" t="s">
        <v>31</v>
      </c>
      <c r="S11" t="str">
        <f t="shared" si="4"/>
        <v>Second Class</v>
      </c>
      <c r="T11">
        <v>9</v>
      </c>
      <c r="U11">
        <v>852.04</v>
      </c>
      <c r="V11">
        <v>0.2</v>
      </c>
      <c r="W11">
        <f t="shared" si="5"/>
        <v>0.2</v>
      </c>
      <c r="X11" t="str">
        <f t="shared" si="6"/>
        <v/>
      </c>
      <c r="Y11">
        <v>6134.69</v>
      </c>
      <c r="Z11">
        <f t="shared" si="7"/>
        <v>6134.6880000000001</v>
      </c>
      <c r="AA11">
        <v>3800.19</v>
      </c>
      <c r="AB11">
        <v>2334.5</v>
      </c>
      <c r="AC11">
        <f t="shared" si="8"/>
        <v>5282.6480000000001</v>
      </c>
      <c r="AD11" s="6">
        <f t="shared" si="9"/>
        <v>0.86111111111111116</v>
      </c>
      <c r="AE11" t="s">
        <v>32</v>
      </c>
      <c r="AF11" t="s">
        <v>33</v>
      </c>
      <c r="AG11">
        <f t="shared" si="10"/>
        <v>9</v>
      </c>
      <c r="AH11">
        <f t="shared" si="11"/>
        <v>2025</v>
      </c>
      <c r="AI11" t="str">
        <f t="shared" si="12"/>
        <v>CLEAN</v>
      </c>
    </row>
    <row r="12" spans="1:35">
      <c r="A12" t="s">
        <v>97</v>
      </c>
      <c r="B12">
        <f t="shared" si="0"/>
        <v>1</v>
      </c>
      <c r="C12" t="str">
        <f>IF(COUNTIF($A$2:A12, A12)&gt;1, "DUPLICATE_FLAGGED_FOR_REVIEW", "")</f>
        <v/>
      </c>
      <c r="D12" s="3">
        <v>45797</v>
      </c>
      <c r="E12" s="2">
        <v>45797</v>
      </c>
      <c r="F12" s="2" t="str">
        <f t="shared" si="1"/>
        <v>OK</v>
      </c>
      <c r="G12" s="4">
        <f t="shared" si="2"/>
        <v>0</v>
      </c>
      <c r="H12" t="s">
        <v>98</v>
      </c>
      <c r="I12" t="s">
        <v>62</v>
      </c>
      <c r="J12" t="s">
        <v>90</v>
      </c>
      <c r="K12" t="s">
        <v>38</v>
      </c>
      <c r="L12" t="str">
        <f t="shared" si="3"/>
        <v>East</v>
      </c>
      <c r="M12" t="s">
        <v>99</v>
      </c>
      <c r="N12" t="s">
        <v>100</v>
      </c>
      <c r="O12" t="s">
        <v>28</v>
      </c>
      <c r="P12" t="s">
        <v>91</v>
      </c>
      <c r="Q12" t="s">
        <v>101</v>
      </c>
      <c r="R12" t="s">
        <v>31</v>
      </c>
      <c r="S12" t="str">
        <f t="shared" si="4"/>
        <v>Second Class</v>
      </c>
      <c r="T12">
        <v>3</v>
      </c>
      <c r="U12">
        <v>3534.83</v>
      </c>
      <c r="V12">
        <v>0.05</v>
      </c>
      <c r="W12">
        <f t="shared" si="5"/>
        <v>0.05</v>
      </c>
      <c r="X12" t="str">
        <f t="shared" si="6"/>
        <v/>
      </c>
      <c r="Y12">
        <v>10074.27</v>
      </c>
      <c r="Z12">
        <f t="shared" si="7"/>
        <v>10074.2655</v>
      </c>
      <c r="AA12">
        <v>6048.27</v>
      </c>
      <c r="AB12">
        <v>4026</v>
      </c>
      <c r="AC12">
        <f t="shared" si="8"/>
        <v>6539.4354999999996</v>
      </c>
      <c r="AD12" s="6">
        <f t="shared" si="9"/>
        <v>0.64912280701754388</v>
      </c>
      <c r="AE12" t="s">
        <v>102</v>
      </c>
      <c r="AF12" t="s">
        <v>103</v>
      </c>
      <c r="AG12">
        <f t="shared" si="10"/>
        <v>5</v>
      </c>
      <c r="AH12">
        <f t="shared" si="11"/>
        <v>2025</v>
      </c>
      <c r="AI12" t="str">
        <f t="shared" si="12"/>
        <v>CLEAN</v>
      </c>
    </row>
    <row r="13" spans="1:35">
      <c r="A13" t="s">
        <v>104</v>
      </c>
      <c r="B13">
        <f t="shared" si="0"/>
        <v>1</v>
      </c>
      <c r="C13" t="str">
        <f>IF(COUNTIF($A$2:A13, A13)&gt;1, "DUPLICATE_FLAGGED_FOR_REVIEW", "")</f>
        <v/>
      </c>
      <c r="D13" s="3">
        <v>45495</v>
      </c>
      <c r="E13" s="2">
        <v>45496</v>
      </c>
      <c r="F13" s="2" t="str">
        <f t="shared" si="1"/>
        <v>OK</v>
      </c>
      <c r="G13" s="4">
        <f t="shared" si="2"/>
        <v>1</v>
      </c>
      <c r="H13" t="s">
        <v>105</v>
      </c>
      <c r="I13" t="s">
        <v>71</v>
      </c>
      <c r="J13" t="s">
        <v>37</v>
      </c>
      <c r="K13" t="s">
        <v>38</v>
      </c>
      <c r="L13" t="str">
        <f t="shared" si="3"/>
        <v>East</v>
      </c>
      <c r="M13" t="s">
        <v>39</v>
      </c>
      <c r="N13" t="s">
        <v>40</v>
      </c>
      <c r="O13" t="s">
        <v>74</v>
      </c>
      <c r="P13" t="s">
        <v>75</v>
      </c>
      <c r="Q13" t="s">
        <v>106</v>
      </c>
      <c r="R13" t="s">
        <v>44</v>
      </c>
      <c r="S13" t="str">
        <f t="shared" si="4"/>
        <v>Same Day</v>
      </c>
      <c r="T13">
        <v>6</v>
      </c>
      <c r="U13">
        <v>2005.95</v>
      </c>
      <c r="V13">
        <v>0.2</v>
      </c>
      <c r="W13">
        <f t="shared" si="5"/>
        <v>0.2</v>
      </c>
      <c r="X13" t="str">
        <f t="shared" si="6"/>
        <v/>
      </c>
      <c r="Y13">
        <v>9628.56</v>
      </c>
      <c r="Z13">
        <f t="shared" si="7"/>
        <v>9628.5600000000013</v>
      </c>
      <c r="AA13">
        <v>8038.59</v>
      </c>
      <c r="AB13">
        <v>1589.97</v>
      </c>
      <c r="AC13">
        <f t="shared" si="8"/>
        <v>7622.6100000000015</v>
      </c>
      <c r="AD13" s="6">
        <f t="shared" si="9"/>
        <v>0.79166666666666674</v>
      </c>
      <c r="AE13" t="s">
        <v>32</v>
      </c>
      <c r="AF13" t="s">
        <v>33</v>
      </c>
      <c r="AG13">
        <f t="shared" si="10"/>
        <v>7</v>
      </c>
      <c r="AH13">
        <f t="shared" si="11"/>
        <v>2024</v>
      </c>
      <c r="AI13" t="str">
        <f t="shared" si="12"/>
        <v>CLEAN</v>
      </c>
    </row>
    <row r="14" spans="1:35">
      <c r="A14" t="s">
        <v>107</v>
      </c>
      <c r="B14">
        <f t="shared" si="0"/>
        <v>1</v>
      </c>
      <c r="C14" t="str">
        <f>IF(COUNTIF($A$2:A14, A14)&gt;1, "DUPLICATE_FLAGGED_FOR_REVIEW", "")</f>
        <v/>
      </c>
      <c r="D14" s="3">
        <v>45646</v>
      </c>
      <c r="E14" s="2">
        <v>45647</v>
      </c>
      <c r="F14" s="2" t="str">
        <f t="shared" si="1"/>
        <v>OK</v>
      </c>
      <c r="G14" s="4">
        <f t="shared" si="2"/>
        <v>1</v>
      </c>
      <c r="H14" t="s">
        <v>108</v>
      </c>
      <c r="I14" t="s">
        <v>62</v>
      </c>
      <c r="J14" t="s">
        <v>90</v>
      </c>
      <c r="K14" t="s">
        <v>63</v>
      </c>
      <c r="L14" t="str">
        <f t="shared" si="3"/>
        <v>West</v>
      </c>
      <c r="M14" t="s">
        <v>26</v>
      </c>
      <c r="N14" t="s">
        <v>109</v>
      </c>
      <c r="O14" t="s">
        <v>28</v>
      </c>
      <c r="P14" t="s">
        <v>29</v>
      </c>
      <c r="Q14" t="s">
        <v>110</v>
      </c>
      <c r="R14" t="s">
        <v>50</v>
      </c>
      <c r="S14" t="str">
        <f t="shared" si="4"/>
        <v>First Class</v>
      </c>
      <c r="T14">
        <v>1</v>
      </c>
      <c r="U14">
        <v>702.14</v>
      </c>
      <c r="V14">
        <v>0.15</v>
      </c>
      <c r="W14">
        <f t="shared" si="5"/>
        <v>0.15</v>
      </c>
      <c r="X14" t="str">
        <f t="shared" si="6"/>
        <v/>
      </c>
      <c r="Y14">
        <v>596.82000000000005</v>
      </c>
      <c r="Z14">
        <f t="shared" si="7"/>
        <v>596.81899999999996</v>
      </c>
      <c r="AA14">
        <v>380.25</v>
      </c>
      <c r="AB14">
        <v>216.57</v>
      </c>
      <c r="AC14">
        <f t="shared" si="8"/>
        <v>-105.32100000000003</v>
      </c>
      <c r="AD14" s="6">
        <f t="shared" si="9"/>
        <v>-0.17647058823529418</v>
      </c>
      <c r="AE14" t="s">
        <v>111</v>
      </c>
      <c r="AF14" t="s">
        <v>103</v>
      </c>
      <c r="AG14">
        <f t="shared" si="10"/>
        <v>12</v>
      </c>
      <c r="AH14">
        <f t="shared" si="11"/>
        <v>2024</v>
      </c>
      <c r="AI14" t="str">
        <f t="shared" si="12"/>
        <v>CLEAN</v>
      </c>
    </row>
    <row r="15" spans="1:35">
      <c r="A15" t="s">
        <v>112</v>
      </c>
      <c r="B15">
        <f t="shared" si="0"/>
        <v>1</v>
      </c>
      <c r="C15" t="str">
        <f>IF(COUNTIF($A$2:A15, A15)&gt;1, "DUPLICATE_FLAGGED_FOR_REVIEW", "")</f>
        <v/>
      </c>
      <c r="D15" s="3">
        <v>45942</v>
      </c>
      <c r="E15" s="2">
        <v>45946</v>
      </c>
      <c r="F15" s="2" t="str">
        <f t="shared" si="1"/>
        <v>OK</v>
      </c>
      <c r="G15" s="4">
        <f t="shared" si="2"/>
        <v>4</v>
      </c>
      <c r="H15" t="s">
        <v>113</v>
      </c>
      <c r="I15" t="s">
        <v>114</v>
      </c>
      <c r="J15" t="s">
        <v>37</v>
      </c>
      <c r="K15" t="s">
        <v>63</v>
      </c>
      <c r="L15" t="str">
        <f t="shared" si="3"/>
        <v>West</v>
      </c>
      <c r="M15" t="s">
        <v>64</v>
      </c>
      <c r="N15" t="s">
        <v>65</v>
      </c>
      <c r="O15" t="s">
        <v>28</v>
      </c>
      <c r="P15" t="s">
        <v>48</v>
      </c>
      <c r="Q15" t="s">
        <v>115</v>
      </c>
      <c r="R15" t="s">
        <v>31</v>
      </c>
      <c r="S15" t="str">
        <f t="shared" si="4"/>
        <v>Second Class</v>
      </c>
      <c r="T15">
        <v>7</v>
      </c>
      <c r="U15">
        <v>3964.72</v>
      </c>
      <c r="V15">
        <v>0.05</v>
      </c>
      <c r="W15">
        <f t="shared" si="5"/>
        <v>0.05</v>
      </c>
      <c r="X15" t="str">
        <f t="shared" si="6"/>
        <v/>
      </c>
      <c r="Y15">
        <v>26365.39</v>
      </c>
      <c r="Z15">
        <f t="shared" si="7"/>
        <v>26365.387999999995</v>
      </c>
      <c r="AA15">
        <v>22306.240000000002</v>
      </c>
      <c r="AB15">
        <v>4059.15</v>
      </c>
      <c r="AC15">
        <f t="shared" si="8"/>
        <v>22400.667999999994</v>
      </c>
      <c r="AD15" s="6">
        <f t="shared" si="9"/>
        <v>0.84962406015037584</v>
      </c>
      <c r="AE15" t="s">
        <v>32</v>
      </c>
      <c r="AF15" t="s">
        <v>33</v>
      </c>
      <c r="AG15">
        <f t="shared" si="10"/>
        <v>10</v>
      </c>
      <c r="AH15">
        <f t="shared" si="11"/>
        <v>2025</v>
      </c>
      <c r="AI15" t="str">
        <f t="shared" si="12"/>
        <v>CLEAN</v>
      </c>
    </row>
    <row r="16" spans="1:35">
      <c r="A16" t="s">
        <v>116</v>
      </c>
      <c r="B16">
        <f t="shared" si="0"/>
        <v>1</v>
      </c>
      <c r="C16" t="str">
        <f>IF(COUNTIF($A$2:A16, A16)&gt;1, "DUPLICATE_FLAGGED_FOR_REVIEW", "")</f>
        <v/>
      </c>
      <c r="D16" s="3">
        <v>45653</v>
      </c>
      <c r="E16" s="2">
        <v>45654</v>
      </c>
      <c r="F16" s="2" t="str">
        <f t="shared" si="1"/>
        <v>OK</v>
      </c>
      <c r="G16" s="4">
        <f t="shared" si="2"/>
        <v>1</v>
      </c>
      <c r="H16" t="s">
        <v>117</v>
      </c>
      <c r="I16" t="s">
        <v>118</v>
      </c>
      <c r="J16" t="s">
        <v>24</v>
      </c>
      <c r="K16" t="s">
        <v>63</v>
      </c>
      <c r="L16" t="str">
        <f t="shared" si="3"/>
        <v>West</v>
      </c>
      <c r="M16" t="s">
        <v>26</v>
      </c>
      <c r="N16" t="s">
        <v>109</v>
      </c>
      <c r="O16" t="s">
        <v>74</v>
      </c>
      <c r="P16" t="s">
        <v>80</v>
      </c>
      <c r="Q16" t="s">
        <v>119</v>
      </c>
      <c r="R16" t="s">
        <v>59</v>
      </c>
      <c r="S16" t="str">
        <f t="shared" si="4"/>
        <v>Standard Class</v>
      </c>
      <c r="T16">
        <v>2</v>
      </c>
      <c r="U16">
        <v>2737.83</v>
      </c>
      <c r="V16">
        <v>0.25</v>
      </c>
      <c r="W16">
        <f t="shared" si="5"/>
        <v>0.25</v>
      </c>
      <c r="X16" t="str">
        <f t="shared" si="6"/>
        <v/>
      </c>
      <c r="Y16">
        <v>4106.74</v>
      </c>
      <c r="Z16">
        <f t="shared" si="7"/>
        <v>4106.7449999999999</v>
      </c>
      <c r="AA16">
        <v>2666.3</v>
      </c>
      <c r="AB16">
        <v>1440.44</v>
      </c>
      <c r="AC16">
        <f t="shared" si="8"/>
        <v>1368.915</v>
      </c>
      <c r="AD16" s="6">
        <f t="shared" si="9"/>
        <v>0.33333333333333331</v>
      </c>
      <c r="AE16" t="s">
        <v>32</v>
      </c>
      <c r="AF16" t="s">
        <v>33</v>
      </c>
      <c r="AG16">
        <f t="shared" si="10"/>
        <v>12</v>
      </c>
      <c r="AH16">
        <f t="shared" si="11"/>
        <v>2024</v>
      </c>
      <c r="AI16" t="str">
        <f t="shared" si="12"/>
        <v>CLEAN</v>
      </c>
    </row>
    <row r="17" spans="1:35">
      <c r="A17" t="s">
        <v>120</v>
      </c>
      <c r="B17">
        <f t="shared" si="0"/>
        <v>1</v>
      </c>
      <c r="C17" t="str">
        <f>IF(COUNTIF($A$2:A17, A17)&gt;1, "DUPLICATE_FLAGGED_FOR_REVIEW", "")</f>
        <v/>
      </c>
      <c r="D17" s="3">
        <v>45542</v>
      </c>
      <c r="E17" s="2">
        <v>45482</v>
      </c>
      <c r="F17" s="2" t="str">
        <f t="shared" si="1"/>
        <v>ERROR: Ship before order</v>
      </c>
      <c r="G17" s="4">
        <f t="shared" si="2"/>
        <v>-60</v>
      </c>
      <c r="H17" t="s">
        <v>121</v>
      </c>
      <c r="I17" t="s">
        <v>23</v>
      </c>
      <c r="J17" t="s">
        <v>37</v>
      </c>
      <c r="K17" t="s">
        <v>25</v>
      </c>
      <c r="L17" t="str">
        <f t="shared" si="3"/>
        <v>North</v>
      </c>
      <c r="M17" t="s">
        <v>122</v>
      </c>
      <c r="N17" t="s">
        <v>123</v>
      </c>
      <c r="O17" t="s">
        <v>28</v>
      </c>
      <c r="P17" t="s">
        <v>124</v>
      </c>
      <c r="Q17" t="s">
        <v>125</v>
      </c>
      <c r="R17" t="s">
        <v>31</v>
      </c>
      <c r="S17" t="str">
        <f t="shared" si="4"/>
        <v>Second Class</v>
      </c>
      <c r="T17">
        <v>6</v>
      </c>
      <c r="U17">
        <v>3965.76</v>
      </c>
      <c r="V17">
        <v>0</v>
      </c>
      <c r="W17">
        <f t="shared" si="5"/>
        <v>0</v>
      </c>
      <c r="X17" t="str">
        <f t="shared" si="6"/>
        <v/>
      </c>
      <c r="Y17">
        <v>23794.560000000001</v>
      </c>
      <c r="Z17">
        <f t="shared" si="7"/>
        <v>23794.560000000001</v>
      </c>
      <c r="AA17">
        <v>15698.47</v>
      </c>
      <c r="AB17">
        <v>8096.09</v>
      </c>
      <c r="AC17">
        <f t="shared" si="8"/>
        <v>19828.800000000003</v>
      </c>
      <c r="AD17" s="6">
        <f t="shared" si="9"/>
        <v>0.83333333333333337</v>
      </c>
      <c r="AE17" t="s">
        <v>32</v>
      </c>
      <c r="AF17" t="s">
        <v>33</v>
      </c>
      <c r="AG17">
        <f t="shared" si="10"/>
        <v>9</v>
      </c>
      <c r="AH17">
        <f t="shared" si="11"/>
        <v>2024</v>
      </c>
      <c r="AI17" t="str">
        <f t="shared" si="12"/>
        <v>INVALID</v>
      </c>
    </row>
    <row r="18" spans="1:35">
      <c r="A18" t="s">
        <v>126</v>
      </c>
      <c r="B18">
        <f t="shared" si="0"/>
        <v>1</v>
      </c>
      <c r="C18" t="str">
        <f>IF(COUNTIF($A$2:A18, A18)&gt;1, "DUPLICATE_FLAGGED_FOR_REVIEW", "")</f>
        <v/>
      </c>
      <c r="D18" s="3">
        <v>45509</v>
      </c>
      <c r="E18" s="2">
        <v>45427</v>
      </c>
      <c r="F18" s="2" t="str">
        <f t="shared" si="1"/>
        <v>ERROR: Ship before order</v>
      </c>
      <c r="G18" s="4">
        <f t="shared" si="2"/>
        <v>-82</v>
      </c>
      <c r="H18" t="s">
        <v>127</v>
      </c>
      <c r="I18" t="s">
        <v>128</v>
      </c>
      <c r="J18" t="s">
        <v>24</v>
      </c>
      <c r="K18" t="s">
        <v>54</v>
      </c>
      <c r="L18" t="str">
        <f t="shared" si="3"/>
        <v>South</v>
      </c>
      <c r="M18" t="s">
        <v>55</v>
      </c>
      <c r="N18" t="s">
        <v>56</v>
      </c>
      <c r="O18" t="s">
        <v>28</v>
      </c>
      <c r="P18" t="s">
        <v>48</v>
      </c>
      <c r="Q18" t="s">
        <v>129</v>
      </c>
      <c r="R18" t="s">
        <v>50</v>
      </c>
      <c r="S18" t="str">
        <f t="shared" si="4"/>
        <v>First Class</v>
      </c>
      <c r="T18">
        <v>4</v>
      </c>
      <c r="U18">
        <v>3323.51</v>
      </c>
      <c r="V18">
        <v>0.25</v>
      </c>
      <c r="W18">
        <f t="shared" si="5"/>
        <v>0.25</v>
      </c>
      <c r="X18" t="str">
        <f t="shared" si="6"/>
        <v/>
      </c>
      <c r="Y18">
        <v>9970.5300000000007</v>
      </c>
      <c r="Z18">
        <f t="shared" si="7"/>
        <v>9970.5300000000007</v>
      </c>
      <c r="AA18">
        <v>5668.17</v>
      </c>
      <c r="AB18">
        <v>4302.3599999999997</v>
      </c>
      <c r="AC18">
        <f t="shared" si="8"/>
        <v>6647.02</v>
      </c>
      <c r="AD18" s="6">
        <f t="shared" si="9"/>
        <v>0.66666666666666663</v>
      </c>
      <c r="AE18" t="s">
        <v>32</v>
      </c>
      <c r="AF18" t="s">
        <v>33</v>
      </c>
      <c r="AG18">
        <f t="shared" si="10"/>
        <v>8</v>
      </c>
      <c r="AH18">
        <f t="shared" si="11"/>
        <v>2024</v>
      </c>
      <c r="AI18" t="str">
        <f t="shared" si="12"/>
        <v>INVALID</v>
      </c>
    </row>
    <row r="19" spans="1:35">
      <c r="A19" t="s">
        <v>130</v>
      </c>
      <c r="B19">
        <f t="shared" si="0"/>
        <v>1</v>
      </c>
      <c r="C19" t="str">
        <f>IF(COUNTIF($A$2:A19, A19)&gt;1, "DUPLICATE_FLAGGED_FOR_REVIEW", "")</f>
        <v/>
      </c>
      <c r="D19" s="3">
        <v>45474</v>
      </c>
      <c r="E19" s="2">
        <v>45299</v>
      </c>
      <c r="F19" s="2" t="str">
        <f t="shared" si="1"/>
        <v>ERROR: Ship before order</v>
      </c>
      <c r="G19" s="4">
        <f t="shared" si="2"/>
        <v>-175</v>
      </c>
      <c r="H19" t="s">
        <v>131</v>
      </c>
      <c r="I19" t="s">
        <v>132</v>
      </c>
      <c r="J19" t="s">
        <v>37</v>
      </c>
      <c r="K19" t="s">
        <v>25</v>
      </c>
      <c r="L19" t="str">
        <f t="shared" si="3"/>
        <v>North</v>
      </c>
      <c r="M19" t="s">
        <v>26</v>
      </c>
      <c r="N19" t="s">
        <v>27</v>
      </c>
      <c r="O19" t="s">
        <v>41</v>
      </c>
      <c r="P19" t="s">
        <v>57</v>
      </c>
      <c r="Q19" t="s">
        <v>133</v>
      </c>
      <c r="R19" t="s">
        <v>44</v>
      </c>
      <c r="S19" t="str">
        <f t="shared" si="4"/>
        <v>Same Day</v>
      </c>
      <c r="T19">
        <v>5</v>
      </c>
      <c r="U19">
        <v>1526.78</v>
      </c>
      <c r="V19">
        <v>0</v>
      </c>
      <c r="W19">
        <f t="shared" si="5"/>
        <v>0</v>
      </c>
      <c r="X19" t="str">
        <f t="shared" si="6"/>
        <v/>
      </c>
      <c r="Y19">
        <v>7633.9</v>
      </c>
      <c r="Z19">
        <f t="shared" si="7"/>
        <v>7633.9</v>
      </c>
      <c r="AA19">
        <v>4706.91</v>
      </c>
      <c r="AB19">
        <v>2926.99</v>
      </c>
      <c r="AC19">
        <f t="shared" si="8"/>
        <v>6107.12</v>
      </c>
      <c r="AD19" s="6">
        <f t="shared" si="9"/>
        <v>0.8</v>
      </c>
      <c r="AE19" t="s">
        <v>32</v>
      </c>
      <c r="AF19" t="s">
        <v>33</v>
      </c>
      <c r="AG19">
        <f t="shared" si="10"/>
        <v>7</v>
      </c>
      <c r="AH19">
        <f t="shared" si="11"/>
        <v>2024</v>
      </c>
      <c r="AI19" t="str">
        <f t="shared" si="12"/>
        <v>INVALID</v>
      </c>
    </row>
    <row r="20" spans="1:35">
      <c r="A20" t="s">
        <v>134</v>
      </c>
      <c r="B20">
        <f t="shared" si="0"/>
        <v>1</v>
      </c>
      <c r="C20" t="str">
        <f>IF(COUNTIF($A$2:A20, A20)&gt;1, "DUPLICATE_FLAGGED_FOR_REVIEW", "")</f>
        <v/>
      </c>
      <c r="D20" s="3">
        <v>45853</v>
      </c>
      <c r="E20" s="2">
        <v>45855</v>
      </c>
      <c r="F20" s="2" t="str">
        <f t="shared" si="1"/>
        <v>OK</v>
      </c>
      <c r="G20" s="4">
        <f t="shared" si="2"/>
        <v>2</v>
      </c>
      <c r="H20" t="s">
        <v>135</v>
      </c>
      <c r="I20" t="s">
        <v>128</v>
      </c>
      <c r="J20" t="s">
        <v>95</v>
      </c>
      <c r="K20" t="s">
        <v>25</v>
      </c>
      <c r="L20" t="str">
        <f t="shared" si="3"/>
        <v>North</v>
      </c>
      <c r="M20" t="s">
        <v>136</v>
      </c>
      <c r="N20" t="s">
        <v>137</v>
      </c>
      <c r="O20" t="s">
        <v>74</v>
      </c>
      <c r="P20" t="s">
        <v>80</v>
      </c>
      <c r="Q20" t="s">
        <v>138</v>
      </c>
      <c r="R20" t="s">
        <v>50</v>
      </c>
      <c r="S20" t="str">
        <f t="shared" si="4"/>
        <v>First Class</v>
      </c>
      <c r="T20">
        <v>2</v>
      </c>
      <c r="U20">
        <v>1997.99</v>
      </c>
      <c r="V20">
        <v>0</v>
      </c>
      <c r="W20">
        <f t="shared" si="5"/>
        <v>0</v>
      </c>
      <c r="X20" t="str">
        <f t="shared" si="6"/>
        <v/>
      </c>
      <c r="Y20">
        <v>3995.98</v>
      </c>
      <c r="Z20">
        <f t="shared" si="7"/>
        <v>3995.98</v>
      </c>
      <c r="AA20">
        <v>2633.2</v>
      </c>
      <c r="AB20">
        <v>1362.78</v>
      </c>
      <c r="AC20">
        <f t="shared" si="8"/>
        <v>1997.99</v>
      </c>
      <c r="AD20" s="6">
        <f t="shared" si="9"/>
        <v>0.5</v>
      </c>
      <c r="AE20" t="s">
        <v>102</v>
      </c>
      <c r="AF20" t="s">
        <v>68</v>
      </c>
      <c r="AG20">
        <f t="shared" si="10"/>
        <v>7</v>
      </c>
      <c r="AH20">
        <f t="shared" si="11"/>
        <v>2025</v>
      </c>
      <c r="AI20" t="str">
        <f t="shared" si="12"/>
        <v>CLEAN</v>
      </c>
    </row>
    <row r="21" spans="1:35">
      <c r="A21" t="s">
        <v>139</v>
      </c>
      <c r="B21">
        <f t="shared" si="0"/>
        <v>1</v>
      </c>
      <c r="C21" t="str">
        <f>IF(COUNTIF($A$2:A21, A21)&gt;1, "DUPLICATE_FLAGGED_FOR_REVIEW", "")</f>
        <v/>
      </c>
      <c r="D21" s="3">
        <v>45500</v>
      </c>
      <c r="E21" s="2">
        <v>45504</v>
      </c>
      <c r="F21" s="2" t="str">
        <f t="shared" si="1"/>
        <v>OK</v>
      </c>
      <c r="G21" s="4">
        <f t="shared" si="2"/>
        <v>4</v>
      </c>
      <c r="H21" t="s">
        <v>140</v>
      </c>
      <c r="I21" t="s">
        <v>141</v>
      </c>
      <c r="J21" t="s">
        <v>95</v>
      </c>
      <c r="K21" t="s">
        <v>63</v>
      </c>
      <c r="L21" t="str">
        <f t="shared" si="3"/>
        <v>West</v>
      </c>
      <c r="M21" t="s">
        <v>72</v>
      </c>
      <c r="N21" t="s">
        <v>73</v>
      </c>
      <c r="O21" t="s">
        <v>28</v>
      </c>
      <c r="P21" t="s">
        <v>124</v>
      </c>
      <c r="Q21" t="s">
        <v>142</v>
      </c>
      <c r="R21" t="s">
        <v>31</v>
      </c>
      <c r="S21" t="str">
        <f t="shared" si="4"/>
        <v>Second Class</v>
      </c>
      <c r="T21">
        <v>3</v>
      </c>
      <c r="U21">
        <v>3887.94</v>
      </c>
      <c r="V21">
        <v>-0.19</v>
      </c>
      <c r="W21">
        <f t="shared" si="5"/>
        <v>-0.19</v>
      </c>
      <c r="X21" t="str">
        <f t="shared" si="6"/>
        <v>INVALID_NEGATIVE_DISCOUNT</v>
      </c>
      <c r="Y21">
        <v>9331.06</v>
      </c>
      <c r="Z21">
        <f t="shared" si="7"/>
        <v>13879.9458</v>
      </c>
      <c r="AA21">
        <v>7529.31</v>
      </c>
      <c r="AB21">
        <v>1801.75</v>
      </c>
      <c r="AC21">
        <f t="shared" si="8"/>
        <v>9992.005799999999</v>
      </c>
      <c r="AD21" s="6">
        <f t="shared" si="9"/>
        <v>0.71988795518207283</v>
      </c>
      <c r="AE21" t="s">
        <v>32</v>
      </c>
      <c r="AF21" t="s">
        <v>33</v>
      </c>
      <c r="AG21">
        <f t="shared" si="10"/>
        <v>7</v>
      </c>
      <c r="AH21">
        <f t="shared" si="11"/>
        <v>2024</v>
      </c>
      <c r="AI21" t="str">
        <f t="shared" si="12"/>
        <v>INVALID</v>
      </c>
    </row>
    <row r="22" spans="1:35">
      <c r="A22" t="s">
        <v>143</v>
      </c>
      <c r="B22">
        <f t="shared" si="0"/>
        <v>1</v>
      </c>
      <c r="C22" t="str">
        <f>IF(COUNTIF($A$2:A22, A22)&gt;1, "DUPLICATE_FLAGGED_FOR_REVIEW", "")</f>
        <v/>
      </c>
      <c r="D22" s="3">
        <v>45678</v>
      </c>
      <c r="E22" s="2">
        <v>45680</v>
      </c>
      <c r="F22" s="2" t="str">
        <f t="shared" si="1"/>
        <v>OK</v>
      </c>
      <c r="G22" s="4">
        <f t="shared" si="2"/>
        <v>2</v>
      </c>
      <c r="H22" t="s">
        <v>144</v>
      </c>
      <c r="I22" t="s">
        <v>89</v>
      </c>
      <c r="J22" t="s">
        <v>95</v>
      </c>
      <c r="K22" t="s">
        <v>38</v>
      </c>
      <c r="L22" t="str">
        <f t="shared" si="3"/>
        <v>East</v>
      </c>
      <c r="M22" t="s">
        <v>145</v>
      </c>
      <c r="N22" t="s">
        <v>146</v>
      </c>
      <c r="O22" t="s">
        <v>74</v>
      </c>
      <c r="P22" t="s">
        <v>80</v>
      </c>
      <c r="Q22" t="s">
        <v>147</v>
      </c>
      <c r="R22" t="s">
        <v>50</v>
      </c>
      <c r="S22" t="str">
        <f t="shared" si="4"/>
        <v>First Class</v>
      </c>
      <c r="T22">
        <v>5</v>
      </c>
      <c r="U22">
        <v>4373.0600000000004</v>
      </c>
      <c r="V22">
        <v>0.25</v>
      </c>
      <c r="W22">
        <f t="shared" si="5"/>
        <v>0.25</v>
      </c>
      <c r="X22" t="str">
        <f t="shared" si="6"/>
        <v/>
      </c>
      <c r="Y22">
        <v>16398.98</v>
      </c>
      <c r="Z22">
        <f t="shared" si="7"/>
        <v>16398.975000000002</v>
      </c>
      <c r="AA22">
        <v>9556.52</v>
      </c>
      <c r="AB22">
        <v>6842.46</v>
      </c>
      <c r="AC22">
        <f t="shared" si="8"/>
        <v>12025.915000000001</v>
      </c>
      <c r="AD22" s="6">
        <f t="shared" si="9"/>
        <v>0.73333333333333328</v>
      </c>
      <c r="AE22" t="s">
        <v>32</v>
      </c>
      <c r="AF22" t="s">
        <v>33</v>
      </c>
      <c r="AG22">
        <f t="shared" si="10"/>
        <v>1</v>
      </c>
      <c r="AH22">
        <f t="shared" si="11"/>
        <v>2025</v>
      </c>
      <c r="AI22" t="str">
        <f t="shared" si="12"/>
        <v>CLEAN</v>
      </c>
    </row>
    <row r="23" spans="1:35">
      <c r="A23" t="s">
        <v>148</v>
      </c>
      <c r="B23">
        <f t="shared" si="0"/>
        <v>1</v>
      </c>
      <c r="C23" t="str">
        <f>IF(COUNTIF($A$2:A23, A23)&gt;1, "DUPLICATE_FLAGGED_FOR_REVIEW", "")</f>
        <v/>
      </c>
      <c r="D23" s="3">
        <v>45681</v>
      </c>
      <c r="E23" s="2">
        <v>45687</v>
      </c>
      <c r="F23" s="2" t="str">
        <f t="shared" si="1"/>
        <v>OK</v>
      </c>
      <c r="G23" s="4">
        <f t="shared" si="2"/>
        <v>6</v>
      </c>
      <c r="H23" t="s">
        <v>149</v>
      </c>
      <c r="I23" t="s">
        <v>132</v>
      </c>
      <c r="J23" t="s">
        <v>24</v>
      </c>
      <c r="K23" t="s">
        <v>63</v>
      </c>
      <c r="L23" t="str">
        <f t="shared" si="3"/>
        <v>West</v>
      </c>
      <c r="M23" t="s">
        <v>72</v>
      </c>
      <c r="N23" t="s">
        <v>73</v>
      </c>
      <c r="O23" t="s">
        <v>41</v>
      </c>
      <c r="P23" t="s">
        <v>57</v>
      </c>
      <c r="Q23" t="s">
        <v>150</v>
      </c>
      <c r="R23" t="s">
        <v>31</v>
      </c>
      <c r="S23" t="str">
        <f t="shared" si="4"/>
        <v>Second Class</v>
      </c>
      <c r="T23">
        <v>4</v>
      </c>
      <c r="U23">
        <v>697.69</v>
      </c>
      <c r="V23">
        <v>-0.23</v>
      </c>
      <c r="W23">
        <f t="shared" si="5"/>
        <v>-0.23</v>
      </c>
      <c r="X23" t="str">
        <f t="shared" si="6"/>
        <v>INVALID_NEGATIVE_DISCOUNT</v>
      </c>
      <c r="Y23">
        <v>2790.76</v>
      </c>
      <c r="Z23">
        <f t="shared" si="7"/>
        <v>3432.6348000000003</v>
      </c>
      <c r="AA23">
        <v>2037.71</v>
      </c>
      <c r="AB23">
        <v>753.05</v>
      </c>
      <c r="AC23">
        <f t="shared" si="8"/>
        <v>2734.9448000000002</v>
      </c>
      <c r="AD23" s="6">
        <f t="shared" si="9"/>
        <v>0.7967479674796748</v>
      </c>
      <c r="AE23" t="s">
        <v>32</v>
      </c>
      <c r="AF23" t="s">
        <v>33</v>
      </c>
      <c r="AG23">
        <f t="shared" si="10"/>
        <v>1</v>
      </c>
      <c r="AH23">
        <f t="shared" si="11"/>
        <v>2025</v>
      </c>
      <c r="AI23" t="str">
        <f t="shared" si="12"/>
        <v>INVALID</v>
      </c>
    </row>
    <row r="24" spans="1:35">
      <c r="A24" t="s">
        <v>151</v>
      </c>
      <c r="B24">
        <f t="shared" si="0"/>
        <v>1</v>
      </c>
      <c r="C24" t="str">
        <f>IF(COUNTIF($A$2:A24, A24)&gt;1, "DUPLICATE_FLAGGED_FOR_REVIEW", "")</f>
        <v/>
      </c>
      <c r="D24" s="3">
        <v>45676</v>
      </c>
      <c r="E24" s="2">
        <v>45678</v>
      </c>
      <c r="F24" s="2" t="str">
        <f t="shared" si="1"/>
        <v>OK</v>
      </c>
      <c r="G24" s="4">
        <f t="shared" si="2"/>
        <v>2</v>
      </c>
      <c r="H24" t="s">
        <v>152</v>
      </c>
      <c r="I24" t="s">
        <v>36</v>
      </c>
      <c r="J24" t="s">
        <v>24</v>
      </c>
      <c r="K24" t="s">
        <v>54</v>
      </c>
      <c r="L24" t="str">
        <f t="shared" si="3"/>
        <v>South</v>
      </c>
      <c r="M24" t="s">
        <v>55</v>
      </c>
      <c r="N24" t="s">
        <v>56</v>
      </c>
      <c r="O24" t="s">
        <v>28</v>
      </c>
      <c r="P24" t="s">
        <v>153</v>
      </c>
      <c r="Q24" t="s">
        <v>154</v>
      </c>
      <c r="R24" t="s">
        <v>59</v>
      </c>
      <c r="S24" t="str">
        <f t="shared" si="4"/>
        <v>Standard Class</v>
      </c>
      <c r="T24">
        <v>8</v>
      </c>
      <c r="U24">
        <v>1219.3399999999999</v>
      </c>
      <c r="V24">
        <v>0.15</v>
      </c>
      <c r="W24">
        <f t="shared" si="5"/>
        <v>0.15</v>
      </c>
      <c r="X24" t="str">
        <f t="shared" si="6"/>
        <v/>
      </c>
      <c r="Y24">
        <v>8291.51</v>
      </c>
      <c r="Z24">
        <f t="shared" si="7"/>
        <v>8291.5119999999988</v>
      </c>
      <c r="AA24">
        <v>6685.03</v>
      </c>
      <c r="AB24">
        <v>1606.48</v>
      </c>
      <c r="AC24">
        <f t="shared" si="8"/>
        <v>7072.1719999999987</v>
      </c>
      <c r="AD24" s="6">
        <f t="shared" si="9"/>
        <v>0.8529411764705882</v>
      </c>
      <c r="AE24" t="s">
        <v>155</v>
      </c>
      <c r="AF24" t="s">
        <v>103</v>
      </c>
      <c r="AG24">
        <f t="shared" si="10"/>
        <v>1</v>
      </c>
      <c r="AH24">
        <f t="shared" si="11"/>
        <v>2025</v>
      </c>
      <c r="AI24" t="str">
        <f t="shared" si="12"/>
        <v>CLEAN</v>
      </c>
    </row>
    <row r="25" spans="1:35">
      <c r="A25" t="s">
        <v>156</v>
      </c>
      <c r="B25">
        <f t="shared" si="0"/>
        <v>1</v>
      </c>
      <c r="C25" t="str">
        <f>IF(COUNTIF($A$2:A25, A25)&gt;1, "DUPLICATE_FLAGGED_FOR_REVIEW", "")</f>
        <v/>
      </c>
      <c r="D25" s="3">
        <v>45898</v>
      </c>
      <c r="E25" s="2">
        <v>45900</v>
      </c>
      <c r="F25" s="2" t="str">
        <f t="shared" si="1"/>
        <v>OK</v>
      </c>
      <c r="G25" s="4">
        <f t="shared" si="2"/>
        <v>2</v>
      </c>
      <c r="H25" t="s">
        <v>157</v>
      </c>
      <c r="I25" t="s">
        <v>118</v>
      </c>
      <c r="J25" t="s">
        <v>95</v>
      </c>
      <c r="K25" t="s">
        <v>38</v>
      </c>
      <c r="L25" t="str">
        <f t="shared" si="3"/>
        <v>East</v>
      </c>
      <c r="M25" t="s">
        <v>145</v>
      </c>
      <c r="N25" t="s">
        <v>146</v>
      </c>
      <c r="O25" t="s">
        <v>41</v>
      </c>
      <c r="P25" t="s">
        <v>158</v>
      </c>
      <c r="Q25" t="s">
        <v>159</v>
      </c>
      <c r="R25" t="s">
        <v>50</v>
      </c>
      <c r="S25" t="str">
        <f t="shared" si="4"/>
        <v>First Class</v>
      </c>
      <c r="T25">
        <v>4</v>
      </c>
      <c r="U25">
        <v>1958.01</v>
      </c>
      <c r="V25">
        <v>0.2</v>
      </c>
      <c r="W25">
        <f t="shared" si="5"/>
        <v>0.2</v>
      </c>
      <c r="X25" t="str">
        <f t="shared" si="6"/>
        <v/>
      </c>
      <c r="Y25">
        <v>6265.63</v>
      </c>
      <c r="Z25">
        <f t="shared" si="7"/>
        <v>6265.6320000000005</v>
      </c>
      <c r="AA25">
        <v>4321.8599999999997</v>
      </c>
      <c r="AB25">
        <v>1943.77</v>
      </c>
      <c r="AC25">
        <f t="shared" si="8"/>
        <v>4307.6220000000003</v>
      </c>
      <c r="AD25" s="6">
        <f t="shared" si="9"/>
        <v>0.6875</v>
      </c>
      <c r="AE25" t="s">
        <v>32</v>
      </c>
      <c r="AF25" t="s">
        <v>33</v>
      </c>
      <c r="AG25">
        <f t="shared" si="10"/>
        <v>8</v>
      </c>
      <c r="AH25">
        <f t="shared" si="11"/>
        <v>2025</v>
      </c>
      <c r="AI25" t="str">
        <f t="shared" si="12"/>
        <v>CLEAN</v>
      </c>
    </row>
    <row r="26" spans="1:35">
      <c r="A26" t="s">
        <v>160</v>
      </c>
      <c r="B26">
        <f t="shared" si="0"/>
        <v>1</v>
      </c>
      <c r="C26" t="str">
        <f>IF(COUNTIF($A$2:A26, A26)&gt;1, "DUPLICATE_FLAGGED_FOR_REVIEW", "")</f>
        <v/>
      </c>
      <c r="D26" s="3">
        <v>45355</v>
      </c>
      <c r="E26" s="2">
        <v>45294</v>
      </c>
      <c r="F26" s="2" t="str">
        <f t="shared" si="1"/>
        <v>ERROR: Ship before order</v>
      </c>
      <c r="G26" s="4">
        <f t="shared" si="2"/>
        <v>-61</v>
      </c>
      <c r="H26" t="s">
        <v>161</v>
      </c>
      <c r="I26" t="s">
        <v>162</v>
      </c>
      <c r="J26" t="s">
        <v>24</v>
      </c>
      <c r="K26" t="s">
        <v>25</v>
      </c>
      <c r="L26" t="str">
        <f t="shared" si="3"/>
        <v>North</v>
      </c>
      <c r="M26" t="s">
        <v>122</v>
      </c>
      <c r="N26" t="s">
        <v>123</v>
      </c>
      <c r="O26" t="s">
        <v>28</v>
      </c>
      <c r="P26" t="s">
        <v>48</v>
      </c>
      <c r="Q26" t="s">
        <v>163</v>
      </c>
      <c r="R26" t="s">
        <v>59</v>
      </c>
      <c r="S26" t="str">
        <f t="shared" si="4"/>
        <v>Standard Class</v>
      </c>
      <c r="T26">
        <v>4</v>
      </c>
      <c r="U26">
        <v>4492.9399999999996</v>
      </c>
      <c r="V26">
        <v>0.25</v>
      </c>
      <c r="W26">
        <f t="shared" si="5"/>
        <v>0.25</v>
      </c>
      <c r="X26" t="str">
        <f t="shared" si="6"/>
        <v/>
      </c>
      <c r="Y26">
        <v>13478.82</v>
      </c>
      <c r="Z26">
        <f t="shared" si="7"/>
        <v>13478.82</v>
      </c>
      <c r="AA26">
        <v>10937.35</v>
      </c>
      <c r="AB26">
        <v>2541.4699999999998</v>
      </c>
      <c r="AC26">
        <f t="shared" si="8"/>
        <v>8985.880000000001</v>
      </c>
      <c r="AD26" s="6">
        <f t="shared" si="9"/>
        <v>0.66666666666666674</v>
      </c>
      <c r="AE26" t="s">
        <v>111</v>
      </c>
      <c r="AF26" t="s">
        <v>68</v>
      </c>
      <c r="AG26">
        <f t="shared" si="10"/>
        <v>3</v>
      </c>
      <c r="AH26">
        <f t="shared" si="11"/>
        <v>2024</v>
      </c>
      <c r="AI26" t="str">
        <f t="shared" si="12"/>
        <v>INVALID</v>
      </c>
    </row>
    <row r="27" spans="1:35">
      <c r="A27" t="s">
        <v>164</v>
      </c>
      <c r="B27">
        <f t="shared" si="0"/>
        <v>1</v>
      </c>
      <c r="C27" t="str">
        <f>IF(COUNTIF($A$2:A27, A27)&gt;1, "DUPLICATE_FLAGGED_FOR_REVIEW", "")</f>
        <v/>
      </c>
      <c r="D27" s="3">
        <v>45576</v>
      </c>
      <c r="E27" s="2">
        <v>45584</v>
      </c>
      <c r="F27" s="2" t="str">
        <f t="shared" si="1"/>
        <v>OK</v>
      </c>
      <c r="G27" s="4">
        <f t="shared" si="2"/>
        <v>8</v>
      </c>
      <c r="H27" t="s">
        <v>165</v>
      </c>
      <c r="I27" t="s">
        <v>53</v>
      </c>
      <c r="J27" t="s">
        <v>90</v>
      </c>
      <c r="K27" t="s">
        <v>38</v>
      </c>
      <c r="L27" t="str">
        <f t="shared" si="3"/>
        <v>East</v>
      </c>
      <c r="M27" t="s">
        <v>166</v>
      </c>
      <c r="N27" t="s">
        <v>167</v>
      </c>
      <c r="O27" t="s">
        <v>74</v>
      </c>
      <c r="P27" t="s">
        <v>75</v>
      </c>
      <c r="Q27" t="s">
        <v>168</v>
      </c>
      <c r="R27" t="s">
        <v>50</v>
      </c>
      <c r="S27" t="str">
        <f t="shared" si="4"/>
        <v>First Class</v>
      </c>
      <c r="T27">
        <v>2</v>
      </c>
      <c r="U27">
        <v>4315.2</v>
      </c>
      <c r="V27">
        <v>0.15</v>
      </c>
      <c r="W27">
        <f t="shared" si="5"/>
        <v>0.15</v>
      </c>
      <c r="X27" t="str">
        <f t="shared" si="6"/>
        <v/>
      </c>
      <c r="Y27">
        <v>7335.84</v>
      </c>
      <c r="Z27">
        <f t="shared" si="7"/>
        <v>7335.8399999999992</v>
      </c>
      <c r="AA27">
        <v>4968.41</v>
      </c>
      <c r="AB27">
        <v>2367.4299999999998</v>
      </c>
      <c r="AC27">
        <f t="shared" si="8"/>
        <v>3020.6399999999994</v>
      </c>
      <c r="AD27" s="6">
        <f t="shared" si="9"/>
        <v>0.41176470588235292</v>
      </c>
      <c r="AE27" t="s">
        <v>32</v>
      </c>
      <c r="AF27" t="s">
        <v>33</v>
      </c>
      <c r="AG27">
        <f t="shared" si="10"/>
        <v>10</v>
      </c>
      <c r="AH27">
        <f t="shared" si="11"/>
        <v>2024</v>
      </c>
      <c r="AI27" t="str">
        <f t="shared" si="12"/>
        <v>CLEAN</v>
      </c>
    </row>
    <row r="28" spans="1:35">
      <c r="A28" t="s">
        <v>169</v>
      </c>
      <c r="B28">
        <f t="shared" si="0"/>
        <v>1</v>
      </c>
      <c r="C28" t="str">
        <f>IF(COUNTIF($A$2:A28, A28)&gt;1, "DUPLICATE_FLAGGED_FOR_REVIEW", "")</f>
        <v/>
      </c>
      <c r="D28" s="3">
        <v>45619</v>
      </c>
      <c r="E28" s="2">
        <v>45619</v>
      </c>
      <c r="F28" s="2" t="str">
        <f t="shared" si="1"/>
        <v>OK</v>
      </c>
      <c r="G28" s="4">
        <f t="shared" si="2"/>
        <v>0</v>
      </c>
      <c r="H28" t="s">
        <v>170</v>
      </c>
      <c r="I28" t="s">
        <v>162</v>
      </c>
      <c r="J28" t="s">
        <v>90</v>
      </c>
      <c r="K28" t="s">
        <v>25</v>
      </c>
      <c r="L28" t="str">
        <f t="shared" si="3"/>
        <v>North</v>
      </c>
      <c r="M28" t="s">
        <v>136</v>
      </c>
      <c r="N28" t="s">
        <v>137</v>
      </c>
      <c r="O28" t="s">
        <v>74</v>
      </c>
      <c r="P28" t="s">
        <v>171</v>
      </c>
      <c r="Q28" t="s">
        <v>172</v>
      </c>
      <c r="R28" t="s">
        <v>59</v>
      </c>
      <c r="S28" t="str">
        <f t="shared" si="4"/>
        <v>Standard Class</v>
      </c>
      <c r="T28">
        <v>4</v>
      </c>
      <c r="U28">
        <v>716.13</v>
      </c>
      <c r="V28">
        <v>0.1</v>
      </c>
      <c r="W28">
        <f t="shared" si="5"/>
        <v>0.1</v>
      </c>
      <c r="X28" t="str">
        <f t="shared" si="6"/>
        <v/>
      </c>
      <c r="Y28">
        <v>2578.0700000000002</v>
      </c>
      <c r="Z28">
        <f t="shared" si="7"/>
        <v>2578.0680000000002</v>
      </c>
      <c r="AA28">
        <v>1527.55</v>
      </c>
      <c r="AB28">
        <v>1050.52</v>
      </c>
      <c r="AC28">
        <f t="shared" si="8"/>
        <v>1861.9380000000001</v>
      </c>
      <c r="AD28" s="6">
        <f t="shared" si="9"/>
        <v>0.72222222222222221</v>
      </c>
      <c r="AE28" t="s">
        <v>32</v>
      </c>
      <c r="AF28" t="s">
        <v>103</v>
      </c>
      <c r="AG28">
        <f t="shared" si="10"/>
        <v>11</v>
      </c>
      <c r="AH28">
        <f t="shared" si="11"/>
        <v>2024</v>
      </c>
      <c r="AI28" t="str">
        <f t="shared" si="12"/>
        <v>CLEAN</v>
      </c>
    </row>
    <row r="29" spans="1:35">
      <c r="A29" t="s">
        <v>173</v>
      </c>
      <c r="B29">
        <f t="shared" si="0"/>
        <v>1</v>
      </c>
      <c r="C29" t="str">
        <f>IF(COUNTIF($A$2:A29, A29)&gt;1, "DUPLICATE_FLAGGED_FOR_REVIEW", "")</f>
        <v/>
      </c>
      <c r="D29" s="3">
        <v>45929</v>
      </c>
      <c r="E29" s="2">
        <v>45935</v>
      </c>
      <c r="F29" s="2" t="str">
        <f t="shared" si="1"/>
        <v>OK</v>
      </c>
      <c r="G29" s="4">
        <f t="shared" si="2"/>
        <v>6</v>
      </c>
      <c r="H29" t="s">
        <v>174</v>
      </c>
      <c r="I29" t="s">
        <v>53</v>
      </c>
      <c r="J29" t="s">
        <v>37</v>
      </c>
      <c r="K29" t="s">
        <v>54</v>
      </c>
      <c r="L29" t="str">
        <f t="shared" si="3"/>
        <v>South</v>
      </c>
      <c r="M29" t="s">
        <v>175</v>
      </c>
      <c r="N29" t="s">
        <v>176</v>
      </c>
      <c r="O29" t="s">
        <v>28</v>
      </c>
      <c r="P29" t="s">
        <v>29</v>
      </c>
      <c r="Q29" t="s">
        <v>177</v>
      </c>
      <c r="R29" t="s">
        <v>31</v>
      </c>
      <c r="S29" t="str">
        <f t="shared" si="4"/>
        <v>Second Class</v>
      </c>
      <c r="T29">
        <v>5</v>
      </c>
      <c r="U29">
        <v>1806.51</v>
      </c>
      <c r="V29">
        <v>0.25</v>
      </c>
      <c r="W29">
        <f t="shared" si="5"/>
        <v>0.25</v>
      </c>
      <c r="X29" t="str">
        <f t="shared" si="6"/>
        <v/>
      </c>
      <c r="Y29">
        <v>6774.41</v>
      </c>
      <c r="Z29">
        <f t="shared" si="7"/>
        <v>6774.4124999999995</v>
      </c>
      <c r="AA29">
        <v>4710.3599999999997</v>
      </c>
      <c r="AB29">
        <v>2064.0500000000002</v>
      </c>
      <c r="AC29">
        <f t="shared" si="8"/>
        <v>4967.9024999999992</v>
      </c>
      <c r="AD29" s="6">
        <f t="shared" si="9"/>
        <v>0.73333333333333328</v>
      </c>
      <c r="AE29" t="s">
        <v>155</v>
      </c>
      <c r="AF29" t="s">
        <v>103</v>
      </c>
      <c r="AG29">
        <f t="shared" si="10"/>
        <v>9</v>
      </c>
      <c r="AH29">
        <f t="shared" si="11"/>
        <v>2025</v>
      </c>
      <c r="AI29" t="str">
        <f t="shared" si="12"/>
        <v>CLEAN</v>
      </c>
    </row>
    <row r="30" spans="1:35">
      <c r="A30" t="s">
        <v>178</v>
      </c>
      <c r="B30">
        <f t="shared" si="0"/>
        <v>1</v>
      </c>
      <c r="C30" t="str">
        <f>IF(COUNTIF($A$2:A30, A30)&gt;1, "DUPLICATE_FLAGGED_FOR_REVIEW", "")</f>
        <v/>
      </c>
      <c r="D30" s="3">
        <v>45576</v>
      </c>
      <c r="E30" s="2">
        <v>45583</v>
      </c>
      <c r="F30" s="2" t="str">
        <f t="shared" si="1"/>
        <v>OK</v>
      </c>
      <c r="G30" s="4">
        <f t="shared" si="2"/>
        <v>7</v>
      </c>
      <c r="H30" t="s">
        <v>179</v>
      </c>
      <c r="I30" t="s">
        <v>62</v>
      </c>
      <c r="J30" t="s">
        <v>95</v>
      </c>
      <c r="K30" t="s">
        <v>63</v>
      </c>
      <c r="L30" t="str">
        <f t="shared" si="3"/>
        <v>West</v>
      </c>
      <c r="M30" t="s">
        <v>180</v>
      </c>
      <c r="N30" t="s">
        <v>181</v>
      </c>
      <c r="O30" t="s">
        <v>74</v>
      </c>
      <c r="P30" t="s">
        <v>171</v>
      </c>
      <c r="Q30" t="s">
        <v>182</v>
      </c>
      <c r="R30" t="s">
        <v>31</v>
      </c>
      <c r="S30" t="str">
        <f t="shared" si="4"/>
        <v>Second Class</v>
      </c>
      <c r="T30">
        <v>2</v>
      </c>
      <c r="U30">
        <v>1942.22</v>
      </c>
      <c r="V30">
        <v>0.25</v>
      </c>
      <c r="W30">
        <f t="shared" si="5"/>
        <v>0.25</v>
      </c>
      <c r="X30" t="str">
        <f t="shared" si="6"/>
        <v/>
      </c>
      <c r="Y30">
        <v>2913.33</v>
      </c>
      <c r="Z30">
        <f t="shared" si="7"/>
        <v>2913.33</v>
      </c>
      <c r="AA30">
        <v>2122.33</v>
      </c>
      <c r="AB30">
        <v>791</v>
      </c>
      <c r="AC30">
        <f t="shared" si="8"/>
        <v>971.1099999999999</v>
      </c>
      <c r="AD30" s="6">
        <f t="shared" si="9"/>
        <v>0.33333333333333331</v>
      </c>
      <c r="AE30" t="s">
        <v>102</v>
      </c>
      <c r="AF30" t="s">
        <v>68</v>
      </c>
      <c r="AG30">
        <f t="shared" si="10"/>
        <v>10</v>
      </c>
      <c r="AH30">
        <f t="shared" si="11"/>
        <v>2024</v>
      </c>
      <c r="AI30" t="str">
        <f t="shared" si="12"/>
        <v>CLEAN</v>
      </c>
    </row>
    <row r="31" spans="1:35">
      <c r="A31" t="s">
        <v>183</v>
      </c>
      <c r="B31">
        <f t="shared" si="0"/>
        <v>1</v>
      </c>
      <c r="C31" t="str">
        <f>IF(COUNTIF($A$2:A31, A31)&gt;1, "DUPLICATE_FLAGGED_FOR_REVIEW", "")</f>
        <v/>
      </c>
      <c r="D31" s="3">
        <v>45882</v>
      </c>
      <c r="E31" s="2">
        <v>45882</v>
      </c>
      <c r="F31" s="2" t="str">
        <f t="shared" si="1"/>
        <v>OK</v>
      </c>
      <c r="G31" s="4">
        <f t="shared" si="2"/>
        <v>0</v>
      </c>
      <c r="H31" t="s">
        <v>184</v>
      </c>
      <c r="I31" t="s">
        <v>141</v>
      </c>
      <c r="J31" t="s">
        <v>95</v>
      </c>
      <c r="K31" t="s">
        <v>54</v>
      </c>
      <c r="L31" t="str">
        <f t="shared" si="3"/>
        <v>South</v>
      </c>
      <c r="M31" t="s">
        <v>185</v>
      </c>
      <c r="N31" t="s">
        <v>186</v>
      </c>
      <c r="O31" t="s">
        <v>74</v>
      </c>
      <c r="P31" t="s">
        <v>171</v>
      </c>
      <c r="Q31" t="s">
        <v>187</v>
      </c>
      <c r="R31" t="s">
        <v>59</v>
      </c>
      <c r="S31" t="str">
        <f t="shared" si="4"/>
        <v>Standard Class</v>
      </c>
      <c r="T31">
        <v>1</v>
      </c>
      <c r="U31">
        <v>256.01</v>
      </c>
      <c r="V31">
        <v>0.15</v>
      </c>
      <c r="W31">
        <f t="shared" si="5"/>
        <v>0.15</v>
      </c>
      <c r="X31" t="str">
        <f t="shared" si="6"/>
        <v/>
      </c>
      <c r="Y31">
        <v>217.61</v>
      </c>
      <c r="Z31">
        <f t="shared" si="7"/>
        <v>217.60849999999999</v>
      </c>
      <c r="AA31">
        <v>119.77</v>
      </c>
      <c r="AB31">
        <v>97.84</v>
      </c>
      <c r="AC31">
        <f t="shared" si="8"/>
        <v>-38.401499999999999</v>
      </c>
      <c r="AD31" s="6">
        <f t="shared" si="9"/>
        <v>-0.17647058823529413</v>
      </c>
      <c r="AE31" t="s">
        <v>32</v>
      </c>
      <c r="AF31" t="s">
        <v>33</v>
      </c>
      <c r="AG31">
        <f t="shared" si="10"/>
        <v>8</v>
      </c>
      <c r="AH31">
        <f t="shared" si="11"/>
        <v>2025</v>
      </c>
      <c r="AI31" t="str">
        <f t="shared" si="12"/>
        <v>CLEAN</v>
      </c>
    </row>
    <row r="32" spans="1:35">
      <c r="A32" t="s">
        <v>188</v>
      </c>
      <c r="B32">
        <f t="shared" si="0"/>
        <v>1</v>
      </c>
      <c r="C32" t="str">
        <f>IF(COUNTIF($A$2:A32, A32)&gt;1, "DUPLICATE_FLAGGED_FOR_REVIEW", "")</f>
        <v/>
      </c>
      <c r="D32" s="3">
        <v>45331</v>
      </c>
      <c r="E32" s="2">
        <v>45628</v>
      </c>
      <c r="F32" s="2" t="str">
        <f t="shared" si="1"/>
        <v>OK</v>
      </c>
      <c r="G32" s="4">
        <f t="shared" si="2"/>
        <v>297</v>
      </c>
      <c r="H32" t="s">
        <v>189</v>
      </c>
      <c r="I32" t="s">
        <v>62</v>
      </c>
      <c r="J32" t="s">
        <v>90</v>
      </c>
      <c r="K32" t="s">
        <v>63</v>
      </c>
      <c r="L32" t="str">
        <f t="shared" si="3"/>
        <v>West</v>
      </c>
      <c r="M32" t="s">
        <v>190</v>
      </c>
      <c r="N32" t="s">
        <v>191</v>
      </c>
      <c r="O32" t="s">
        <v>28</v>
      </c>
      <c r="P32" t="s">
        <v>91</v>
      </c>
      <c r="Q32" t="s">
        <v>192</v>
      </c>
      <c r="R32" t="s">
        <v>50</v>
      </c>
      <c r="S32" t="str">
        <f t="shared" si="4"/>
        <v>First Class</v>
      </c>
      <c r="T32">
        <v>1</v>
      </c>
      <c r="U32">
        <v>3421.77</v>
      </c>
      <c r="V32">
        <v>0.1</v>
      </c>
      <c r="W32">
        <f t="shared" si="5"/>
        <v>0.1</v>
      </c>
      <c r="X32" t="str">
        <f t="shared" si="6"/>
        <v/>
      </c>
      <c r="Y32">
        <v>3079.59</v>
      </c>
      <c r="Z32">
        <f t="shared" si="7"/>
        <v>3079.5929999999998</v>
      </c>
      <c r="AA32">
        <v>2001.89</v>
      </c>
      <c r="AB32">
        <v>1077.7</v>
      </c>
      <c r="AC32">
        <f t="shared" si="8"/>
        <v>-342.17700000000013</v>
      </c>
      <c r="AD32" s="6">
        <f t="shared" si="9"/>
        <v>-0.11111111111111116</v>
      </c>
      <c r="AE32" t="s">
        <v>32</v>
      </c>
      <c r="AF32" t="s">
        <v>33</v>
      </c>
      <c r="AG32">
        <f t="shared" si="10"/>
        <v>2</v>
      </c>
      <c r="AH32">
        <f t="shared" si="11"/>
        <v>2024</v>
      </c>
      <c r="AI32" t="str">
        <f t="shared" si="12"/>
        <v>CLEAN</v>
      </c>
    </row>
    <row r="33" spans="1:35">
      <c r="A33" t="s">
        <v>193</v>
      </c>
      <c r="B33">
        <f t="shared" si="0"/>
        <v>1</v>
      </c>
      <c r="C33" t="str">
        <f>IF(COUNTIF($A$2:A33, A33)&gt;1, "DUPLICATE_FLAGGED_FOR_REVIEW", "")</f>
        <v/>
      </c>
      <c r="D33" s="3">
        <v>45823</v>
      </c>
      <c r="E33" s="2">
        <v>45827</v>
      </c>
      <c r="F33" s="2" t="str">
        <f t="shared" si="1"/>
        <v>OK</v>
      </c>
      <c r="G33" s="4">
        <f t="shared" si="2"/>
        <v>4</v>
      </c>
      <c r="H33" t="s">
        <v>194</v>
      </c>
      <c r="I33" t="s">
        <v>23</v>
      </c>
      <c r="J33" t="s">
        <v>37</v>
      </c>
      <c r="K33" t="s">
        <v>63</v>
      </c>
      <c r="L33" t="str">
        <f t="shared" si="3"/>
        <v>West</v>
      </c>
      <c r="M33" t="s">
        <v>72</v>
      </c>
      <c r="N33" t="s">
        <v>73</v>
      </c>
      <c r="O33" t="s">
        <v>28</v>
      </c>
      <c r="P33" t="s">
        <v>29</v>
      </c>
      <c r="Q33" t="s">
        <v>195</v>
      </c>
      <c r="R33" t="s">
        <v>31</v>
      </c>
      <c r="S33" t="str">
        <f t="shared" si="4"/>
        <v>Second Class</v>
      </c>
      <c r="T33">
        <v>9</v>
      </c>
      <c r="U33">
        <v>3092.55</v>
      </c>
      <c r="V33">
        <v>0</v>
      </c>
      <c r="W33">
        <f t="shared" si="5"/>
        <v>0</v>
      </c>
      <c r="X33" t="str">
        <f t="shared" si="6"/>
        <v/>
      </c>
      <c r="Y33">
        <v>27832.95</v>
      </c>
      <c r="Z33">
        <f t="shared" si="7"/>
        <v>27832.95</v>
      </c>
      <c r="AA33">
        <v>17769.75</v>
      </c>
      <c r="AB33">
        <v>10063.200000000001</v>
      </c>
      <c r="AC33">
        <f t="shared" si="8"/>
        <v>24740.400000000001</v>
      </c>
      <c r="AD33" s="6">
        <f t="shared" si="9"/>
        <v>0.88888888888888895</v>
      </c>
      <c r="AE33" t="s">
        <v>155</v>
      </c>
      <c r="AF33" t="s">
        <v>103</v>
      </c>
      <c r="AG33">
        <f t="shared" si="10"/>
        <v>6</v>
      </c>
      <c r="AH33">
        <f t="shared" si="11"/>
        <v>2025</v>
      </c>
      <c r="AI33" t="str">
        <f t="shared" si="12"/>
        <v>CLEAN</v>
      </c>
    </row>
    <row r="34" spans="1:35">
      <c r="A34" t="s">
        <v>196</v>
      </c>
      <c r="B34">
        <f t="shared" si="0"/>
        <v>1</v>
      </c>
      <c r="C34" t="str">
        <f>IF(COUNTIF($A$2:A34, A34)&gt;1, "DUPLICATE_FLAGGED_FOR_REVIEW", "")</f>
        <v/>
      </c>
      <c r="D34" s="3">
        <v>45618</v>
      </c>
      <c r="E34" s="2">
        <v>45622</v>
      </c>
      <c r="F34" s="2" t="str">
        <f t="shared" si="1"/>
        <v>OK</v>
      </c>
      <c r="G34" s="4">
        <f t="shared" si="2"/>
        <v>4</v>
      </c>
      <c r="H34" t="s">
        <v>197</v>
      </c>
      <c r="I34" t="s">
        <v>128</v>
      </c>
      <c r="J34" t="s">
        <v>90</v>
      </c>
      <c r="K34" t="s">
        <v>54</v>
      </c>
      <c r="L34" t="str">
        <f t="shared" si="3"/>
        <v>South</v>
      </c>
      <c r="M34" t="s">
        <v>84</v>
      </c>
      <c r="N34" t="s">
        <v>85</v>
      </c>
      <c r="O34" t="s">
        <v>74</v>
      </c>
      <c r="P34" t="s">
        <v>171</v>
      </c>
      <c r="Q34" t="s">
        <v>198</v>
      </c>
      <c r="R34" t="s">
        <v>31</v>
      </c>
      <c r="S34" t="str">
        <f t="shared" si="4"/>
        <v>Second Class</v>
      </c>
      <c r="T34">
        <v>3</v>
      </c>
      <c r="U34">
        <v>4001.25</v>
      </c>
      <c r="W34">
        <f t="shared" si="5"/>
        <v>0</v>
      </c>
      <c r="X34" t="str">
        <f t="shared" si="6"/>
        <v>DISCOUNT_MISSING_SET_TO_0</v>
      </c>
      <c r="Y34">
        <v>9002.81</v>
      </c>
      <c r="Z34">
        <f t="shared" si="7"/>
        <v>12003.75</v>
      </c>
      <c r="AA34">
        <v>7529.92</v>
      </c>
      <c r="AB34">
        <v>1472.89</v>
      </c>
      <c r="AC34">
        <f t="shared" si="8"/>
        <v>8002.5</v>
      </c>
      <c r="AD34" s="6">
        <f t="shared" si="9"/>
        <v>0.66666666666666663</v>
      </c>
      <c r="AE34" t="s">
        <v>32</v>
      </c>
      <c r="AF34" t="s">
        <v>33</v>
      </c>
      <c r="AG34">
        <f t="shared" si="10"/>
        <v>11</v>
      </c>
      <c r="AH34">
        <f t="shared" si="11"/>
        <v>2024</v>
      </c>
      <c r="AI34" t="str">
        <f t="shared" si="12"/>
        <v>WARNING</v>
      </c>
    </row>
    <row r="35" spans="1:35">
      <c r="A35" t="s">
        <v>199</v>
      </c>
      <c r="B35">
        <f t="shared" si="0"/>
        <v>1</v>
      </c>
      <c r="C35" t="str">
        <f>IF(COUNTIF($A$2:A35, A35)&gt;1, "DUPLICATE_FLAGGED_FOR_REVIEW", "")</f>
        <v/>
      </c>
      <c r="D35" s="3">
        <v>45495</v>
      </c>
      <c r="E35" s="2">
        <v>45500</v>
      </c>
      <c r="F35" s="2" t="str">
        <f t="shared" si="1"/>
        <v>OK</v>
      </c>
      <c r="G35" s="4">
        <f t="shared" si="2"/>
        <v>5</v>
      </c>
      <c r="H35" t="s">
        <v>200</v>
      </c>
      <c r="I35" t="s">
        <v>114</v>
      </c>
      <c r="J35" t="s">
        <v>95</v>
      </c>
      <c r="K35" t="s">
        <v>63</v>
      </c>
      <c r="L35" t="str">
        <f t="shared" si="3"/>
        <v>West</v>
      </c>
      <c r="M35" t="s">
        <v>190</v>
      </c>
      <c r="N35" t="s">
        <v>191</v>
      </c>
      <c r="O35" t="s">
        <v>41</v>
      </c>
      <c r="P35" t="s">
        <v>42</v>
      </c>
      <c r="Q35" t="s">
        <v>201</v>
      </c>
      <c r="R35" t="s">
        <v>44</v>
      </c>
      <c r="S35" t="str">
        <f t="shared" si="4"/>
        <v>Same Day</v>
      </c>
      <c r="T35">
        <v>7</v>
      </c>
      <c r="U35">
        <v>492.41</v>
      </c>
      <c r="V35">
        <v>0.25</v>
      </c>
      <c r="W35">
        <f t="shared" si="5"/>
        <v>0.25</v>
      </c>
      <c r="X35" t="str">
        <f t="shared" si="6"/>
        <v/>
      </c>
      <c r="Y35">
        <v>2585.15</v>
      </c>
      <c r="Z35">
        <f t="shared" si="7"/>
        <v>2585.1525000000001</v>
      </c>
      <c r="AA35">
        <v>2070.73</v>
      </c>
      <c r="AB35">
        <v>514.41999999999996</v>
      </c>
      <c r="AC35">
        <f t="shared" si="8"/>
        <v>2092.7425000000003</v>
      </c>
      <c r="AD35" s="6">
        <f t="shared" si="9"/>
        <v>0.80952380952380965</v>
      </c>
      <c r="AE35" t="s">
        <v>32</v>
      </c>
      <c r="AF35" t="s">
        <v>33</v>
      </c>
      <c r="AG35">
        <f t="shared" si="10"/>
        <v>7</v>
      </c>
      <c r="AH35">
        <f t="shared" si="11"/>
        <v>2024</v>
      </c>
      <c r="AI35" t="str">
        <f t="shared" si="12"/>
        <v>CLEAN</v>
      </c>
    </row>
    <row r="36" spans="1:35">
      <c r="A36" t="s">
        <v>202</v>
      </c>
      <c r="B36">
        <f t="shared" si="0"/>
        <v>1</v>
      </c>
      <c r="C36" t="str">
        <f>IF(COUNTIF($A$2:A36, A36)&gt;1, "DUPLICATE_FLAGGED_FOR_REVIEW", "")</f>
        <v/>
      </c>
      <c r="D36" s="3">
        <v>45688</v>
      </c>
      <c r="E36" s="2">
        <v>45693</v>
      </c>
      <c r="F36" s="2" t="str">
        <f t="shared" si="1"/>
        <v>OK</v>
      </c>
      <c r="G36" s="4">
        <f t="shared" si="2"/>
        <v>5</v>
      </c>
      <c r="H36" t="s">
        <v>203</v>
      </c>
      <c r="I36" t="s">
        <v>114</v>
      </c>
      <c r="J36" t="s">
        <v>95</v>
      </c>
      <c r="K36" t="s">
        <v>38</v>
      </c>
      <c r="L36" t="str">
        <f t="shared" si="3"/>
        <v>East</v>
      </c>
      <c r="M36" t="s">
        <v>99</v>
      </c>
      <c r="N36" t="s">
        <v>100</v>
      </c>
      <c r="O36" t="s">
        <v>41</v>
      </c>
      <c r="P36" t="s">
        <v>66</v>
      </c>
      <c r="Q36" t="s">
        <v>204</v>
      </c>
      <c r="R36" t="s">
        <v>2760</v>
      </c>
      <c r="S36" t="str">
        <f t="shared" si="4"/>
        <v>Unknown</v>
      </c>
      <c r="T36">
        <v>2</v>
      </c>
      <c r="U36">
        <v>4159.6899999999996</v>
      </c>
      <c r="V36">
        <v>0.2</v>
      </c>
      <c r="W36">
        <f t="shared" si="5"/>
        <v>0.2</v>
      </c>
      <c r="X36" t="str">
        <f t="shared" si="6"/>
        <v/>
      </c>
      <c r="Y36">
        <v>6655.5</v>
      </c>
      <c r="Z36">
        <f t="shared" si="7"/>
        <v>6655.5039999999999</v>
      </c>
      <c r="AA36">
        <v>4340.21</v>
      </c>
      <c r="AB36">
        <v>2607.3200000000002</v>
      </c>
      <c r="AC36">
        <f t="shared" si="8"/>
        <v>2495.8140000000003</v>
      </c>
      <c r="AD36" s="6">
        <f t="shared" si="9"/>
        <v>0.37500000000000006</v>
      </c>
      <c r="AE36" t="s">
        <v>32</v>
      </c>
      <c r="AF36" t="s">
        <v>33</v>
      </c>
      <c r="AG36">
        <f t="shared" si="10"/>
        <v>1</v>
      </c>
      <c r="AH36">
        <f t="shared" si="11"/>
        <v>2025</v>
      </c>
      <c r="AI36" t="str">
        <f t="shared" si="12"/>
        <v>WARNING</v>
      </c>
    </row>
    <row r="37" spans="1:35">
      <c r="A37" t="s">
        <v>205</v>
      </c>
      <c r="B37">
        <f t="shared" si="0"/>
        <v>1</v>
      </c>
      <c r="C37" t="str">
        <f>IF(COUNTIF($A$2:A37, A37)&gt;1, "DUPLICATE_FLAGGED_FOR_REVIEW", "")</f>
        <v/>
      </c>
      <c r="D37" s="3">
        <v>45441</v>
      </c>
      <c r="E37" s="2">
        <v>45441</v>
      </c>
      <c r="F37" s="2" t="str">
        <f t="shared" si="1"/>
        <v>OK</v>
      </c>
      <c r="G37" s="4">
        <f t="shared" si="2"/>
        <v>0</v>
      </c>
      <c r="H37" t="s">
        <v>206</v>
      </c>
      <c r="I37" t="s">
        <v>132</v>
      </c>
      <c r="J37" t="s">
        <v>37</v>
      </c>
      <c r="K37" t="s">
        <v>63</v>
      </c>
      <c r="L37" t="str">
        <f t="shared" si="3"/>
        <v>West</v>
      </c>
      <c r="M37" t="s">
        <v>180</v>
      </c>
      <c r="N37" t="s">
        <v>181</v>
      </c>
      <c r="O37" t="s">
        <v>41</v>
      </c>
      <c r="P37" t="s">
        <v>158</v>
      </c>
      <c r="Q37" t="s">
        <v>207</v>
      </c>
      <c r="R37" t="s">
        <v>31</v>
      </c>
      <c r="S37" t="str">
        <f t="shared" si="4"/>
        <v>Second Class</v>
      </c>
      <c r="T37">
        <v>8</v>
      </c>
      <c r="U37">
        <v>2507.12</v>
      </c>
      <c r="V37">
        <v>0.05</v>
      </c>
      <c r="W37">
        <f t="shared" si="5"/>
        <v>0.05</v>
      </c>
      <c r="X37" t="str">
        <f t="shared" si="6"/>
        <v/>
      </c>
      <c r="Y37">
        <v>19054.11</v>
      </c>
      <c r="Z37">
        <f t="shared" si="7"/>
        <v>19054.111999999997</v>
      </c>
      <c r="AA37">
        <v>15313.83</v>
      </c>
      <c r="AB37">
        <v>3740.28</v>
      </c>
      <c r="AC37">
        <f t="shared" si="8"/>
        <v>16546.991999999998</v>
      </c>
      <c r="AD37" s="6">
        <f t="shared" si="9"/>
        <v>0.86842105263157898</v>
      </c>
      <c r="AE37" t="s">
        <v>111</v>
      </c>
      <c r="AF37" t="s">
        <v>103</v>
      </c>
      <c r="AG37">
        <f t="shared" si="10"/>
        <v>5</v>
      </c>
      <c r="AH37">
        <f t="shared" si="11"/>
        <v>2024</v>
      </c>
      <c r="AI37" t="str">
        <f t="shared" si="12"/>
        <v>CLEAN</v>
      </c>
    </row>
    <row r="38" spans="1:35">
      <c r="A38" t="s">
        <v>208</v>
      </c>
      <c r="B38">
        <f t="shared" si="0"/>
        <v>1</v>
      </c>
      <c r="C38" t="str">
        <f>IF(COUNTIF($A$2:A38, A38)&gt;1, "DUPLICATE_FLAGGED_FOR_REVIEW", "")</f>
        <v/>
      </c>
      <c r="D38" s="3">
        <v>45590</v>
      </c>
      <c r="E38" s="2">
        <v>45593</v>
      </c>
      <c r="F38" s="2" t="str">
        <f t="shared" si="1"/>
        <v>OK</v>
      </c>
      <c r="G38" s="4">
        <f t="shared" si="2"/>
        <v>3</v>
      </c>
      <c r="H38" t="s">
        <v>209</v>
      </c>
      <c r="I38" t="s">
        <v>141</v>
      </c>
      <c r="J38" t="s">
        <v>90</v>
      </c>
      <c r="K38" t="s">
        <v>63</v>
      </c>
      <c r="L38" t="str">
        <f t="shared" si="3"/>
        <v>West</v>
      </c>
      <c r="M38" t="s">
        <v>64</v>
      </c>
      <c r="N38" t="s">
        <v>65</v>
      </c>
      <c r="O38" t="s">
        <v>41</v>
      </c>
      <c r="P38" t="s">
        <v>158</v>
      </c>
      <c r="Q38" t="s">
        <v>210</v>
      </c>
      <c r="R38" t="s">
        <v>31</v>
      </c>
      <c r="S38" t="str">
        <f t="shared" si="4"/>
        <v>Second Class</v>
      </c>
      <c r="T38">
        <v>3</v>
      </c>
      <c r="U38">
        <v>3126.47</v>
      </c>
      <c r="V38">
        <v>0</v>
      </c>
      <c r="W38">
        <f t="shared" si="5"/>
        <v>0</v>
      </c>
      <c r="X38" t="str">
        <f t="shared" si="6"/>
        <v/>
      </c>
      <c r="Y38">
        <v>9379.41</v>
      </c>
      <c r="Z38">
        <f t="shared" si="7"/>
        <v>9379.41</v>
      </c>
      <c r="AA38">
        <v>6670.85</v>
      </c>
      <c r="AB38">
        <v>2708.56</v>
      </c>
      <c r="AC38">
        <f t="shared" si="8"/>
        <v>6252.9400000000005</v>
      </c>
      <c r="AD38" s="6">
        <f t="shared" si="9"/>
        <v>0.66666666666666674</v>
      </c>
      <c r="AE38" t="s">
        <v>32</v>
      </c>
      <c r="AF38" t="s">
        <v>103</v>
      </c>
      <c r="AG38">
        <f t="shared" si="10"/>
        <v>10</v>
      </c>
      <c r="AH38">
        <f t="shared" si="11"/>
        <v>2024</v>
      </c>
      <c r="AI38" t="str">
        <f t="shared" si="12"/>
        <v>CLEAN</v>
      </c>
    </row>
    <row r="39" spans="1:35">
      <c r="A39" t="s">
        <v>211</v>
      </c>
      <c r="B39">
        <f t="shared" si="0"/>
        <v>1</v>
      </c>
      <c r="C39" t="str">
        <f>IF(COUNTIF($A$2:A39, A39)&gt;1, "DUPLICATE_FLAGGED_FOR_REVIEW", "")</f>
        <v/>
      </c>
      <c r="D39" s="3">
        <v>45867</v>
      </c>
      <c r="E39" s="2">
        <v>45867</v>
      </c>
      <c r="F39" s="2" t="str">
        <f t="shared" si="1"/>
        <v>OK</v>
      </c>
      <c r="G39" s="4">
        <f t="shared" si="2"/>
        <v>0</v>
      </c>
      <c r="H39" t="s">
        <v>212</v>
      </c>
      <c r="I39" t="s">
        <v>162</v>
      </c>
      <c r="J39" t="s">
        <v>24</v>
      </c>
      <c r="K39" t="s">
        <v>63</v>
      </c>
      <c r="L39" t="str">
        <f t="shared" si="3"/>
        <v>West</v>
      </c>
      <c r="M39" t="s">
        <v>64</v>
      </c>
      <c r="N39" t="s">
        <v>65</v>
      </c>
      <c r="O39" t="s">
        <v>74</v>
      </c>
      <c r="P39" t="s">
        <v>80</v>
      </c>
      <c r="Q39" t="s">
        <v>213</v>
      </c>
      <c r="R39" t="s">
        <v>59</v>
      </c>
      <c r="S39" t="str">
        <f t="shared" si="4"/>
        <v>Standard Class</v>
      </c>
      <c r="T39">
        <v>4</v>
      </c>
      <c r="U39">
        <v>1327.54</v>
      </c>
      <c r="V39">
        <v>0.2</v>
      </c>
      <c r="W39">
        <f t="shared" si="5"/>
        <v>0.2</v>
      </c>
      <c r="X39" t="str">
        <f t="shared" si="6"/>
        <v/>
      </c>
      <c r="Y39">
        <v>4248.13</v>
      </c>
      <c r="Z39">
        <f t="shared" si="7"/>
        <v>4248.1279999999997</v>
      </c>
      <c r="AA39">
        <v>3321.09</v>
      </c>
      <c r="AB39">
        <v>927.04</v>
      </c>
      <c r="AC39">
        <f t="shared" si="8"/>
        <v>2920.5879999999997</v>
      </c>
      <c r="AD39" s="6">
        <f t="shared" si="9"/>
        <v>0.6875</v>
      </c>
      <c r="AE39" t="s">
        <v>32</v>
      </c>
      <c r="AF39" t="s">
        <v>33</v>
      </c>
      <c r="AG39">
        <f t="shared" si="10"/>
        <v>7</v>
      </c>
      <c r="AH39">
        <f t="shared" si="11"/>
        <v>2025</v>
      </c>
      <c r="AI39" t="str">
        <f t="shared" si="12"/>
        <v>CLEAN</v>
      </c>
    </row>
    <row r="40" spans="1:35">
      <c r="A40" t="s">
        <v>214</v>
      </c>
      <c r="B40">
        <f t="shared" si="0"/>
        <v>1</v>
      </c>
      <c r="C40" t="str">
        <f>IF(COUNTIF($A$2:A40, A40)&gt;1, "DUPLICATE_FLAGGED_FOR_REVIEW", "")</f>
        <v/>
      </c>
      <c r="D40" s="3">
        <v>45460</v>
      </c>
      <c r="E40" s="2">
        <v>45465</v>
      </c>
      <c r="F40" s="2" t="str">
        <f t="shared" si="1"/>
        <v>OK</v>
      </c>
      <c r="G40" s="4">
        <f t="shared" si="2"/>
        <v>5</v>
      </c>
      <c r="H40" t="s">
        <v>215</v>
      </c>
      <c r="I40" t="s">
        <v>128</v>
      </c>
      <c r="J40" t="s">
        <v>90</v>
      </c>
      <c r="K40" t="s">
        <v>63</v>
      </c>
      <c r="L40" t="str">
        <f t="shared" si="3"/>
        <v>West</v>
      </c>
      <c r="M40" t="s">
        <v>180</v>
      </c>
      <c r="N40" t="s">
        <v>181</v>
      </c>
      <c r="O40" t="s">
        <v>74</v>
      </c>
      <c r="P40" t="s">
        <v>171</v>
      </c>
      <c r="Q40" t="s">
        <v>216</v>
      </c>
      <c r="R40" t="s">
        <v>50</v>
      </c>
      <c r="S40" t="str">
        <f t="shared" si="4"/>
        <v>First Class</v>
      </c>
      <c r="T40">
        <v>7</v>
      </c>
      <c r="U40">
        <v>2210.6799999999998</v>
      </c>
      <c r="V40">
        <v>0.1</v>
      </c>
      <c r="W40">
        <f t="shared" si="5"/>
        <v>0.1</v>
      </c>
      <c r="X40" t="str">
        <f t="shared" si="6"/>
        <v/>
      </c>
      <c r="Y40">
        <v>13927.28</v>
      </c>
      <c r="Z40">
        <f t="shared" si="7"/>
        <v>13927.284</v>
      </c>
      <c r="AA40">
        <v>10504.87</v>
      </c>
      <c r="AB40">
        <v>3422.41</v>
      </c>
      <c r="AC40">
        <f t="shared" si="8"/>
        <v>11716.603999999999</v>
      </c>
      <c r="AD40" s="6">
        <f t="shared" si="9"/>
        <v>0.84126984126984128</v>
      </c>
      <c r="AE40" t="s">
        <v>32</v>
      </c>
      <c r="AF40" t="s">
        <v>33</v>
      </c>
      <c r="AG40">
        <f t="shared" si="10"/>
        <v>6</v>
      </c>
      <c r="AH40">
        <f t="shared" si="11"/>
        <v>2024</v>
      </c>
      <c r="AI40" t="str">
        <f t="shared" si="12"/>
        <v>CLEAN</v>
      </c>
    </row>
    <row r="41" spans="1:35">
      <c r="A41" t="s">
        <v>217</v>
      </c>
      <c r="B41">
        <f t="shared" si="0"/>
        <v>1</v>
      </c>
      <c r="C41" t="str">
        <f>IF(COUNTIF($A$2:A41, A41)&gt;1, "DUPLICATE_FLAGGED_FOR_REVIEW", "")</f>
        <v/>
      </c>
      <c r="D41" s="3">
        <v>45608</v>
      </c>
      <c r="E41" s="2">
        <v>45637</v>
      </c>
      <c r="F41" s="2" t="str">
        <f t="shared" si="1"/>
        <v>OK</v>
      </c>
      <c r="G41" s="4">
        <f t="shared" si="2"/>
        <v>29</v>
      </c>
      <c r="H41" t="s">
        <v>218</v>
      </c>
      <c r="I41" t="s">
        <v>36</v>
      </c>
      <c r="J41" t="s">
        <v>37</v>
      </c>
      <c r="K41" t="s">
        <v>63</v>
      </c>
      <c r="L41" t="str">
        <f t="shared" si="3"/>
        <v>West</v>
      </c>
      <c r="M41" t="s">
        <v>72</v>
      </c>
      <c r="N41" t="s">
        <v>73</v>
      </c>
      <c r="O41" t="s">
        <v>74</v>
      </c>
      <c r="P41" t="s">
        <v>80</v>
      </c>
      <c r="Q41" t="s">
        <v>219</v>
      </c>
      <c r="R41" t="s">
        <v>50</v>
      </c>
      <c r="S41" t="str">
        <f t="shared" si="4"/>
        <v>First Class</v>
      </c>
      <c r="T41">
        <v>4</v>
      </c>
      <c r="U41">
        <v>1370.92</v>
      </c>
      <c r="V41">
        <v>0.1</v>
      </c>
      <c r="W41">
        <f t="shared" si="5"/>
        <v>0.1</v>
      </c>
      <c r="X41" t="str">
        <f t="shared" si="6"/>
        <v/>
      </c>
      <c r="Y41">
        <v>4935.3100000000004</v>
      </c>
      <c r="Z41">
        <f t="shared" si="7"/>
        <v>4935.3120000000008</v>
      </c>
      <c r="AA41">
        <v>3374.77</v>
      </c>
      <c r="AB41">
        <v>1560.54</v>
      </c>
      <c r="AC41">
        <f t="shared" si="8"/>
        <v>3564.3920000000007</v>
      </c>
      <c r="AD41" s="6">
        <f t="shared" si="9"/>
        <v>0.72222222222222221</v>
      </c>
      <c r="AE41" t="s">
        <v>111</v>
      </c>
      <c r="AF41" t="s">
        <v>103</v>
      </c>
      <c r="AG41">
        <f t="shared" si="10"/>
        <v>11</v>
      </c>
      <c r="AH41">
        <f t="shared" si="11"/>
        <v>2024</v>
      </c>
      <c r="AI41" t="str">
        <f t="shared" si="12"/>
        <v>CLEAN</v>
      </c>
    </row>
    <row r="42" spans="1:35">
      <c r="A42" t="s">
        <v>220</v>
      </c>
      <c r="B42">
        <f t="shared" si="0"/>
        <v>1</v>
      </c>
      <c r="C42" t="str">
        <f>IF(COUNTIF($A$2:A42, A42)&gt;1, "DUPLICATE_FLAGGED_FOR_REVIEW", "")</f>
        <v/>
      </c>
      <c r="D42" s="3">
        <v>45575</v>
      </c>
      <c r="E42" s="2">
        <v>45581</v>
      </c>
      <c r="F42" s="2" t="str">
        <f t="shared" si="1"/>
        <v>OK</v>
      </c>
      <c r="G42" s="4">
        <f t="shared" si="2"/>
        <v>6</v>
      </c>
      <c r="H42" t="s">
        <v>221</v>
      </c>
      <c r="I42" t="s">
        <v>47</v>
      </c>
      <c r="J42" t="s">
        <v>95</v>
      </c>
      <c r="K42" t="s">
        <v>63</v>
      </c>
      <c r="L42" t="str">
        <f t="shared" si="3"/>
        <v>West</v>
      </c>
      <c r="M42" t="s">
        <v>26</v>
      </c>
      <c r="N42" t="s">
        <v>109</v>
      </c>
      <c r="O42" t="s">
        <v>74</v>
      </c>
      <c r="P42" t="s">
        <v>80</v>
      </c>
      <c r="Q42" t="s">
        <v>222</v>
      </c>
      <c r="R42" t="s">
        <v>59</v>
      </c>
      <c r="S42" t="str">
        <f t="shared" si="4"/>
        <v>Standard Class</v>
      </c>
      <c r="T42">
        <v>7</v>
      </c>
      <c r="U42">
        <v>2509.27</v>
      </c>
      <c r="V42">
        <v>0.2</v>
      </c>
      <c r="W42">
        <f t="shared" si="5"/>
        <v>0.2</v>
      </c>
      <c r="X42" t="str">
        <f t="shared" si="6"/>
        <v/>
      </c>
      <c r="Y42">
        <v>14051.91</v>
      </c>
      <c r="Z42">
        <f t="shared" si="7"/>
        <v>14051.912</v>
      </c>
      <c r="AA42">
        <v>11990.37</v>
      </c>
      <c r="AB42">
        <v>2061.54</v>
      </c>
      <c r="AC42">
        <f t="shared" si="8"/>
        <v>11542.642</v>
      </c>
      <c r="AD42" s="6">
        <f t="shared" si="9"/>
        <v>0.8214285714285714</v>
      </c>
      <c r="AE42" t="s">
        <v>32</v>
      </c>
      <c r="AF42" t="s">
        <v>33</v>
      </c>
      <c r="AG42">
        <f t="shared" si="10"/>
        <v>10</v>
      </c>
      <c r="AH42">
        <f t="shared" si="11"/>
        <v>2024</v>
      </c>
      <c r="AI42" t="str">
        <f t="shared" si="12"/>
        <v>CLEAN</v>
      </c>
    </row>
    <row r="43" spans="1:35">
      <c r="A43" t="s">
        <v>223</v>
      </c>
      <c r="B43">
        <f t="shared" si="0"/>
        <v>1</v>
      </c>
      <c r="C43" t="str">
        <f>IF(COUNTIF($A$2:A43, A43)&gt;1, "DUPLICATE_FLAGGED_FOR_REVIEW", "")</f>
        <v/>
      </c>
      <c r="D43" s="3">
        <v>45629</v>
      </c>
      <c r="E43" s="2">
        <v>45368</v>
      </c>
      <c r="F43" s="2" t="str">
        <f t="shared" si="1"/>
        <v>ERROR: Ship before order</v>
      </c>
      <c r="G43" s="4">
        <f t="shared" si="2"/>
        <v>-261</v>
      </c>
      <c r="H43" t="s">
        <v>224</v>
      </c>
      <c r="I43" t="s">
        <v>128</v>
      </c>
      <c r="J43" t="s">
        <v>37</v>
      </c>
      <c r="K43" t="s">
        <v>38</v>
      </c>
      <c r="L43" t="str">
        <f t="shared" si="3"/>
        <v>East</v>
      </c>
      <c r="M43" t="s">
        <v>39</v>
      </c>
      <c r="N43" t="s">
        <v>40</v>
      </c>
      <c r="O43" t="s">
        <v>41</v>
      </c>
      <c r="P43" t="s">
        <v>158</v>
      </c>
      <c r="Q43" t="s">
        <v>225</v>
      </c>
      <c r="R43" t="s">
        <v>44</v>
      </c>
      <c r="S43" t="str">
        <f t="shared" si="4"/>
        <v>Same Day</v>
      </c>
      <c r="T43">
        <v>8</v>
      </c>
      <c r="U43">
        <v>855.81</v>
      </c>
      <c r="V43">
        <v>0</v>
      </c>
      <c r="W43">
        <f t="shared" si="5"/>
        <v>0</v>
      </c>
      <c r="X43" t="str">
        <f t="shared" si="6"/>
        <v/>
      </c>
      <c r="Y43">
        <v>6846.48</v>
      </c>
      <c r="Z43">
        <f t="shared" si="7"/>
        <v>6846.48</v>
      </c>
      <c r="AA43">
        <v>4239.8900000000003</v>
      </c>
      <c r="AB43">
        <v>2606.59</v>
      </c>
      <c r="AC43">
        <f t="shared" si="8"/>
        <v>5990.67</v>
      </c>
      <c r="AD43" s="6">
        <f t="shared" si="9"/>
        <v>0.87500000000000011</v>
      </c>
      <c r="AE43" t="s">
        <v>111</v>
      </c>
      <c r="AF43" t="s">
        <v>68</v>
      </c>
      <c r="AG43">
        <f t="shared" si="10"/>
        <v>12</v>
      </c>
      <c r="AH43">
        <f t="shared" si="11"/>
        <v>2024</v>
      </c>
      <c r="AI43" t="str">
        <f t="shared" si="12"/>
        <v>INVALID</v>
      </c>
    </row>
    <row r="44" spans="1:35">
      <c r="A44" t="s">
        <v>226</v>
      </c>
      <c r="B44">
        <f t="shared" si="0"/>
        <v>1</v>
      </c>
      <c r="C44" t="str">
        <f>IF(COUNTIF($A$2:A44, A44)&gt;1, "DUPLICATE_FLAGGED_FOR_REVIEW", "")</f>
        <v/>
      </c>
      <c r="D44" s="3">
        <v>45940</v>
      </c>
      <c r="E44" s="2">
        <v>45945</v>
      </c>
      <c r="F44" s="2" t="str">
        <f t="shared" si="1"/>
        <v>OK</v>
      </c>
      <c r="G44" s="4">
        <f t="shared" si="2"/>
        <v>5</v>
      </c>
      <c r="H44" t="s">
        <v>227</v>
      </c>
      <c r="I44" t="s">
        <v>53</v>
      </c>
      <c r="J44" t="s">
        <v>90</v>
      </c>
      <c r="K44" t="s">
        <v>38</v>
      </c>
      <c r="L44" t="str">
        <f t="shared" si="3"/>
        <v>East</v>
      </c>
      <c r="M44" t="s">
        <v>228</v>
      </c>
      <c r="N44" t="s">
        <v>229</v>
      </c>
      <c r="O44" t="s">
        <v>74</v>
      </c>
      <c r="P44" t="s">
        <v>171</v>
      </c>
      <c r="Q44" t="s">
        <v>230</v>
      </c>
      <c r="R44" t="s">
        <v>59</v>
      </c>
      <c r="S44" t="str">
        <f t="shared" si="4"/>
        <v>Standard Class</v>
      </c>
      <c r="T44">
        <v>8</v>
      </c>
      <c r="U44">
        <v>979.87</v>
      </c>
      <c r="V44">
        <v>0.05</v>
      </c>
      <c r="W44">
        <f t="shared" si="5"/>
        <v>0.05</v>
      </c>
      <c r="X44" t="str">
        <f t="shared" si="6"/>
        <v/>
      </c>
      <c r="Y44">
        <v>7447.01</v>
      </c>
      <c r="Z44">
        <f t="shared" si="7"/>
        <v>7447.0119999999997</v>
      </c>
      <c r="AA44">
        <v>4496.22</v>
      </c>
      <c r="AB44">
        <v>2950.79</v>
      </c>
      <c r="AC44">
        <f t="shared" si="8"/>
        <v>6467.1419999999998</v>
      </c>
      <c r="AD44" s="6">
        <f t="shared" si="9"/>
        <v>0.86842105263157898</v>
      </c>
      <c r="AE44" t="s">
        <v>32</v>
      </c>
      <c r="AF44" t="s">
        <v>33</v>
      </c>
      <c r="AG44">
        <f t="shared" si="10"/>
        <v>10</v>
      </c>
      <c r="AH44">
        <f t="shared" si="11"/>
        <v>2025</v>
      </c>
      <c r="AI44" t="str">
        <f t="shared" si="12"/>
        <v>CLEAN</v>
      </c>
    </row>
    <row r="45" spans="1:35">
      <c r="A45" t="s">
        <v>231</v>
      </c>
      <c r="B45">
        <f t="shared" si="0"/>
        <v>1</v>
      </c>
      <c r="C45" t="str">
        <f>IF(COUNTIF($A$2:A45, A45)&gt;1, "DUPLICATE_FLAGGED_FOR_REVIEW", "")</f>
        <v/>
      </c>
      <c r="D45" s="3">
        <v>45511</v>
      </c>
      <c r="E45" s="2">
        <v>45487</v>
      </c>
      <c r="F45" s="2" t="str">
        <f t="shared" si="1"/>
        <v>ERROR: Ship before order</v>
      </c>
      <c r="G45" s="4">
        <f t="shared" si="2"/>
        <v>-24</v>
      </c>
      <c r="H45" t="s">
        <v>232</v>
      </c>
      <c r="I45" t="s">
        <v>114</v>
      </c>
      <c r="J45" t="s">
        <v>37</v>
      </c>
      <c r="K45" t="s">
        <v>38</v>
      </c>
      <c r="L45" t="str">
        <f t="shared" si="3"/>
        <v>East</v>
      </c>
      <c r="M45" t="s">
        <v>39</v>
      </c>
      <c r="N45" t="s">
        <v>40</v>
      </c>
      <c r="O45" t="s">
        <v>41</v>
      </c>
      <c r="P45" t="s">
        <v>57</v>
      </c>
      <c r="Q45" t="s">
        <v>233</v>
      </c>
      <c r="R45" t="s">
        <v>44</v>
      </c>
      <c r="S45" t="str">
        <f t="shared" si="4"/>
        <v>Same Day</v>
      </c>
      <c r="T45">
        <v>3</v>
      </c>
      <c r="U45">
        <v>1010.23</v>
      </c>
      <c r="V45">
        <v>0</v>
      </c>
      <c r="W45">
        <f t="shared" si="5"/>
        <v>0</v>
      </c>
      <c r="X45" t="str">
        <f t="shared" si="6"/>
        <v/>
      </c>
      <c r="Y45">
        <v>3030.69</v>
      </c>
      <c r="Z45">
        <f t="shared" si="7"/>
        <v>3030.69</v>
      </c>
      <c r="AA45">
        <v>1721.08</v>
      </c>
      <c r="AB45">
        <v>1309.6099999999999</v>
      </c>
      <c r="AC45">
        <f t="shared" si="8"/>
        <v>2020.46</v>
      </c>
      <c r="AD45" s="6">
        <f t="shared" si="9"/>
        <v>0.66666666666666663</v>
      </c>
      <c r="AE45" t="s">
        <v>32</v>
      </c>
      <c r="AF45" t="s">
        <v>33</v>
      </c>
      <c r="AG45">
        <f t="shared" si="10"/>
        <v>8</v>
      </c>
      <c r="AH45">
        <f t="shared" si="11"/>
        <v>2024</v>
      </c>
      <c r="AI45" t="str">
        <f t="shared" si="12"/>
        <v>INVALID</v>
      </c>
    </row>
    <row r="46" spans="1:35">
      <c r="A46" t="s">
        <v>234</v>
      </c>
      <c r="B46">
        <f t="shared" si="0"/>
        <v>1</v>
      </c>
      <c r="C46" t="str">
        <f>IF(COUNTIF($A$2:A46, A46)&gt;1, "DUPLICATE_FLAGGED_FOR_REVIEW", "")</f>
        <v/>
      </c>
      <c r="D46" s="3">
        <v>45465</v>
      </c>
      <c r="E46" s="2">
        <v>45468</v>
      </c>
      <c r="F46" s="2" t="str">
        <f t="shared" si="1"/>
        <v>OK</v>
      </c>
      <c r="G46" s="4">
        <f t="shared" si="2"/>
        <v>3</v>
      </c>
      <c r="H46" t="s">
        <v>235</v>
      </c>
      <c r="I46" t="s">
        <v>141</v>
      </c>
      <c r="J46" t="s">
        <v>37</v>
      </c>
      <c r="K46" t="s">
        <v>25</v>
      </c>
      <c r="L46" t="str">
        <f t="shared" si="3"/>
        <v>North</v>
      </c>
      <c r="M46" t="s">
        <v>236</v>
      </c>
      <c r="N46" t="s">
        <v>237</v>
      </c>
      <c r="O46" t="s">
        <v>41</v>
      </c>
      <c r="P46" t="s">
        <v>66</v>
      </c>
      <c r="Q46" t="s">
        <v>238</v>
      </c>
      <c r="R46" t="s">
        <v>59</v>
      </c>
      <c r="S46" t="str">
        <f t="shared" si="4"/>
        <v>Standard Class</v>
      </c>
      <c r="T46">
        <v>9</v>
      </c>
      <c r="U46">
        <v>3329.77</v>
      </c>
      <c r="V46">
        <v>0.1</v>
      </c>
      <c r="W46">
        <f t="shared" si="5"/>
        <v>0.1</v>
      </c>
      <c r="X46" t="str">
        <f t="shared" si="6"/>
        <v/>
      </c>
      <c r="Y46">
        <v>26971.14</v>
      </c>
      <c r="Z46">
        <f t="shared" si="7"/>
        <v>26971.137000000002</v>
      </c>
      <c r="AA46">
        <v>17376.2</v>
      </c>
      <c r="AB46">
        <v>9594.94</v>
      </c>
      <c r="AC46">
        <f t="shared" si="8"/>
        <v>23641.367000000002</v>
      </c>
      <c r="AD46" s="6">
        <f t="shared" si="9"/>
        <v>0.87654320987654322</v>
      </c>
      <c r="AE46" t="s">
        <v>32</v>
      </c>
      <c r="AF46" t="s">
        <v>33</v>
      </c>
      <c r="AG46">
        <f t="shared" si="10"/>
        <v>6</v>
      </c>
      <c r="AH46">
        <f t="shared" si="11"/>
        <v>2024</v>
      </c>
      <c r="AI46" t="str">
        <f t="shared" si="12"/>
        <v>CLEAN</v>
      </c>
    </row>
    <row r="47" spans="1:35">
      <c r="A47" t="s">
        <v>239</v>
      </c>
      <c r="B47">
        <f t="shared" si="0"/>
        <v>1</v>
      </c>
      <c r="C47" t="str">
        <f>IF(COUNTIF($A$2:A47, A47)&gt;1, "DUPLICATE_FLAGGED_FOR_REVIEW", "")</f>
        <v/>
      </c>
      <c r="D47" s="3">
        <v>45309</v>
      </c>
      <c r="E47" s="2">
        <v>45315</v>
      </c>
      <c r="F47" s="2" t="str">
        <f t="shared" si="1"/>
        <v>OK</v>
      </c>
      <c r="G47" s="4">
        <f t="shared" si="2"/>
        <v>6</v>
      </c>
      <c r="H47" t="s">
        <v>240</v>
      </c>
      <c r="I47" t="s">
        <v>47</v>
      </c>
      <c r="J47" t="s">
        <v>95</v>
      </c>
      <c r="K47" t="s">
        <v>38</v>
      </c>
      <c r="L47" t="str">
        <f t="shared" si="3"/>
        <v>East</v>
      </c>
      <c r="M47" t="s">
        <v>145</v>
      </c>
      <c r="N47" t="s">
        <v>146</v>
      </c>
      <c r="O47" t="s">
        <v>28</v>
      </c>
      <c r="P47" t="s">
        <v>48</v>
      </c>
      <c r="Q47" t="s">
        <v>241</v>
      </c>
      <c r="R47" t="s">
        <v>31</v>
      </c>
      <c r="S47" t="str">
        <f t="shared" si="4"/>
        <v>Second Class</v>
      </c>
      <c r="T47">
        <v>8</v>
      </c>
      <c r="U47">
        <v>3927.82</v>
      </c>
      <c r="V47">
        <v>0.05</v>
      </c>
      <c r="W47">
        <f t="shared" si="5"/>
        <v>0.05</v>
      </c>
      <c r="X47" t="str">
        <f t="shared" si="6"/>
        <v/>
      </c>
      <c r="Y47">
        <v>29851.43</v>
      </c>
      <c r="Z47">
        <f t="shared" si="7"/>
        <v>29851.432000000001</v>
      </c>
      <c r="AA47">
        <v>17487.48</v>
      </c>
      <c r="AB47">
        <v>12363.95</v>
      </c>
      <c r="AC47">
        <f t="shared" si="8"/>
        <v>25923.612000000001</v>
      </c>
      <c r="AD47" s="6">
        <f t="shared" si="9"/>
        <v>0.86842105263157898</v>
      </c>
      <c r="AE47" t="s">
        <v>111</v>
      </c>
      <c r="AF47" t="s">
        <v>103</v>
      </c>
      <c r="AG47">
        <f t="shared" si="10"/>
        <v>1</v>
      </c>
      <c r="AH47">
        <f t="shared" si="11"/>
        <v>2024</v>
      </c>
      <c r="AI47" t="str">
        <f t="shared" si="12"/>
        <v>CLEAN</v>
      </c>
    </row>
    <row r="48" spans="1:35">
      <c r="A48" t="s">
        <v>242</v>
      </c>
      <c r="B48">
        <f t="shared" si="0"/>
        <v>1</v>
      </c>
      <c r="C48" t="str">
        <f>IF(COUNTIF($A$2:A48, A48)&gt;1, "DUPLICATE_FLAGGED_FOR_REVIEW", "")</f>
        <v/>
      </c>
      <c r="D48" s="3">
        <v>45492</v>
      </c>
      <c r="E48" s="2">
        <v>45492</v>
      </c>
      <c r="F48" s="2" t="str">
        <f t="shared" si="1"/>
        <v>OK</v>
      </c>
      <c r="G48" s="4">
        <f t="shared" si="2"/>
        <v>0</v>
      </c>
      <c r="H48" t="s">
        <v>243</v>
      </c>
      <c r="I48" t="s">
        <v>62</v>
      </c>
      <c r="J48" t="s">
        <v>37</v>
      </c>
      <c r="K48" t="s">
        <v>54</v>
      </c>
      <c r="L48" t="str">
        <f t="shared" si="3"/>
        <v>South</v>
      </c>
      <c r="M48" t="s">
        <v>185</v>
      </c>
      <c r="N48" t="s">
        <v>186</v>
      </c>
      <c r="O48" t="s">
        <v>41</v>
      </c>
      <c r="P48" t="s">
        <v>158</v>
      </c>
      <c r="Q48" t="s">
        <v>244</v>
      </c>
      <c r="R48" t="s">
        <v>59</v>
      </c>
      <c r="S48" t="str">
        <f t="shared" si="4"/>
        <v>Standard Class</v>
      </c>
      <c r="T48">
        <v>9</v>
      </c>
      <c r="U48">
        <v>2386.79</v>
      </c>
      <c r="V48">
        <v>0.25</v>
      </c>
      <c r="W48">
        <f t="shared" si="5"/>
        <v>0.25</v>
      </c>
      <c r="X48" t="str">
        <f t="shared" si="6"/>
        <v/>
      </c>
      <c r="Y48">
        <v>16110.83</v>
      </c>
      <c r="Z48">
        <f t="shared" si="7"/>
        <v>16110.8325</v>
      </c>
      <c r="AA48">
        <v>10680.03</v>
      </c>
      <c r="AB48">
        <v>5430.8</v>
      </c>
      <c r="AC48">
        <f t="shared" si="8"/>
        <v>13724.0425</v>
      </c>
      <c r="AD48" s="6">
        <f t="shared" si="9"/>
        <v>0.85185185185185175</v>
      </c>
      <c r="AE48" t="s">
        <v>102</v>
      </c>
      <c r="AF48" t="s">
        <v>103</v>
      </c>
      <c r="AG48">
        <f t="shared" si="10"/>
        <v>7</v>
      </c>
      <c r="AH48">
        <f t="shared" si="11"/>
        <v>2024</v>
      </c>
      <c r="AI48" t="str">
        <f t="shared" si="12"/>
        <v>CLEAN</v>
      </c>
    </row>
    <row r="49" spans="1:35">
      <c r="A49" t="s">
        <v>245</v>
      </c>
      <c r="B49">
        <f t="shared" si="0"/>
        <v>1</v>
      </c>
      <c r="C49" t="str">
        <f>IF(COUNTIF($A$2:A49, A49)&gt;1, "DUPLICATE_FLAGGED_FOR_REVIEW", "")</f>
        <v/>
      </c>
      <c r="D49" s="3">
        <v>45516</v>
      </c>
      <c r="E49" s="2">
        <v>45516</v>
      </c>
      <c r="F49" s="2" t="str">
        <f t="shared" si="1"/>
        <v>OK</v>
      </c>
      <c r="G49" s="4">
        <f t="shared" si="2"/>
        <v>0</v>
      </c>
      <c r="H49" t="s">
        <v>246</v>
      </c>
      <c r="I49" t="s">
        <v>118</v>
      </c>
      <c r="J49" t="s">
        <v>90</v>
      </c>
      <c r="K49" t="s">
        <v>54</v>
      </c>
      <c r="L49" t="str">
        <f t="shared" si="3"/>
        <v>South</v>
      </c>
      <c r="M49" t="s">
        <v>247</v>
      </c>
      <c r="N49" t="s">
        <v>248</v>
      </c>
      <c r="O49" t="s">
        <v>28</v>
      </c>
      <c r="P49" t="s">
        <v>124</v>
      </c>
      <c r="Q49" t="s">
        <v>249</v>
      </c>
      <c r="R49" t="s">
        <v>59</v>
      </c>
      <c r="S49" t="str">
        <f t="shared" si="4"/>
        <v>Standard Class</v>
      </c>
      <c r="T49">
        <v>8</v>
      </c>
      <c r="U49">
        <v>2445.31</v>
      </c>
      <c r="V49">
        <v>0.1</v>
      </c>
      <c r="W49">
        <f t="shared" si="5"/>
        <v>0.1</v>
      </c>
      <c r="X49" t="str">
        <f t="shared" si="6"/>
        <v/>
      </c>
      <c r="Y49">
        <v>17606.23</v>
      </c>
      <c r="Z49">
        <f t="shared" si="7"/>
        <v>17606.232</v>
      </c>
      <c r="AA49">
        <v>12438.96</v>
      </c>
      <c r="AB49">
        <v>5167.2700000000004</v>
      </c>
      <c r="AC49">
        <f t="shared" si="8"/>
        <v>15160.922</v>
      </c>
      <c r="AD49" s="6">
        <f t="shared" si="9"/>
        <v>0.86111111111111116</v>
      </c>
      <c r="AE49" t="s">
        <v>32</v>
      </c>
      <c r="AF49" t="s">
        <v>33</v>
      </c>
      <c r="AG49">
        <f t="shared" si="10"/>
        <v>8</v>
      </c>
      <c r="AH49">
        <f t="shared" si="11"/>
        <v>2024</v>
      </c>
      <c r="AI49" t="str">
        <f t="shared" si="12"/>
        <v>CLEAN</v>
      </c>
    </row>
    <row r="50" spans="1:35">
      <c r="A50" t="s">
        <v>250</v>
      </c>
      <c r="B50">
        <f t="shared" si="0"/>
        <v>1</v>
      </c>
      <c r="C50" t="str">
        <f>IF(COUNTIF($A$2:A50, A50)&gt;1, "DUPLICATE_FLAGGED_FOR_REVIEW", "")</f>
        <v/>
      </c>
      <c r="D50" s="3">
        <v>45687</v>
      </c>
      <c r="E50" s="2">
        <v>45693</v>
      </c>
      <c r="F50" s="2" t="str">
        <f t="shared" si="1"/>
        <v>OK</v>
      </c>
      <c r="G50" s="4">
        <f t="shared" si="2"/>
        <v>6</v>
      </c>
      <c r="H50" t="s">
        <v>251</v>
      </c>
      <c r="I50" t="s">
        <v>79</v>
      </c>
      <c r="J50" t="s">
        <v>90</v>
      </c>
      <c r="K50" t="s">
        <v>63</v>
      </c>
      <c r="L50" t="str">
        <f t="shared" si="3"/>
        <v>West</v>
      </c>
      <c r="M50" t="s">
        <v>64</v>
      </c>
      <c r="N50" t="s">
        <v>65</v>
      </c>
      <c r="O50" t="s">
        <v>41</v>
      </c>
      <c r="P50" t="s">
        <v>66</v>
      </c>
      <c r="Q50" t="s">
        <v>252</v>
      </c>
      <c r="R50" t="s">
        <v>31</v>
      </c>
      <c r="S50" t="str">
        <f t="shared" si="4"/>
        <v>Second Class</v>
      </c>
      <c r="T50">
        <v>7</v>
      </c>
      <c r="U50">
        <v>4063.66</v>
      </c>
      <c r="V50">
        <v>0</v>
      </c>
      <c r="W50">
        <f t="shared" si="5"/>
        <v>0</v>
      </c>
      <c r="X50" t="str">
        <f t="shared" si="6"/>
        <v/>
      </c>
      <c r="Y50">
        <v>28445.62</v>
      </c>
      <c r="Z50">
        <f t="shared" si="7"/>
        <v>28445.62</v>
      </c>
      <c r="AA50">
        <v>20938.59</v>
      </c>
      <c r="AB50">
        <v>7507.03</v>
      </c>
      <c r="AC50">
        <f t="shared" si="8"/>
        <v>24381.96</v>
      </c>
      <c r="AD50" s="6">
        <f t="shared" si="9"/>
        <v>0.8571428571428571</v>
      </c>
      <c r="AE50" t="s">
        <v>32</v>
      </c>
      <c r="AF50" t="s">
        <v>33</v>
      </c>
      <c r="AG50">
        <f t="shared" si="10"/>
        <v>1</v>
      </c>
      <c r="AH50">
        <f t="shared" si="11"/>
        <v>2025</v>
      </c>
      <c r="AI50" t="str">
        <f t="shared" si="12"/>
        <v>CLEAN</v>
      </c>
    </row>
    <row r="51" spans="1:35">
      <c r="A51" t="s">
        <v>253</v>
      </c>
      <c r="B51">
        <f t="shared" si="0"/>
        <v>1</v>
      </c>
      <c r="C51" t="str">
        <f>IF(COUNTIF($A$2:A51, A51)&gt;1, "DUPLICATE_FLAGGED_FOR_REVIEW", "")</f>
        <v/>
      </c>
      <c r="D51" s="3">
        <v>45388</v>
      </c>
      <c r="E51" s="2">
        <v>45395</v>
      </c>
      <c r="F51" s="2" t="str">
        <f t="shared" si="1"/>
        <v>OK</v>
      </c>
      <c r="G51" s="4">
        <f t="shared" si="2"/>
        <v>7</v>
      </c>
      <c r="H51" t="s">
        <v>254</v>
      </c>
      <c r="I51" t="s">
        <v>128</v>
      </c>
      <c r="J51" t="s">
        <v>95</v>
      </c>
      <c r="K51" t="s">
        <v>25</v>
      </c>
      <c r="L51" t="str">
        <f t="shared" si="3"/>
        <v>North</v>
      </c>
      <c r="M51" t="s">
        <v>136</v>
      </c>
      <c r="N51" t="s">
        <v>137</v>
      </c>
      <c r="O51" t="s">
        <v>74</v>
      </c>
      <c r="P51" t="s">
        <v>80</v>
      </c>
      <c r="Q51" t="s">
        <v>255</v>
      </c>
      <c r="R51" t="s">
        <v>31</v>
      </c>
      <c r="S51" t="str">
        <f t="shared" si="4"/>
        <v>Second Class</v>
      </c>
      <c r="T51">
        <v>9</v>
      </c>
      <c r="U51">
        <v>792.11</v>
      </c>
      <c r="V51">
        <v>0.05</v>
      </c>
      <c r="W51">
        <f t="shared" si="5"/>
        <v>0.05</v>
      </c>
      <c r="X51" t="str">
        <f t="shared" si="6"/>
        <v/>
      </c>
      <c r="Y51">
        <v>6772.54</v>
      </c>
      <c r="Z51">
        <f t="shared" si="7"/>
        <v>6772.5404999999992</v>
      </c>
      <c r="AA51">
        <v>5755.46</v>
      </c>
      <c r="AB51">
        <v>1017.08</v>
      </c>
      <c r="AC51">
        <f t="shared" si="8"/>
        <v>5980.4304999999995</v>
      </c>
      <c r="AD51" s="6">
        <f t="shared" si="9"/>
        <v>0.88304093567251463</v>
      </c>
      <c r="AE51" t="s">
        <v>32</v>
      </c>
      <c r="AF51" t="s">
        <v>33</v>
      </c>
      <c r="AG51">
        <f t="shared" si="10"/>
        <v>4</v>
      </c>
      <c r="AH51">
        <f t="shared" si="11"/>
        <v>2024</v>
      </c>
      <c r="AI51" t="str">
        <f t="shared" si="12"/>
        <v>CLEAN</v>
      </c>
    </row>
    <row r="52" spans="1:35">
      <c r="A52" t="s">
        <v>256</v>
      </c>
      <c r="B52">
        <f t="shared" si="0"/>
        <v>1</v>
      </c>
      <c r="C52" t="str">
        <f>IF(COUNTIF($A$2:A52, A52)&gt;1, "DUPLICATE_FLAGGED_FOR_REVIEW", "")</f>
        <v/>
      </c>
      <c r="D52" s="3">
        <v>45966</v>
      </c>
      <c r="E52" s="2">
        <v>45796</v>
      </c>
      <c r="F52" s="2" t="str">
        <f t="shared" si="1"/>
        <v>ERROR: Ship before order</v>
      </c>
      <c r="G52" s="4">
        <f t="shared" si="2"/>
        <v>-170</v>
      </c>
      <c r="H52" t="s">
        <v>257</v>
      </c>
      <c r="I52" t="s">
        <v>132</v>
      </c>
      <c r="J52" t="s">
        <v>24</v>
      </c>
      <c r="K52" t="s">
        <v>38</v>
      </c>
      <c r="L52" t="str">
        <f t="shared" si="3"/>
        <v>East</v>
      </c>
      <c r="M52" t="s">
        <v>99</v>
      </c>
      <c r="N52" t="s">
        <v>100</v>
      </c>
      <c r="O52" t="s">
        <v>74</v>
      </c>
      <c r="P52" t="s">
        <v>80</v>
      </c>
      <c r="Q52" t="s">
        <v>258</v>
      </c>
      <c r="R52" t="s">
        <v>59</v>
      </c>
      <c r="S52" t="str">
        <f t="shared" si="4"/>
        <v>Standard Class</v>
      </c>
      <c r="T52">
        <v>1</v>
      </c>
      <c r="U52">
        <v>2382.8000000000002</v>
      </c>
      <c r="V52">
        <v>0.15</v>
      </c>
      <c r="W52">
        <f t="shared" si="5"/>
        <v>0.15</v>
      </c>
      <c r="X52" t="str">
        <f t="shared" si="6"/>
        <v/>
      </c>
      <c r="Y52">
        <v>2025.38</v>
      </c>
      <c r="Z52">
        <f t="shared" si="7"/>
        <v>2025.38</v>
      </c>
      <c r="AA52">
        <v>1140.6500000000001</v>
      </c>
      <c r="AB52">
        <v>884.73</v>
      </c>
      <c r="AC52">
        <f t="shared" si="8"/>
        <v>-357.42000000000007</v>
      </c>
      <c r="AD52" s="6">
        <f t="shared" si="9"/>
        <v>-0.17647058823529416</v>
      </c>
      <c r="AE52" t="s">
        <v>32</v>
      </c>
      <c r="AF52" t="s">
        <v>33</v>
      </c>
      <c r="AG52">
        <f t="shared" si="10"/>
        <v>11</v>
      </c>
      <c r="AH52">
        <f t="shared" si="11"/>
        <v>2025</v>
      </c>
      <c r="AI52" t="str">
        <f t="shared" si="12"/>
        <v>INVALID</v>
      </c>
    </row>
    <row r="53" spans="1:35">
      <c r="A53" t="s">
        <v>259</v>
      </c>
      <c r="B53">
        <f t="shared" si="0"/>
        <v>1</v>
      </c>
      <c r="C53" t="str">
        <f>IF(COUNTIF($A$2:A53, A53)&gt;1, "DUPLICATE_FLAGGED_FOR_REVIEW", "")</f>
        <v/>
      </c>
      <c r="D53" s="3">
        <v>45406</v>
      </c>
      <c r="E53" s="2">
        <v>45411</v>
      </c>
      <c r="F53" s="2" t="str">
        <f t="shared" si="1"/>
        <v>OK</v>
      </c>
      <c r="G53" s="4">
        <f t="shared" si="2"/>
        <v>5</v>
      </c>
      <c r="H53" t="s">
        <v>260</v>
      </c>
      <c r="I53" t="s">
        <v>62</v>
      </c>
      <c r="J53" t="s">
        <v>90</v>
      </c>
      <c r="K53" t="s">
        <v>54</v>
      </c>
      <c r="L53" t="str">
        <f t="shared" si="3"/>
        <v>South</v>
      </c>
      <c r="M53" t="s">
        <v>55</v>
      </c>
      <c r="N53" t="s">
        <v>56</v>
      </c>
      <c r="O53" t="s">
        <v>28</v>
      </c>
      <c r="P53" t="s">
        <v>48</v>
      </c>
      <c r="Q53" t="s">
        <v>261</v>
      </c>
      <c r="R53" t="s">
        <v>59</v>
      </c>
      <c r="S53" t="str">
        <f t="shared" si="4"/>
        <v>Standard Class</v>
      </c>
      <c r="T53">
        <v>6</v>
      </c>
      <c r="U53">
        <v>1528.08</v>
      </c>
      <c r="V53">
        <v>0</v>
      </c>
      <c r="W53">
        <f t="shared" si="5"/>
        <v>0</v>
      </c>
      <c r="X53" t="str">
        <f t="shared" si="6"/>
        <v/>
      </c>
      <c r="Y53">
        <v>9168.48</v>
      </c>
      <c r="Z53">
        <f t="shared" si="7"/>
        <v>9168.48</v>
      </c>
      <c r="AA53">
        <v>7439.77</v>
      </c>
      <c r="AB53">
        <v>1728.71</v>
      </c>
      <c r="AC53">
        <f t="shared" si="8"/>
        <v>7640.4</v>
      </c>
      <c r="AD53" s="6">
        <f t="shared" si="9"/>
        <v>0.83333333333333337</v>
      </c>
      <c r="AE53" t="s">
        <v>32</v>
      </c>
      <c r="AF53" t="s">
        <v>33</v>
      </c>
      <c r="AG53">
        <f t="shared" si="10"/>
        <v>4</v>
      </c>
      <c r="AH53">
        <f t="shared" si="11"/>
        <v>2024</v>
      </c>
      <c r="AI53" t="str">
        <f t="shared" si="12"/>
        <v>CLEAN</v>
      </c>
    </row>
    <row r="54" spans="1:35">
      <c r="A54" t="s">
        <v>262</v>
      </c>
      <c r="B54">
        <f t="shared" si="0"/>
        <v>1</v>
      </c>
      <c r="C54" t="str">
        <f>IF(COUNTIF($A$2:A54, A54)&gt;1, "DUPLICATE_FLAGGED_FOR_REVIEW", "")</f>
        <v/>
      </c>
      <c r="D54" s="3">
        <v>45591</v>
      </c>
      <c r="E54" s="2">
        <v>45593</v>
      </c>
      <c r="F54" s="2" t="str">
        <f t="shared" si="1"/>
        <v>OK</v>
      </c>
      <c r="G54" s="4">
        <f t="shared" si="2"/>
        <v>2</v>
      </c>
      <c r="H54" t="s">
        <v>263</v>
      </c>
      <c r="I54" t="s">
        <v>264</v>
      </c>
      <c r="J54" t="s">
        <v>37</v>
      </c>
      <c r="K54" t="s">
        <v>25</v>
      </c>
      <c r="L54" t="str">
        <f t="shared" si="3"/>
        <v>North</v>
      </c>
      <c r="M54" t="s">
        <v>26</v>
      </c>
      <c r="N54" t="s">
        <v>27</v>
      </c>
      <c r="O54" t="s">
        <v>41</v>
      </c>
      <c r="P54" t="s">
        <v>66</v>
      </c>
      <c r="Q54" t="s">
        <v>265</v>
      </c>
      <c r="R54" t="s">
        <v>50</v>
      </c>
      <c r="S54" t="str">
        <f t="shared" si="4"/>
        <v>First Class</v>
      </c>
      <c r="T54">
        <v>9</v>
      </c>
      <c r="U54">
        <v>1399.63</v>
      </c>
      <c r="V54">
        <v>0</v>
      </c>
      <c r="W54">
        <f t="shared" si="5"/>
        <v>0</v>
      </c>
      <c r="X54" t="str">
        <f t="shared" si="6"/>
        <v/>
      </c>
      <c r="Y54">
        <v>12596.67</v>
      </c>
      <c r="Z54">
        <f t="shared" si="7"/>
        <v>12596.670000000002</v>
      </c>
      <c r="AA54">
        <v>10603.29</v>
      </c>
      <c r="AB54">
        <v>1993.38</v>
      </c>
      <c r="AC54">
        <f t="shared" si="8"/>
        <v>11197.04</v>
      </c>
      <c r="AD54" s="6">
        <f t="shared" si="9"/>
        <v>0.88888888888888884</v>
      </c>
      <c r="AE54" t="s">
        <v>155</v>
      </c>
      <c r="AF54" t="s">
        <v>68</v>
      </c>
      <c r="AG54">
        <f t="shared" si="10"/>
        <v>10</v>
      </c>
      <c r="AH54">
        <f t="shared" si="11"/>
        <v>2024</v>
      </c>
      <c r="AI54" t="str">
        <f t="shared" si="12"/>
        <v>CLEAN</v>
      </c>
    </row>
    <row r="55" spans="1:35">
      <c r="A55" t="s">
        <v>266</v>
      </c>
      <c r="B55">
        <f t="shared" si="0"/>
        <v>1</v>
      </c>
      <c r="C55" t="str">
        <f>IF(COUNTIF($A$2:A55, A55)&gt;1, "DUPLICATE_FLAGGED_FOR_REVIEW", "")</f>
        <v/>
      </c>
      <c r="D55" s="3">
        <v>45747</v>
      </c>
      <c r="E55" s="2">
        <v>45747</v>
      </c>
      <c r="F55" s="2" t="str">
        <f t="shared" si="1"/>
        <v>OK</v>
      </c>
      <c r="G55" s="4">
        <f t="shared" si="2"/>
        <v>0</v>
      </c>
      <c r="H55" t="s">
        <v>267</v>
      </c>
      <c r="I55" t="s">
        <v>264</v>
      </c>
      <c r="J55" t="s">
        <v>95</v>
      </c>
      <c r="K55" t="s">
        <v>63</v>
      </c>
      <c r="L55" t="str">
        <f t="shared" si="3"/>
        <v>West</v>
      </c>
      <c r="M55" t="s">
        <v>180</v>
      </c>
      <c r="N55" t="s">
        <v>181</v>
      </c>
      <c r="O55" t="s">
        <v>28</v>
      </c>
      <c r="P55" t="s">
        <v>124</v>
      </c>
      <c r="Q55" t="s">
        <v>268</v>
      </c>
      <c r="R55" t="s">
        <v>50</v>
      </c>
      <c r="S55" t="str">
        <f t="shared" si="4"/>
        <v>First Class</v>
      </c>
      <c r="T55">
        <v>5</v>
      </c>
      <c r="U55">
        <v>1207.47</v>
      </c>
      <c r="V55">
        <v>0.15</v>
      </c>
      <c r="W55">
        <f t="shared" si="5"/>
        <v>0.15</v>
      </c>
      <c r="X55" t="str">
        <f t="shared" si="6"/>
        <v/>
      </c>
      <c r="Y55">
        <v>5131.75</v>
      </c>
      <c r="Z55">
        <f t="shared" si="7"/>
        <v>5131.7475000000004</v>
      </c>
      <c r="AA55">
        <v>2838.68</v>
      </c>
      <c r="AB55">
        <v>2293.0700000000002</v>
      </c>
      <c r="AC55">
        <f t="shared" si="8"/>
        <v>3924.2775000000001</v>
      </c>
      <c r="AD55" s="6">
        <f t="shared" si="9"/>
        <v>0.76470588235294112</v>
      </c>
      <c r="AE55" t="s">
        <v>32</v>
      </c>
      <c r="AF55" t="s">
        <v>33</v>
      </c>
      <c r="AG55">
        <f t="shared" si="10"/>
        <v>3</v>
      </c>
      <c r="AH55">
        <f t="shared" si="11"/>
        <v>2025</v>
      </c>
      <c r="AI55" t="str">
        <f t="shared" si="12"/>
        <v>CLEAN</v>
      </c>
    </row>
    <row r="56" spans="1:35">
      <c r="A56" t="s">
        <v>269</v>
      </c>
      <c r="B56">
        <f t="shared" si="0"/>
        <v>1</v>
      </c>
      <c r="C56" t="str">
        <f>IF(COUNTIF($A$2:A56, A56)&gt;1, "DUPLICATE_FLAGGED_FOR_REVIEW", "")</f>
        <v/>
      </c>
      <c r="D56" s="3">
        <v>45807</v>
      </c>
      <c r="E56" s="2">
        <v>45810</v>
      </c>
      <c r="F56" s="2" t="str">
        <f t="shared" si="1"/>
        <v>OK</v>
      </c>
      <c r="G56" s="4">
        <f t="shared" si="2"/>
        <v>3</v>
      </c>
      <c r="H56" t="s">
        <v>270</v>
      </c>
      <c r="I56" t="s">
        <v>53</v>
      </c>
      <c r="J56" t="s">
        <v>90</v>
      </c>
      <c r="K56" t="s">
        <v>54</v>
      </c>
      <c r="L56" t="str">
        <f t="shared" si="3"/>
        <v>South</v>
      </c>
      <c r="M56" t="s">
        <v>247</v>
      </c>
      <c r="N56" t="s">
        <v>248</v>
      </c>
      <c r="O56" t="s">
        <v>28</v>
      </c>
      <c r="P56" t="s">
        <v>91</v>
      </c>
      <c r="Q56" t="s">
        <v>271</v>
      </c>
      <c r="R56" t="s">
        <v>44</v>
      </c>
      <c r="S56" t="str">
        <f t="shared" si="4"/>
        <v>Same Day</v>
      </c>
      <c r="T56">
        <v>8</v>
      </c>
      <c r="U56">
        <v>474.37</v>
      </c>
      <c r="V56">
        <v>0.1</v>
      </c>
      <c r="W56">
        <f t="shared" si="5"/>
        <v>0.1</v>
      </c>
      <c r="X56" t="str">
        <f t="shared" si="6"/>
        <v/>
      </c>
      <c r="Y56">
        <v>3415.46</v>
      </c>
      <c r="Z56">
        <f t="shared" si="7"/>
        <v>3415.4639999999999</v>
      </c>
      <c r="AA56">
        <v>1993.23</v>
      </c>
      <c r="AB56">
        <v>1422.23</v>
      </c>
      <c r="AC56">
        <f t="shared" si="8"/>
        <v>2941.0940000000001</v>
      </c>
      <c r="AD56" s="6">
        <f t="shared" si="9"/>
        <v>0.86111111111111116</v>
      </c>
      <c r="AE56" t="s">
        <v>155</v>
      </c>
      <c r="AF56" t="s">
        <v>68</v>
      </c>
      <c r="AG56">
        <f t="shared" si="10"/>
        <v>5</v>
      </c>
      <c r="AH56">
        <f t="shared" si="11"/>
        <v>2025</v>
      </c>
      <c r="AI56" t="str">
        <f t="shared" si="12"/>
        <v>CLEAN</v>
      </c>
    </row>
    <row r="57" spans="1:35">
      <c r="A57" t="s">
        <v>272</v>
      </c>
      <c r="B57">
        <f t="shared" si="0"/>
        <v>1</v>
      </c>
      <c r="C57" t="str">
        <f>IF(COUNTIF($A$2:A57, A57)&gt;1, "DUPLICATE_FLAGGED_FOR_REVIEW", "")</f>
        <v/>
      </c>
      <c r="D57" s="3">
        <v>45839</v>
      </c>
      <c r="E57" s="2">
        <v>45841</v>
      </c>
      <c r="F57" s="2" t="str">
        <f t="shared" si="1"/>
        <v>OK</v>
      </c>
      <c r="G57" s="4">
        <f t="shared" si="2"/>
        <v>2</v>
      </c>
      <c r="H57" t="s">
        <v>273</v>
      </c>
      <c r="I57" t="s">
        <v>36</v>
      </c>
      <c r="J57" t="s">
        <v>37</v>
      </c>
      <c r="K57" t="s">
        <v>54</v>
      </c>
      <c r="L57" t="str">
        <f t="shared" si="3"/>
        <v>South</v>
      </c>
      <c r="M57" t="s">
        <v>84</v>
      </c>
      <c r="N57" t="s">
        <v>85</v>
      </c>
      <c r="O57" t="s">
        <v>74</v>
      </c>
      <c r="P57" t="s">
        <v>274</v>
      </c>
      <c r="Q57" t="s">
        <v>275</v>
      </c>
      <c r="R57" t="s">
        <v>44</v>
      </c>
      <c r="S57" t="str">
        <f t="shared" si="4"/>
        <v>Same Day</v>
      </c>
      <c r="T57">
        <v>3</v>
      </c>
      <c r="U57">
        <v>1516.24</v>
      </c>
      <c r="V57">
        <v>0.25</v>
      </c>
      <c r="W57">
        <f t="shared" si="5"/>
        <v>0.25</v>
      </c>
      <c r="X57" t="str">
        <f t="shared" si="6"/>
        <v/>
      </c>
      <c r="Y57">
        <v>3411.54</v>
      </c>
      <c r="Z57">
        <f t="shared" si="7"/>
        <v>3411.54</v>
      </c>
      <c r="AA57">
        <v>2803.13</v>
      </c>
      <c r="AB57">
        <v>608.41</v>
      </c>
      <c r="AC57">
        <f t="shared" si="8"/>
        <v>1895.3</v>
      </c>
      <c r="AD57" s="6">
        <f t="shared" si="9"/>
        <v>0.55555555555555558</v>
      </c>
      <c r="AE57" t="s">
        <v>32</v>
      </c>
      <c r="AF57" t="s">
        <v>33</v>
      </c>
      <c r="AG57">
        <f t="shared" si="10"/>
        <v>7</v>
      </c>
      <c r="AH57">
        <f t="shared" si="11"/>
        <v>2025</v>
      </c>
      <c r="AI57" t="str">
        <f t="shared" si="12"/>
        <v>CLEAN</v>
      </c>
    </row>
    <row r="58" spans="1:35">
      <c r="A58" t="s">
        <v>276</v>
      </c>
      <c r="B58">
        <f t="shared" si="0"/>
        <v>1</v>
      </c>
      <c r="C58" t="str">
        <f>IF(COUNTIF($A$2:A58, A58)&gt;1, "DUPLICATE_FLAGGED_FOR_REVIEW", "")</f>
        <v/>
      </c>
      <c r="D58" s="3">
        <v>45662</v>
      </c>
      <c r="E58" s="2">
        <v>45663</v>
      </c>
      <c r="F58" s="2" t="str">
        <f t="shared" si="1"/>
        <v>OK</v>
      </c>
      <c r="G58" s="4">
        <f t="shared" si="2"/>
        <v>1</v>
      </c>
      <c r="H58" t="s">
        <v>277</v>
      </c>
      <c r="I58" t="s">
        <v>23</v>
      </c>
      <c r="J58" t="s">
        <v>24</v>
      </c>
      <c r="K58" t="s">
        <v>54</v>
      </c>
      <c r="L58" t="str">
        <f t="shared" si="3"/>
        <v>South</v>
      </c>
      <c r="M58" t="s">
        <v>175</v>
      </c>
      <c r="N58" t="s">
        <v>176</v>
      </c>
      <c r="O58" t="s">
        <v>28</v>
      </c>
      <c r="P58" t="s">
        <v>153</v>
      </c>
      <c r="Q58" t="s">
        <v>278</v>
      </c>
      <c r="R58" t="s">
        <v>31</v>
      </c>
      <c r="S58" t="str">
        <f t="shared" si="4"/>
        <v>Second Class</v>
      </c>
      <c r="T58">
        <v>3</v>
      </c>
      <c r="U58">
        <v>3155.61</v>
      </c>
      <c r="V58">
        <v>0</v>
      </c>
      <c r="W58">
        <f t="shared" si="5"/>
        <v>0</v>
      </c>
      <c r="X58" t="str">
        <f t="shared" si="6"/>
        <v/>
      </c>
      <c r="Y58">
        <v>9466.83</v>
      </c>
      <c r="Z58">
        <f t="shared" si="7"/>
        <v>9466.83</v>
      </c>
      <c r="AA58">
        <v>6557.83</v>
      </c>
      <c r="AB58">
        <v>2909</v>
      </c>
      <c r="AC58">
        <f t="shared" si="8"/>
        <v>6311.2199999999993</v>
      </c>
      <c r="AD58" s="6">
        <f t="shared" si="9"/>
        <v>0.66666666666666663</v>
      </c>
      <c r="AE58" t="s">
        <v>102</v>
      </c>
      <c r="AF58" t="s">
        <v>68</v>
      </c>
      <c r="AG58">
        <f t="shared" si="10"/>
        <v>1</v>
      </c>
      <c r="AH58">
        <f t="shared" si="11"/>
        <v>2025</v>
      </c>
      <c r="AI58" t="str">
        <f t="shared" si="12"/>
        <v>CLEAN</v>
      </c>
    </row>
    <row r="59" spans="1:35">
      <c r="A59" t="s">
        <v>279</v>
      </c>
      <c r="B59">
        <f t="shared" si="0"/>
        <v>1</v>
      </c>
      <c r="C59" t="str">
        <f>IF(COUNTIF($A$2:A59, A59)&gt;1, "DUPLICATE_FLAGGED_FOR_REVIEW", "")</f>
        <v/>
      </c>
      <c r="D59" s="3">
        <v>45329</v>
      </c>
      <c r="E59" s="2">
        <v>45337</v>
      </c>
      <c r="F59" s="2" t="str">
        <f t="shared" si="1"/>
        <v>OK</v>
      </c>
      <c r="G59" s="4">
        <f t="shared" si="2"/>
        <v>8</v>
      </c>
      <c r="H59" t="s">
        <v>280</v>
      </c>
      <c r="I59" t="s">
        <v>114</v>
      </c>
      <c r="J59" t="s">
        <v>24</v>
      </c>
      <c r="K59" t="s">
        <v>63</v>
      </c>
      <c r="L59" t="str">
        <f t="shared" si="3"/>
        <v>West</v>
      </c>
      <c r="M59" t="s">
        <v>190</v>
      </c>
      <c r="N59" t="s">
        <v>191</v>
      </c>
      <c r="O59" t="s">
        <v>41</v>
      </c>
      <c r="P59" t="s">
        <v>66</v>
      </c>
      <c r="Q59" t="s">
        <v>281</v>
      </c>
      <c r="R59" t="s">
        <v>44</v>
      </c>
      <c r="S59" t="str">
        <f t="shared" si="4"/>
        <v>Same Day</v>
      </c>
      <c r="T59">
        <v>5</v>
      </c>
      <c r="U59">
        <v>255.87</v>
      </c>
      <c r="V59">
        <v>0</v>
      </c>
      <c r="W59">
        <f t="shared" si="5"/>
        <v>0</v>
      </c>
      <c r="X59" t="str">
        <f t="shared" si="6"/>
        <v/>
      </c>
      <c r="Y59">
        <v>1279.3499999999999</v>
      </c>
      <c r="Z59">
        <f t="shared" si="7"/>
        <v>1279.3499999999999</v>
      </c>
      <c r="AA59">
        <v>1091.54</v>
      </c>
      <c r="AB59">
        <v>187.81</v>
      </c>
      <c r="AC59">
        <f t="shared" si="8"/>
        <v>1023.4799999999999</v>
      </c>
      <c r="AD59" s="6">
        <f t="shared" si="9"/>
        <v>0.79999999999999993</v>
      </c>
      <c r="AE59" t="s">
        <v>32</v>
      </c>
      <c r="AF59" t="s">
        <v>33</v>
      </c>
      <c r="AG59">
        <f t="shared" si="10"/>
        <v>2</v>
      </c>
      <c r="AH59">
        <f t="shared" si="11"/>
        <v>2024</v>
      </c>
      <c r="AI59" t="str">
        <f t="shared" si="12"/>
        <v>CLEAN</v>
      </c>
    </row>
    <row r="60" spans="1:35">
      <c r="A60" t="s">
        <v>282</v>
      </c>
      <c r="B60">
        <f t="shared" si="0"/>
        <v>1</v>
      </c>
      <c r="C60" t="str">
        <f>IF(COUNTIF($A$2:A60, A60)&gt;1, "DUPLICATE_FLAGGED_FOR_REVIEW", "")</f>
        <v/>
      </c>
      <c r="D60" s="3">
        <v>45536</v>
      </c>
      <c r="E60" s="2">
        <v>45542</v>
      </c>
      <c r="F60" s="2" t="str">
        <f t="shared" si="1"/>
        <v>OK</v>
      </c>
      <c r="G60" s="4">
        <f t="shared" si="2"/>
        <v>6</v>
      </c>
      <c r="H60" t="s">
        <v>283</v>
      </c>
      <c r="I60" t="s">
        <v>47</v>
      </c>
      <c r="J60" t="s">
        <v>95</v>
      </c>
      <c r="K60" t="s">
        <v>25</v>
      </c>
      <c r="L60" t="str">
        <f t="shared" si="3"/>
        <v>North</v>
      </c>
      <c r="M60" t="s">
        <v>26</v>
      </c>
      <c r="N60" t="s">
        <v>27</v>
      </c>
      <c r="O60" t="s">
        <v>28</v>
      </c>
      <c r="P60" t="s">
        <v>124</v>
      </c>
      <c r="Q60" t="s">
        <v>284</v>
      </c>
      <c r="R60" t="s">
        <v>2760</v>
      </c>
      <c r="S60" t="str">
        <f t="shared" si="4"/>
        <v>Unknown</v>
      </c>
      <c r="T60">
        <v>9</v>
      </c>
      <c r="U60">
        <v>1389.48</v>
      </c>
      <c r="V60">
        <v>0.1</v>
      </c>
      <c r="W60">
        <f t="shared" si="5"/>
        <v>0.1</v>
      </c>
      <c r="X60" t="str">
        <f t="shared" si="6"/>
        <v/>
      </c>
      <c r="Y60">
        <v>11254.79</v>
      </c>
      <c r="Z60">
        <f t="shared" si="7"/>
        <v>11254.788</v>
      </c>
      <c r="AA60">
        <v>6578.06</v>
      </c>
      <c r="AB60">
        <v>4676.7299999999996</v>
      </c>
      <c r="AC60">
        <f t="shared" si="8"/>
        <v>9865.3080000000009</v>
      </c>
      <c r="AD60" s="6">
        <f t="shared" si="9"/>
        <v>0.87654320987654322</v>
      </c>
      <c r="AE60" t="s">
        <v>111</v>
      </c>
      <c r="AF60" t="s">
        <v>103</v>
      </c>
      <c r="AG60">
        <f t="shared" si="10"/>
        <v>9</v>
      </c>
      <c r="AH60">
        <f t="shared" si="11"/>
        <v>2024</v>
      </c>
      <c r="AI60" t="str">
        <f t="shared" si="12"/>
        <v>WARNING</v>
      </c>
    </row>
    <row r="61" spans="1:35">
      <c r="A61" t="s">
        <v>285</v>
      </c>
      <c r="B61">
        <f t="shared" si="0"/>
        <v>1</v>
      </c>
      <c r="C61" t="str">
        <f>IF(COUNTIF($A$2:A61, A61)&gt;1, "DUPLICATE_FLAGGED_FOR_REVIEW", "")</f>
        <v/>
      </c>
      <c r="D61" s="3">
        <v>45493</v>
      </c>
      <c r="E61" s="2">
        <v>45498</v>
      </c>
      <c r="F61" s="2" t="str">
        <f t="shared" si="1"/>
        <v>OK</v>
      </c>
      <c r="G61" s="4">
        <f t="shared" si="2"/>
        <v>5</v>
      </c>
      <c r="H61" t="s">
        <v>286</v>
      </c>
      <c r="I61" t="s">
        <v>114</v>
      </c>
      <c r="J61" t="s">
        <v>90</v>
      </c>
      <c r="K61" t="s">
        <v>38</v>
      </c>
      <c r="L61" t="str">
        <f t="shared" si="3"/>
        <v>East</v>
      </c>
      <c r="M61" t="s">
        <v>166</v>
      </c>
      <c r="N61" t="s">
        <v>167</v>
      </c>
      <c r="O61" t="s">
        <v>28</v>
      </c>
      <c r="P61" t="s">
        <v>91</v>
      </c>
      <c r="Q61" t="s">
        <v>287</v>
      </c>
      <c r="R61" t="s">
        <v>44</v>
      </c>
      <c r="S61" t="str">
        <f t="shared" si="4"/>
        <v>Same Day</v>
      </c>
      <c r="T61">
        <v>5</v>
      </c>
      <c r="U61">
        <v>4133.8500000000004</v>
      </c>
      <c r="V61">
        <v>0.2</v>
      </c>
      <c r="W61">
        <f t="shared" si="5"/>
        <v>0.2</v>
      </c>
      <c r="X61" t="str">
        <f t="shared" si="6"/>
        <v/>
      </c>
      <c r="Y61">
        <v>16535.400000000001</v>
      </c>
      <c r="Z61">
        <f t="shared" si="7"/>
        <v>16535.400000000001</v>
      </c>
      <c r="AA61">
        <v>12990.21</v>
      </c>
      <c r="AB61">
        <v>3545.19</v>
      </c>
      <c r="AC61">
        <f t="shared" si="8"/>
        <v>12401.550000000001</v>
      </c>
      <c r="AD61" s="6">
        <f t="shared" si="9"/>
        <v>0.75</v>
      </c>
      <c r="AE61" t="s">
        <v>32</v>
      </c>
      <c r="AF61" t="s">
        <v>68</v>
      </c>
      <c r="AG61">
        <f t="shared" si="10"/>
        <v>7</v>
      </c>
      <c r="AH61">
        <f t="shared" si="11"/>
        <v>2024</v>
      </c>
      <c r="AI61" t="str">
        <f t="shared" si="12"/>
        <v>CLEAN</v>
      </c>
    </row>
    <row r="62" spans="1:35">
      <c r="A62" t="s">
        <v>288</v>
      </c>
      <c r="B62">
        <f t="shared" si="0"/>
        <v>1</v>
      </c>
      <c r="C62" t="str">
        <f>IF(COUNTIF($A$2:A62, A62)&gt;1, "DUPLICATE_FLAGGED_FOR_REVIEW", "")</f>
        <v/>
      </c>
      <c r="D62" s="3">
        <v>45486</v>
      </c>
      <c r="E62" s="2">
        <v>45492</v>
      </c>
      <c r="F62" s="2" t="str">
        <f t="shared" si="1"/>
        <v>OK</v>
      </c>
      <c r="G62" s="4">
        <f t="shared" si="2"/>
        <v>6</v>
      </c>
      <c r="H62" t="s">
        <v>289</v>
      </c>
      <c r="I62" t="s">
        <v>62</v>
      </c>
      <c r="J62" t="s">
        <v>90</v>
      </c>
      <c r="K62" t="s">
        <v>38</v>
      </c>
      <c r="L62" t="str">
        <f t="shared" si="3"/>
        <v>East</v>
      </c>
      <c r="M62" t="s">
        <v>166</v>
      </c>
      <c r="N62" t="s">
        <v>167</v>
      </c>
      <c r="O62" t="s">
        <v>28</v>
      </c>
      <c r="P62" t="s">
        <v>91</v>
      </c>
      <c r="Q62" t="s">
        <v>290</v>
      </c>
      <c r="R62" t="s">
        <v>44</v>
      </c>
      <c r="S62" t="str">
        <f t="shared" si="4"/>
        <v>Same Day</v>
      </c>
      <c r="T62">
        <v>3</v>
      </c>
      <c r="U62">
        <v>275.76</v>
      </c>
      <c r="V62">
        <v>0.2</v>
      </c>
      <c r="W62">
        <f t="shared" si="5"/>
        <v>0.2</v>
      </c>
      <c r="X62" t="str">
        <f t="shared" si="6"/>
        <v/>
      </c>
      <c r="Y62">
        <v>661.82</v>
      </c>
      <c r="Z62">
        <f t="shared" si="7"/>
        <v>661.82400000000007</v>
      </c>
      <c r="AA62">
        <v>481.47</v>
      </c>
      <c r="AB62">
        <v>180.35</v>
      </c>
      <c r="AC62">
        <f t="shared" si="8"/>
        <v>386.06400000000008</v>
      </c>
      <c r="AD62" s="6">
        <f t="shared" si="9"/>
        <v>0.58333333333333337</v>
      </c>
      <c r="AE62" t="s">
        <v>102</v>
      </c>
      <c r="AF62" t="s">
        <v>68</v>
      </c>
      <c r="AG62">
        <f t="shared" si="10"/>
        <v>7</v>
      </c>
      <c r="AH62">
        <f t="shared" si="11"/>
        <v>2024</v>
      </c>
      <c r="AI62" t="str">
        <f t="shared" si="12"/>
        <v>CLEAN</v>
      </c>
    </row>
    <row r="63" spans="1:35">
      <c r="A63" t="s">
        <v>291</v>
      </c>
      <c r="B63">
        <f t="shared" si="0"/>
        <v>1</v>
      </c>
      <c r="C63" t="str">
        <f>IF(COUNTIF($A$2:A63, A63)&gt;1, "DUPLICATE_FLAGGED_FOR_REVIEW", "")</f>
        <v/>
      </c>
      <c r="D63" s="3">
        <v>45398</v>
      </c>
      <c r="E63" s="2">
        <v>45398</v>
      </c>
      <c r="F63" s="2" t="str">
        <f t="shared" si="1"/>
        <v>OK</v>
      </c>
      <c r="G63" s="4">
        <f t="shared" si="2"/>
        <v>0</v>
      </c>
      <c r="H63" t="s">
        <v>292</v>
      </c>
      <c r="I63" t="s">
        <v>71</v>
      </c>
      <c r="J63" t="s">
        <v>95</v>
      </c>
      <c r="K63" t="s">
        <v>38</v>
      </c>
      <c r="L63" t="str">
        <f t="shared" si="3"/>
        <v>East</v>
      </c>
      <c r="M63" t="s">
        <v>145</v>
      </c>
      <c r="N63" t="s">
        <v>146</v>
      </c>
      <c r="O63" t="s">
        <v>41</v>
      </c>
      <c r="P63" t="s">
        <v>158</v>
      </c>
      <c r="Q63" t="s">
        <v>293</v>
      </c>
      <c r="R63" t="s">
        <v>59</v>
      </c>
      <c r="S63" t="str">
        <f t="shared" si="4"/>
        <v>Standard Class</v>
      </c>
      <c r="T63">
        <v>1</v>
      </c>
      <c r="U63">
        <v>949.59</v>
      </c>
      <c r="V63">
        <v>0</v>
      </c>
      <c r="W63">
        <f t="shared" si="5"/>
        <v>0</v>
      </c>
      <c r="X63" t="str">
        <f t="shared" si="6"/>
        <v/>
      </c>
      <c r="Y63">
        <v>949.59</v>
      </c>
      <c r="Z63">
        <f t="shared" si="7"/>
        <v>949.59</v>
      </c>
      <c r="AA63">
        <v>751.25</v>
      </c>
      <c r="AB63">
        <v>198.34</v>
      </c>
      <c r="AC63">
        <f t="shared" si="8"/>
        <v>0</v>
      </c>
      <c r="AD63" s="6">
        <f t="shared" si="9"/>
        <v>0</v>
      </c>
      <c r="AE63" t="s">
        <v>32</v>
      </c>
      <c r="AF63" t="s">
        <v>33</v>
      </c>
      <c r="AG63">
        <f t="shared" si="10"/>
        <v>4</v>
      </c>
      <c r="AH63">
        <f t="shared" si="11"/>
        <v>2024</v>
      </c>
      <c r="AI63" t="str">
        <f t="shared" si="12"/>
        <v>CLEAN</v>
      </c>
    </row>
    <row r="64" spans="1:35">
      <c r="A64" t="s">
        <v>294</v>
      </c>
      <c r="B64">
        <f t="shared" si="0"/>
        <v>1</v>
      </c>
      <c r="C64" t="str">
        <f>IF(COUNTIF($A$2:A64, A64)&gt;1, "DUPLICATE_FLAGGED_FOR_REVIEW", "")</f>
        <v/>
      </c>
      <c r="D64" s="3">
        <v>45595</v>
      </c>
      <c r="E64" s="2">
        <v>45598</v>
      </c>
      <c r="F64" s="2" t="str">
        <f t="shared" si="1"/>
        <v>OK</v>
      </c>
      <c r="G64" s="4">
        <f t="shared" si="2"/>
        <v>3</v>
      </c>
      <c r="H64" t="s">
        <v>295</v>
      </c>
      <c r="I64" t="s">
        <v>132</v>
      </c>
      <c r="J64" t="s">
        <v>95</v>
      </c>
      <c r="K64" t="s">
        <v>25</v>
      </c>
      <c r="L64" t="str">
        <f t="shared" si="3"/>
        <v>North</v>
      </c>
      <c r="M64" t="s">
        <v>26</v>
      </c>
      <c r="N64" t="s">
        <v>27</v>
      </c>
      <c r="O64" t="s">
        <v>74</v>
      </c>
      <c r="P64" t="s">
        <v>171</v>
      </c>
      <c r="Q64" t="s">
        <v>296</v>
      </c>
      <c r="R64" t="s">
        <v>59</v>
      </c>
      <c r="S64" t="str">
        <f t="shared" si="4"/>
        <v>Standard Class</v>
      </c>
      <c r="T64">
        <v>9</v>
      </c>
      <c r="U64">
        <v>3042.29</v>
      </c>
      <c r="V64">
        <v>0.2</v>
      </c>
      <c r="W64">
        <f t="shared" si="5"/>
        <v>0.2</v>
      </c>
      <c r="X64" t="str">
        <f t="shared" si="6"/>
        <v/>
      </c>
      <c r="Y64">
        <v>21904.49</v>
      </c>
      <c r="Z64">
        <f t="shared" si="7"/>
        <v>21904.488000000001</v>
      </c>
      <c r="AA64">
        <v>13570.55</v>
      </c>
      <c r="AB64">
        <v>8333.94</v>
      </c>
      <c r="AC64">
        <f t="shared" si="8"/>
        <v>18862.198</v>
      </c>
      <c r="AD64" s="6">
        <f t="shared" si="9"/>
        <v>0.86111111111111105</v>
      </c>
      <c r="AE64" t="s">
        <v>32</v>
      </c>
      <c r="AF64" t="s">
        <v>33</v>
      </c>
      <c r="AG64">
        <f t="shared" si="10"/>
        <v>10</v>
      </c>
      <c r="AH64">
        <f t="shared" si="11"/>
        <v>2024</v>
      </c>
      <c r="AI64" t="str">
        <f t="shared" si="12"/>
        <v>CLEAN</v>
      </c>
    </row>
    <row r="65" spans="1:35">
      <c r="A65" t="s">
        <v>297</v>
      </c>
      <c r="B65">
        <f t="shared" si="0"/>
        <v>1</v>
      </c>
      <c r="C65" t="str">
        <f>IF(COUNTIF($A$2:A65, A65)&gt;1, "DUPLICATE_FLAGGED_FOR_REVIEW", "")</f>
        <v/>
      </c>
      <c r="D65" s="3">
        <v>45316</v>
      </c>
      <c r="E65" s="2">
        <v>45323</v>
      </c>
      <c r="F65" s="2" t="str">
        <f t="shared" si="1"/>
        <v>OK</v>
      </c>
      <c r="G65" s="4">
        <f t="shared" si="2"/>
        <v>7</v>
      </c>
      <c r="H65" t="s">
        <v>298</v>
      </c>
      <c r="I65" t="s">
        <v>132</v>
      </c>
      <c r="J65" t="s">
        <v>95</v>
      </c>
      <c r="K65" t="s">
        <v>25</v>
      </c>
      <c r="L65" t="str">
        <f t="shared" si="3"/>
        <v>North</v>
      </c>
      <c r="M65" t="s">
        <v>236</v>
      </c>
      <c r="N65" t="s">
        <v>237</v>
      </c>
      <c r="O65" t="s">
        <v>28</v>
      </c>
      <c r="P65" t="s">
        <v>153</v>
      </c>
      <c r="Q65" t="s">
        <v>299</v>
      </c>
      <c r="R65" t="s">
        <v>44</v>
      </c>
      <c r="S65" t="str">
        <f t="shared" si="4"/>
        <v>Same Day</v>
      </c>
      <c r="T65">
        <v>2</v>
      </c>
      <c r="U65">
        <v>2832.77</v>
      </c>
      <c r="V65">
        <v>0.15</v>
      </c>
      <c r="W65">
        <f t="shared" si="5"/>
        <v>0.15</v>
      </c>
      <c r="X65" t="str">
        <f t="shared" si="6"/>
        <v/>
      </c>
      <c r="Y65">
        <v>4815.71</v>
      </c>
      <c r="Z65">
        <f t="shared" si="7"/>
        <v>4815.7089999999998</v>
      </c>
      <c r="AA65">
        <v>3027.75</v>
      </c>
      <c r="AB65">
        <v>1917.47</v>
      </c>
      <c r="AC65">
        <f t="shared" si="8"/>
        <v>1982.9389999999999</v>
      </c>
      <c r="AD65" s="6">
        <f t="shared" si="9"/>
        <v>0.41176470588235292</v>
      </c>
      <c r="AE65" t="s">
        <v>32</v>
      </c>
      <c r="AF65" t="s">
        <v>33</v>
      </c>
      <c r="AG65">
        <f t="shared" si="10"/>
        <v>1</v>
      </c>
      <c r="AH65">
        <f t="shared" si="11"/>
        <v>2024</v>
      </c>
      <c r="AI65" t="str">
        <f t="shared" si="12"/>
        <v>CLEAN</v>
      </c>
    </row>
    <row r="66" spans="1:35">
      <c r="A66" t="s">
        <v>300</v>
      </c>
      <c r="B66">
        <f t="shared" si="0"/>
        <v>1</v>
      </c>
      <c r="C66" t="str">
        <f>IF(COUNTIF($A$2:A66, A66)&gt;1, "DUPLICATE_FLAGGED_FOR_REVIEW", "")</f>
        <v/>
      </c>
      <c r="D66" s="3">
        <v>45649</v>
      </c>
      <c r="E66" s="2">
        <v>45655</v>
      </c>
      <c r="F66" s="2" t="str">
        <f t="shared" si="1"/>
        <v>OK</v>
      </c>
      <c r="G66" s="4">
        <f t="shared" si="2"/>
        <v>6</v>
      </c>
      <c r="H66" t="s">
        <v>301</v>
      </c>
      <c r="I66" t="s">
        <v>128</v>
      </c>
      <c r="J66" t="s">
        <v>90</v>
      </c>
      <c r="K66" t="s">
        <v>38</v>
      </c>
      <c r="L66" t="str">
        <f t="shared" si="3"/>
        <v>East</v>
      </c>
      <c r="M66" t="s">
        <v>228</v>
      </c>
      <c r="N66" t="s">
        <v>229</v>
      </c>
      <c r="O66" t="s">
        <v>28</v>
      </c>
      <c r="P66" t="s">
        <v>29</v>
      </c>
      <c r="Q66" t="s">
        <v>302</v>
      </c>
      <c r="R66" t="s">
        <v>50</v>
      </c>
      <c r="S66" t="str">
        <f t="shared" si="4"/>
        <v>First Class</v>
      </c>
      <c r="T66">
        <v>7</v>
      </c>
      <c r="U66">
        <v>447.84</v>
      </c>
      <c r="V66">
        <v>0</v>
      </c>
      <c r="W66">
        <f t="shared" si="5"/>
        <v>0</v>
      </c>
      <c r="X66" t="str">
        <f t="shared" si="6"/>
        <v/>
      </c>
      <c r="Y66">
        <v>3134.88</v>
      </c>
      <c r="Z66">
        <f t="shared" si="7"/>
        <v>3134.8799999999997</v>
      </c>
      <c r="AA66">
        <v>2367.63</v>
      </c>
      <c r="AB66">
        <v>767.25</v>
      </c>
      <c r="AC66">
        <f t="shared" si="8"/>
        <v>2687.0399999999995</v>
      </c>
      <c r="AD66" s="6">
        <f t="shared" si="9"/>
        <v>0.8571428571428571</v>
      </c>
      <c r="AE66" t="s">
        <v>102</v>
      </c>
      <c r="AF66" t="s">
        <v>103</v>
      </c>
      <c r="AG66">
        <f t="shared" si="10"/>
        <v>12</v>
      </c>
      <c r="AH66">
        <f t="shared" si="11"/>
        <v>2024</v>
      </c>
      <c r="AI66" t="str">
        <f t="shared" si="12"/>
        <v>CLEAN</v>
      </c>
    </row>
    <row r="67" spans="1:35">
      <c r="A67" t="s">
        <v>303</v>
      </c>
      <c r="B67">
        <f t="shared" ref="B67:B130" si="13">COUNTIF($A$2:$A$932, A67)</f>
        <v>1</v>
      </c>
      <c r="C67" t="str">
        <f>IF(COUNTIF($A$2:A67, A67)&gt;1, "DUPLICATE_FLAGGED_FOR_REVIEW", "")</f>
        <v/>
      </c>
      <c r="D67" s="3">
        <v>45404</v>
      </c>
      <c r="E67" s="2">
        <v>45409</v>
      </c>
      <c r="F67" s="2" t="str">
        <f t="shared" ref="F67:F130" si="14">IF(E67&lt;D67, "ERROR: Ship before order", "OK")</f>
        <v>OK</v>
      </c>
      <c r="G67" s="4">
        <f t="shared" ref="G67:G130" si="15">IF(AND(ISNUMBER(E67),ISNUMBER(D67)), E67-D67, "")</f>
        <v>5</v>
      </c>
      <c r="H67" t="s">
        <v>304</v>
      </c>
      <c r="I67" t="s">
        <v>36</v>
      </c>
      <c r="J67" t="s">
        <v>95</v>
      </c>
      <c r="K67" t="s">
        <v>63</v>
      </c>
      <c r="L67" t="str">
        <f t="shared" ref="L67:L130" si="16">IF(OR(K67="",ISBLANK(K67)), "Unknown", K67)</f>
        <v>West</v>
      </c>
      <c r="M67" t="s">
        <v>64</v>
      </c>
      <c r="N67" t="s">
        <v>65</v>
      </c>
      <c r="O67" t="s">
        <v>28</v>
      </c>
      <c r="P67" t="s">
        <v>29</v>
      </c>
      <c r="Q67" t="s">
        <v>305</v>
      </c>
      <c r="R67" t="s">
        <v>31</v>
      </c>
      <c r="S67" t="str">
        <f t="shared" ref="S67:S130" si="17">IF(OR(R67="",ISBLANK(R67)), "Unknown", R67)</f>
        <v>Second Class</v>
      </c>
      <c r="T67">
        <v>1</v>
      </c>
      <c r="U67">
        <v>4280.1899999999996</v>
      </c>
      <c r="V67">
        <v>0.05</v>
      </c>
      <c r="W67">
        <f t="shared" ref="W67:W130" si="18">IF(ISBLANK(V67), IF(AND(ISNUMBER(T67), ISNUMBER(U67)), 0, ""), IF(V67&lt;0, V67, IF(V67&gt;0.5, V67, V67)))</f>
        <v>0.05</v>
      </c>
      <c r="X67" t="str">
        <f t="shared" ref="X67:X130" si="19">IF(V67&lt;0,"INVALID_NEGATIVE_DISCOUNT",IF(V67&gt;0.5,"INVALID_DISCOUNT_ABOVE_50PCT",IF(AND(ISBLANK(V67), ISNUMBER(T67), ISNUMBER(U67)),"DISCOUNT_MISSING_SET_TO_0","")))</f>
        <v/>
      </c>
      <c r="Y67">
        <v>4066.18</v>
      </c>
      <c r="Z67">
        <f t="shared" ref="Z67:Z130" si="20">T67 * U67 * (1 - W67)</f>
        <v>4066.1804999999995</v>
      </c>
      <c r="AA67">
        <v>2628.92</v>
      </c>
      <c r="AB67">
        <v>1437.26</v>
      </c>
      <c r="AC67">
        <f t="shared" ref="AC67:AC130" si="21">Z67-U67</f>
        <v>-214.00950000000012</v>
      </c>
      <c r="AD67" s="6">
        <f t="shared" ref="AD67:AD130" si="22">IF(Z67&lt;&gt;0, AC67 / Z67, 0)</f>
        <v>-5.263157894736846E-2</v>
      </c>
      <c r="AE67" t="s">
        <v>32</v>
      </c>
      <c r="AF67" t="s">
        <v>33</v>
      </c>
      <c r="AG67">
        <f t="shared" ref="AG67:AG130" si="23">MONTH(D67)</f>
        <v>4</v>
      </c>
      <c r="AH67">
        <f t="shared" ref="AH67:AH130" si="24">YEAR(D67)</f>
        <v>2024</v>
      </c>
      <c r="AI67" t="str">
        <f t="shared" ref="AI67:AI130" si="25">IF(OR(X67="INVALID_NEGATIVE_DISCOUNT",X67="INVALID_DISCOUNT_ABOVE_50PCT",F67="ERROR: Ship before order"),"INVALID",IF(OR(L67="Unknown",S67="Unknown",X67="DISCOUNT_MISSING_SET_TO_0"),"WARNING","CLEAN"))</f>
        <v>CLEAN</v>
      </c>
    </row>
    <row r="68" spans="1:35">
      <c r="A68" t="s">
        <v>306</v>
      </c>
      <c r="B68">
        <f t="shared" si="13"/>
        <v>1</v>
      </c>
      <c r="C68" t="str">
        <f>IF(COUNTIF($A$2:A68, A68)&gt;1, "DUPLICATE_FLAGGED_FOR_REVIEW", "")</f>
        <v/>
      </c>
      <c r="D68" s="3">
        <v>45897</v>
      </c>
      <c r="E68" s="2">
        <v>45901</v>
      </c>
      <c r="F68" s="2" t="str">
        <f t="shared" si="14"/>
        <v>OK</v>
      </c>
      <c r="G68" s="4">
        <f t="shared" si="15"/>
        <v>4</v>
      </c>
      <c r="H68" t="s">
        <v>307</v>
      </c>
      <c r="I68" t="s">
        <v>23</v>
      </c>
      <c r="J68" t="s">
        <v>37</v>
      </c>
      <c r="K68" t="s">
        <v>54</v>
      </c>
      <c r="L68" t="str">
        <f t="shared" si="16"/>
        <v>South</v>
      </c>
      <c r="M68" t="s">
        <v>247</v>
      </c>
      <c r="N68" t="s">
        <v>248</v>
      </c>
      <c r="O68" t="s">
        <v>74</v>
      </c>
      <c r="P68" t="s">
        <v>75</v>
      </c>
      <c r="Q68" t="s">
        <v>308</v>
      </c>
      <c r="R68" t="s">
        <v>44</v>
      </c>
      <c r="S68" t="str">
        <f t="shared" si="17"/>
        <v>Same Day</v>
      </c>
      <c r="T68">
        <v>7</v>
      </c>
      <c r="U68">
        <v>1057.46</v>
      </c>
      <c r="V68">
        <v>0.05</v>
      </c>
      <c r="W68">
        <f t="shared" si="18"/>
        <v>0.05</v>
      </c>
      <c r="X68" t="str">
        <f t="shared" si="19"/>
        <v/>
      </c>
      <c r="Y68">
        <v>7032.11</v>
      </c>
      <c r="Z68">
        <f t="shared" si="20"/>
        <v>7032.1089999999995</v>
      </c>
      <c r="AA68">
        <v>4610.34</v>
      </c>
      <c r="AB68">
        <v>2421.77</v>
      </c>
      <c r="AC68">
        <f t="shared" si="21"/>
        <v>5974.6489999999994</v>
      </c>
      <c r="AD68" s="6">
        <f t="shared" si="22"/>
        <v>0.84962406015037595</v>
      </c>
      <c r="AE68" t="s">
        <v>32</v>
      </c>
      <c r="AF68" t="s">
        <v>33</v>
      </c>
      <c r="AG68">
        <f t="shared" si="23"/>
        <v>8</v>
      </c>
      <c r="AH68">
        <f t="shared" si="24"/>
        <v>2025</v>
      </c>
      <c r="AI68" t="str">
        <f t="shared" si="25"/>
        <v>CLEAN</v>
      </c>
    </row>
    <row r="69" spans="1:35">
      <c r="A69" t="s">
        <v>309</v>
      </c>
      <c r="B69">
        <f t="shared" si="13"/>
        <v>1</v>
      </c>
      <c r="C69" t="str">
        <f>IF(COUNTIF($A$2:A69, A69)&gt;1, "DUPLICATE_FLAGGED_FOR_REVIEW", "")</f>
        <v/>
      </c>
      <c r="D69" s="3">
        <v>45691</v>
      </c>
      <c r="E69" s="2">
        <v>45695</v>
      </c>
      <c r="F69" s="2" t="str">
        <f t="shared" si="14"/>
        <v>OK</v>
      </c>
      <c r="G69" s="4">
        <f t="shared" si="15"/>
        <v>4</v>
      </c>
      <c r="H69" t="s">
        <v>310</v>
      </c>
      <c r="I69" t="s">
        <v>264</v>
      </c>
      <c r="J69" t="s">
        <v>24</v>
      </c>
      <c r="K69" t="s">
        <v>25</v>
      </c>
      <c r="L69" t="str">
        <f t="shared" si="16"/>
        <v>North</v>
      </c>
      <c r="M69" t="s">
        <v>236</v>
      </c>
      <c r="N69" t="s">
        <v>237</v>
      </c>
      <c r="O69" t="s">
        <v>28</v>
      </c>
      <c r="P69" t="s">
        <v>29</v>
      </c>
      <c r="Q69" t="s">
        <v>311</v>
      </c>
      <c r="R69" t="s">
        <v>50</v>
      </c>
      <c r="S69" t="str">
        <f t="shared" si="17"/>
        <v>First Class</v>
      </c>
      <c r="T69">
        <v>7</v>
      </c>
      <c r="U69">
        <v>3609.34</v>
      </c>
      <c r="V69">
        <v>0.05</v>
      </c>
      <c r="W69">
        <f t="shared" si="18"/>
        <v>0.05</v>
      </c>
      <c r="X69" t="str">
        <f t="shared" si="19"/>
        <v/>
      </c>
      <c r="Y69">
        <v>24002.11</v>
      </c>
      <c r="Z69">
        <f t="shared" si="20"/>
        <v>24002.111000000001</v>
      </c>
      <c r="AA69">
        <v>18707.57</v>
      </c>
      <c r="AB69">
        <v>5294.54</v>
      </c>
      <c r="AC69">
        <f t="shared" si="21"/>
        <v>20392.771000000001</v>
      </c>
      <c r="AD69" s="6">
        <f t="shared" si="22"/>
        <v>0.84962406015037595</v>
      </c>
      <c r="AE69" t="s">
        <v>32</v>
      </c>
      <c r="AF69" t="s">
        <v>33</v>
      </c>
      <c r="AG69">
        <f t="shared" si="23"/>
        <v>2</v>
      </c>
      <c r="AH69">
        <f t="shared" si="24"/>
        <v>2025</v>
      </c>
      <c r="AI69" t="str">
        <f t="shared" si="25"/>
        <v>CLEAN</v>
      </c>
    </row>
    <row r="70" spans="1:35">
      <c r="A70" t="s">
        <v>312</v>
      </c>
      <c r="B70">
        <f t="shared" si="13"/>
        <v>1</v>
      </c>
      <c r="C70" t="str">
        <f>IF(COUNTIF($A$2:A70, A70)&gt;1, "DUPLICATE_FLAGGED_FOR_REVIEW", "")</f>
        <v/>
      </c>
      <c r="D70" s="3">
        <v>45576</v>
      </c>
      <c r="E70" s="2">
        <v>45609</v>
      </c>
      <c r="F70" s="2" t="str">
        <f t="shared" si="14"/>
        <v>OK</v>
      </c>
      <c r="G70" s="4">
        <f t="shared" si="15"/>
        <v>33</v>
      </c>
      <c r="H70" t="s">
        <v>313</v>
      </c>
      <c r="I70" t="s">
        <v>47</v>
      </c>
      <c r="J70" t="s">
        <v>90</v>
      </c>
      <c r="K70" t="s">
        <v>38</v>
      </c>
      <c r="L70" t="str">
        <f t="shared" si="16"/>
        <v>East</v>
      </c>
      <c r="M70" t="s">
        <v>228</v>
      </c>
      <c r="N70" t="s">
        <v>229</v>
      </c>
      <c r="O70" t="s">
        <v>28</v>
      </c>
      <c r="P70" t="s">
        <v>124</v>
      </c>
      <c r="Q70" t="s">
        <v>314</v>
      </c>
      <c r="R70" t="s">
        <v>31</v>
      </c>
      <c r="S70" t="str">
        <f t="shared" si="17"/>
        <v>Second Class</v>
      </c>
      <c r="T70">
        <v>9</v>
      </c>
      <c r="U70">
        <v>2211.12</v>
      </c>
      <c r="V70">
        <v>0</v>
      </c>
      <c r="W70">
        <f t="shared" si="18"/>
        <v>0</v>
      </c>
      <c r="X70" t="str">
        <f t="shared" si="19"/>
        <v/>
      </c>
      <c r="Y70">
        <v>19900.080000000002</v>
      </c>
      <c r="Z70">
        <f t="shared" si="20"/>
        <v>19900.079999999998</v>
      </c>
      <c r="AA70">
        <v>10962.66</v>
      </c>
      <c r="AB70">
        <v>8937.42</v>
      </c>
      <c r="AC70">
        <f t="shared" si="21"/>
        <v>17688.96</v>
      </c>
      <c r="AD70" s="6">
        <f t="shared" si="22"/>
        <v>0.88888888888888895</v>
      </c>
      <c r="AE70" t="s">
        <v>155</v>
      </c>
      <c r="AF70" t="s">
        <v>103</v>
      </c>
      <c r="AG70">
        <f t="shared" si="23"/>
        <v>10</v>
      </c>
      <c r="AH70">
        <f t="shared" si="24"/>
        <v>2024</v>
      </c>
      <c r="AI70" t="str">
        <f t="shared" si="25"/>
        <v>CLEAN</v>
      </c>
    </row>
    <row r="71" spans="1:35">
      <c r="A71" t="s">
        <v>315</v>
      </c>
      <c r="B71">
        <f t="shared" si="13"/>
        <v>1</v>
      </c>
      <c r="C71" t="str">
        <f>IF(COUNTIF($A$2:A71, A71)&gt;1, "DUPLICATE_FLAGGED_FOR_REVIEW", "")</f>
        <v/>
      </c>
      <c r="D71" s="3">
        <v>45391</v>
      </c>
      <c r="E71" s="2">
        <v>45396</v>
      </c>
      <c r="F71" s="2" t="str">
        <f t="shared" si="14"/>
        <v>OK</v>
      </c>
      <c r="G71" s="4">
        <f t="shared" si="15"/>
        <v>5</v>
      </c>
      <c r="H71" t="s">
        <v>316</v>
      </c>
      <c r="I71" t="s">
        <v>79</v>
      </c>
      <c r="J71" t="s">
        <v>37</v>
      </c>
      <c r="K71" t="s">
        <v>63</v>
      </c>
      <c r="L71" t="str">
        <f t="shared" si="16"/>
        <v>West</v>
      </c>
      <c r="M71" t="s">
        <v>180</v>
      </c>
      <c r="N71" t="s">
        <v>181</v>
      </c>
      <c r="O71" t="s">
        <v>74</v>
      </c>
      <c r="P71" t="s">
        <v>274</v>
      </c>
      <c r="Q71" t="s">
        <v>317</v>
      </c>
      <c r="R71" t="s">
        <v>44</v>
      </c>
      <c r="S71" t="str">
        <f t="shared" si="17"/>
        <v>Same Day</v>
      </c>
      <c r="T71">
        <v>7</v>
      </c>
      <c r="U71">
        <v>3417.09</v>
      </c>
      <c r="V71">
        <v>0.1</v>
      </c>
      <c r="W71">
        <f t="shared" si="18"/>
        <v>0.1</v>
      </c>
      <c r="X71" t="str">
        <f t="shared" si="19"/>
        <v/>
      </c>
      <c r="Y71">
        <v>21527.67</v>
      </c>
      <c r="Z71">
        <f t="shared" si="20"/>
        <v>21527.667000000001</v>
      </c>
      <c r="AA71">
        <v>18287.580000000002</v>
      </c>
      <c r="AB71">
        <v>3240.09</v>
      </c>
      <c r="AC71">
        <f t="shared" si="21"/>
        <v>18110.577000000001</v>
      </c>
      <c r="AD71" s="6">
        <f t="shared" si="22"/>
        <v>0.84126984126984128</v>
      </c>
      <c r="AE71" t="s">
        <v>102</v>
      </c>
      <c r="AF71" t="s">
        <v>103</v>
      </c>
      <c r="AG71">
        <f t="shared" si="23"/>
        <v>4</v>
      </c>
      <c r="AH71">
        <f t="shared" si="24"/>
        <v>2024</v>
      </c>
      <c r="AI71" t="str">
        <f t="shared" si="25"/>
        <v>CLEAN</v>
      </c>
    </row>
    <row r="72" spans="1:35">
      <c r="A72" t="s">
        <v>318</v>
      </c>
      <c r="B72">
        <f t="shared" si="13"/>
        <v>1</v>
      </c>
      <c r="C72" t="str">
        <f>IF(COUNTIF($A$2:A72, A72)&gt;1, "DUPLICATE_FLAGGED_FOR_REVIEW", "")</f>
        <v/>
      </c>
      <c r="D72" s="3">
        <v>45891</v>
      </c>
      <c r="E72" s="2">
        <v>45896</v>
      </c>
      <c r="F72" s="2" t="str">
        <f t="shared" si="14"/>
        <v>OK</v>
      </c>
      <c r="G72" s="4">
        <f t="shared" si="15"/>
        <v>5</v>
      </c>
      <c r="H72" t="s">
        <v>319</v>
      </c>
      <c r="I72" t="s">
        <v>23</v>
      </c>
      <c r="J72" t="s">
        <v>90</v>
      </c>
      <c r="K72" t="s">
        <v>54</v>
      </c>
      <c r="L72" t="str">
        <f t="shared" si="16"/>
        <v>South</v>
      </c>
      <c r="M72" t="s">
        <v>84</v>
      </c>
      <c r="N72" t="s">
        <v>85</v>
      </c>
      <c r="O72" t="s">
        <v>74</v>
      </c>
      <c r="P72" t="s">
        <v>171</v>
      </c>
      <c r="Q72" t="s">
        <v>320</v>
      </c>
      <c r="R72" t="s">
        <v>50</v>
      </c>
      <c r="S72" t="str">
        <f t="shared" si="17"/>
        <v>First Class</v>
      </c>
      <c r="T72">
        <v>2</v>
      </c>
      <c r="U72">
        <v>905.87</v>
      </c>
      <c r="V72">
        <v>0.15</v>
      </c>
      <c r="W72">
        <f t="shared" si="18"/>
        <v>0.15</v>
      </c>
      <c r="X72" t="str">
        <f t="shared" si="19"/>
        <v/>
      </c>
      <c r="Y72">
        <v>1539.98</v>
      </c>
      <c r="Z72">
        <f t="shared" si="20"/>
        <v>1539.979</v>
      </c>
      <c r="AA72">
        <v>1070.2</v>
      </c>
      <c r="AB72">
        <v>469.78</v>
      </c>
      <c r="AC72">
        <f t="shared" si="21"/>
        <v>634.10900000000004</v>
      </c>
      <c r="AD72" s="6">
        <f t="shared" si="22"/>
        <v>0.41176470588235298</v>
      </c>
      <c r="AE72" t="s">
        <v>32</v>
      </c>
      <c r="AF72" t="s">
        <v>33</v>
      </c>
      <c r="AG72">
        <f t="shared" si="23"/>
        <v>8</v>
      </c>
      <c r="AH72">
        <f t="shared" si="24"/>
        <v>2025</v>
      </c>
      <c r="AI72" t="str">
        <f t="shared" si="25"/>
        <v>CLEAN</v>
      </c>
    </row>
    <row r="73" spans="1:35">
      <c r="A73" t="s">
        <v>321</v>
      </c>
      <c r="B73">
        <f t="shared" si="13"/>
        <v>1</v>
      </c>
      <c r="C73" t="str">
        <f>IF(COUNTIF($A$2:A73, A73)&gt;1, "DUPLICATE_FLAGGED_FOR_REVIEW", "")</f>
        <v/>
      </c>
      <c r="D73" s="3">
        <v>45763</v>
      </c>
      <c r="E73" s="2">
        <v>45770</v>
      </c>
      <c r="F73" s="2" t="str">
        <f t="shared" si="14"/>
        <v>OK</v>
      </c>
      <c r="G73" s="4">
        <f t="shared" si="15"/>
        <v>7</v>
      </c>
      <c r="H73" t="s">
        <v>322</v>
      </c>
      <c r="I73" t="s">
        <v>36</v>
      </c>
      <c r="J73" t="s">
        <v>37</v>
      </c>
      <c r="K73" t="s">
        <v>63</v>
      </c>
      <c r="L73" t="str">
        <f t="shared" si="16"/>
        <v>West</v>
      </c>
      <c r="M73" t="s">
        <v>190</v>
      </c>
      <c r="N73" t="s">
        <v>191</v>
      </c>
      <c r="O73" t="s">
        <v>74</v>
      </c>
      <c r="P73" t="s">
        <v>274</v>
      </c>
      <c r="Q73" t="s">
        <v>323</v>
      </c>
      <c r="R73" t="s">
        <v>59</v>
      </c>
      <c r="S73" t="str">
        <f t="shared" si="17"/>
        <v>Standard Class</v>
      </c>
      <c r="T73">
        <v>6</v>
      </c>
      <c r="U73">
        <v>2027.32</v>
      </c>
      <c r="V73">
        <v>0.1</v>
      </c>
      <c r="W73">
        <f t="shared" si="18"/>
        <v>0.1</v>
      </c>
      <c r="X73" t="str">
        <f t="shared" si="19"/>
        <v/>
      </c>
      <c r="Y73">
        <v>10947.53</v>
      </c>
      <c r="Z73">
        <f t="shared" si="20"/>
        <v>10947.528</v>
      </c>
      <c r="AA73">
        <v>6447.36</v>
      </c>
      <c r="AB73">
        <v>4500.17</v>
      </c>
      <c r="AC73">
        <f t="shared" si="21"/>
        <v>8920.2080000000005</v>
      </c>
      <c r="AD73" s="6">
        <f t="shared" si="22"/>
        <v>0.81481481481481488</v>
      </c>
      <c r="AE73" t="s">
        <v>32</v>
      </c>
      <c r="AF73" t="s">
        <v>33</v>
      </c>
      <c r="AG73">
        <f t="shared" si="23"/>
        <v>4</v>
      </c>
      <c r="AH73">
        <f t="shared" si="24"/>
        <v>2025</v>
      </c>
      <c r="AI73" t="str">
        <f t="shared" si="25"/>
        <v>CLEAN</v>
      </c>
    </row>
    <row r="74" spans="1:35">
      <c r="A74" t="s">
        <v>324</v>
      </c>
      <c r="B74">
        <f t="shared" si="13"/>
        <v>1</v>
      </c>
      <c r="C74" t="str">
        <f>IF(COUNTIF($A$2:A74, A74)&gt;1, "DUPLICATE_FLAGGED_FOR_REVIEW", "")</f>
        <v/>
      </c>
      <c r="D74" s="3">
        <v>45333</v>
      </c>
      <c r="E74" s="2">
        <v>45329</v>
      </c>
      <c r="F74" s="2" t="str">
        <f t="shared" si="14"/>
        <v>ERROR: Ship before order</v>
      </c>
      <c r="G74" s="4">
        <f t="shared" si="15"/>
        <v>-4</v>
      </c>
      <c r="H74" t="s">
        <v>325</v>
      </c>
      <c r="I74" t="s">
        <v>23</v>
      </c>
      <c r="J74" t="s">
        <v>95</v>
      </c>
      <c r="K74" t="s">
        <v>54</v>
      </c>
      <c r="L74" t="str">
        <f t="shared" si="16"/>
        <v>South</v>
      </c>
      <c r="M74" t="s">
        <v>247</v>
      </c>
      <c r="N74" t="s">
        <v>248</v>
      </c>
      <c r="O74" t="s">
        <v>41</v>
      </c>
      <c r="P74" t="s">
        <v>42</v>
      </c>
      <c r="Q74" t="s">
        <v>326</v>
      </c>
      <c r="R74" t="s">
        <v>50</v>
      </c>
      <c r="S74" t="str">
        <f t="shared" si="17"/>
        <v>First Class</v>
      </c>
      <c r="T74">
        <v>7</v>
      </c>
      <c r="U74">
        <v>2287.4699999999998</v>
      </c>
      <c r="V74">
        <v>0.15</v>
      </c>
      <c r="W74">
        <f t="shared" si="18"/>
        <v>0.15</v>
      </c>
      <c r="X74" t="str">
        <f t="shared" si="19"/>
        <v/>
      </c>
      <c r="Y74">
        <v>13610.45</v>
      </c>
      <c r="Z74">
        <f t="shared" si="20"/>
        <v>13610.446499999998</v>
      </c>
      <c r="AA74">
        <v>10039.049999999999</v>
      </c>
      <c r="AB74">
        <v>3571.4</v>
      </c>
      <c r="AC74">
        <f t="shared" si="21"/>
        <v>11322.976499999999</v>
      </c>
      <c r="AD74" s="6">
        <f t="shared" si="22"/>
        <v>0.83193277310924374</v>
      </c>
      <c r="AE74" t="s">
        <v>32</v>
      </c>
      <c r="AF74" t="s">
        <v>33</v>
      </c>
      <c r="AG74">
        <f t="shared" si="23"/>
        <v>2</v>
      </c>
      <c r="AH74">
        <f t="shared" si="24"/>
        <v>2024</v>
      </c>
      <c r="AI74" t="str">
        <f t="shared" si="25"/>
        <v>INVALID</v>
      </c>
    </row>
    <row r="75" spans="1:35">
      <c r="A75" t="s">
        <v>327</v>
      </c>
      <c r="B75">
        <f t="shared" si="13"/>
        <v>1</v>
      </c>
      <c r="C75" t="str">
        <f>IF(COUNTIF($A$2:A75, A75)&gt;1, "DUPLICATE_FLAGGED_FOR_REVIEW", "")</f>
        <v/>
      </c>
      <c r="D75" s="3">
        <v>45745</v>
      </c>
      <c r="E75" s="2">
        <v>45720</v>
      </c>
      <c r="F75" s="2" t="str">
        <f t="shared" si="14"/>
        <v>ERROR: Ship before order</v>
      </c>
      <c r="G75" s="4">
        <f t="shared" si="15"/>
        <v>-25</v>
      </c>
      <c r="H75" t="s">
        <v>328</v>
      </c>
      <c r="I75" t="s">
        <v>132</v>
      </c>
      <c r="J75" t="s">
        <v>90</v>
      </c>
      <c r="K75" t="s">
        <v>38</v>
      </c>
      <c r="L75" t="str">
        <f t="shared" si="16"/>
        <v>East</v>
      </c>
      <c r="M75" t="s">
        <v>99</v>
      </c>
      <c r="N75" t="s">
        <v>100</v>
      </c>
      <c r="O75" t="s">
        <v>41</v>
      </c>
      <c r="P75" t="s">
        <v>158</v>
      </c>
      <c r="Q75" t="s">
        <v>329</v>
      </c>
      <c r="R75" t="s">
        <v>50</v>
      </c>
      <c r="S75" t="str">
        <f t="shared" si="17"/>
        <v>First Class</v>
      </c>
      <c r="T75">
        <v>5</v>
      </c>
      <c r="U75">
        <v>1425.74</v>
      </c>
      <c r="V75">
        <v>0</v>
      </c>
      <c r="W75">
        <f t="shared" si="18"/>
        <v>0</v>
      </c>
      <c r="X75" t="str">
        <f t="shared" si="19"/>
        <v/>
      </c>
      <c r="Y75">
        <v>7128.7</v>
      </c>
      <c r="Z75">
        <f t="shared" si="20"/>
        <v>7128.7</v>
      </c>
      <c r="AA75">
        <v>4382.1499999999996</v>
      </c>
      <c r="AB75">
        <v>2746.55</v>
      </c>
      <c r="AC75">
        <f t="shared" si="21"/>
        <v>5702.96</v>
      </c>
      <c r="AD75" s="6">
        <f t="shared" si="22"/>
        <v>0.8</v>
      </c>
      <c r="AE75" t="s">
        <v>32</v>
      </c>
      <c r="AF75" t="s">
        <v>33</v>
      </c>
      <c r="AG75">
        <f t="shared" si="23"/>
        <v>3</v>
      </c>
      <c r="AH75">
        <f t="shared" si="24"/>
        <v>2025</v>
      </c>
      <c r="AI75" t="str">
        <f t="shared" si="25"/>
        <v>INVALID</v>
      </c>
    </row>
    <row r="76" spans="1:35">
      <c r="A76" t="s">
        <v>330</v>
      </c>
      <c r="B76">
        <f t="shared" si="13"/>
        <v>1</v>
      </c>
      <c r="C76" t="str">
        <f>IF(COUNTIF($A$2:A76, A76)&gt;1, "DUPLICATE_FLAGGED_FOR_REVIEW", "")</f>
        <v/>
      </c>
      <c r="D76" s="3">
        <v>45715</v>
      </c>
      <c r="E76" s="2">
        <v>45717</v>
      </c>
      <c r="F76" s="2" t="str">
        <f t="shared" si="14"/>
        <v>OK</v>
      </c>
      <c r="G76" s="4">
        <f t="shared" si="15"/>
        <v>2</v>
      </c>
      <c r="H76" t="s">
        <v>331</v>
      </c>
      <c r="I76" t="s">
        <v>71</v>
      </c>
      <c r="J76" t="s">
        <v>37</v>
      </c>
      <c r="K76" t="s">
        <v>38</v>
      </c>
      <c r="L76" t="str">
        <f t="shared" si="16"/>
        <v>East</v>
      </c>
      <c r="M76" t="s">
        <v>99</v>
      </c>
      <c r="N76" t="s">
        <v>100</v>
      </c>
      <c r="O76" t="s">
        <v>41</v>
      </c>
      <c r="P76" t="s">
        <v>66</v>
      </c>
      <c r="Q76" t="s">
        <v>332</v>
      </c>
      <c r="R76" t="s">
        <v>59</v>
      </c>
      <c r="S76" t="str">
        <f t="shared" si="17"/>
        <v>Standard Class</v>
      </c>
      <c r="T76">
        <v>6</v>
      </c>
      <c r="U76">
        <v>551.64</v>
      </c>
      <c r="V76">
        <v>0</v>
      </c>
      <c r="W76">
        <f t="shared" si="18"/>
        <v>0</v>
      </c>
      <c r="X76" t="str">
        <f t="shared" si="19"/>
        <v/>
      </c>
      <c r="Y76">
        <v>3309.84</v>
      </c>
      <c r="Z76">
        <f t="shared" si="20"/>
        <v>3309.84</v>
      </c>
      <c r="AA76">
        <v>2671.08</v>
      </c>
      <c r="AB76">
        <v>638.76</v>
      </c>
      <c r="AC76">
        <f t="shared" si="21"/>
        <v>2758.2000000000003</v>
      </c>
      <c r="AD76" s="6">
        <f t="shared" si="22"/>
        <v>0.83333333333333337</v>
      </c>
      <c r="AE76" t="s">
        <v>32</v>
      </c>
      <c r="AF76" t="s">
        <v>33</v>
      </c>
      <c r="AG76">
        <f t="shared" si="23"/>
        <v>2</v>
      </c>
      <c r="AH76">
        <f t="shared" si="24"/>
        <v>2025</v>
      </c>
      <c r="AI76" t="str">
        <f t="shared" si="25"/>
        <v>CLEAN</v>
      </c>
    </row>
    <row r="77" spans="1:35">
      <c r="A77" t="s">
        <v>333</v>
      </c>
      <c r="B77">
        <f t="shared" si="13"/>
        <v>1</v>
      </c>
      <c r="C77" t="str">
        <f>IF(COUNTIF($A$2:A77, A77)&gt;1, "DUPLICATE_FLAGGED_FOR_REVIEW", "")</f>
        <v/>
      </c>
      <c r="D77" s="3">
        <v>45891</v>
      </c>
      <c r="E77" s="2">
        <v>45896</v>
      </c>
      <c r="F77" s="2" t="str">
        <f t="shared" si="14"/>
        <v>OK</v>
      </c>
      <c r="G77" s="4">
        <f t="shared" si="15"/>
        <v>5</v>
      </c>
      <c r="H77" t="s">
        <v>334</v>
      </c>
      <c r="I77" t="s">
        <v>114</v>
      </c>
      <c r="J77" t="s">
        <v>37</v>
      </c>
      <c r="K77" t="s">
        <v>38</v>
      </c>
      <c r="L77" t="str">
        <f t="shared" si="16"/>
        <v>East</v>
      </c>
      <c r="M77" t="s">
        <v>39</v>
      </c>
      <c r="N77" t="s">
        <v>40</v>
      </c>
      <c r="O77" t="s">
        <v>28</v>
      </c>
      <c r="P77" t="s">
        <v>91</v>
      </c>
      <c r="Q77" t="s">
        <v>335</v>
      </c>
      <c r="R77" t="s">
        <v>50</v>
      </c>
      <c r="S77" t="str">
        <f t="shared" si="17"/>
        <v>First Class</v>
      </c>
      <c r="T77">
        <v>3</v>
      </c>
      <c r="U77">
        <v>3294.82</v>
      </c>
      <c r="V77">
        <v>0.2</v>
      </c>
      <c r="W77">
        <f t="shared" si="18"/>
        <v>0.2</v>
      </c>
      <c r="X77" t="str">
        <f t="shared" si="19"/>
        <v/>
      </c>
      <c r="Y77">
        <v>7907.57</v>
      </c>
      <c r="Z77">
        <f t="shared" si="20"/>
        <v>7907.5680000000011</v>
      </c>
      <c r="AA77">
        <v>5391.18</v>
      </c>
      <c r="AB77">
        <v>2516.39</v>
      </c>
      <c r="AC77">
        <f t="shared" si="21"/>
        <v>4612.7480000000014</v>
      </c>
      <c r="AD77" s="6">
        <f t="shared" si="22"/>
        <v>0.58333333333333348</v>
      </c>
      <c r="AE77" t="s">
        <v>32</v>
      </c>
      <c r="AF77" t="s">
        <v>33</v>
      </c>
      <c r="AG77">
        <f t="shared" si="23"/>
        <v>8</v>
      </c>
      <c r="AH77">
        <f t="shared" si="24"/>
        <v>2025</v>
      </c>
      <c r="AI77" t="str">
        <f t="shared" si="25"/>
        <v>CLEAN</v>
      </c>
    </row>
    <row r="78" spans="1:35">
      <c r="A78" t="s">
        <v>336</v>
      </c>
      <c r="B78">
        <f t="shared" si="13"/>
        <v>1</v>
      </c>
      <c r="C78" t="str">
        <f>IF(COUNTIF($A$2:A78, A78)&gt;1, "DUPLICATE_FLAGGED_FOR_REVIEW", "")</f>
        <v/>
      </c>
      <c r="D78" s="3">
        <v>45599</v>
      </c>
      <c r="E78" s="2">
        <v>45607</v>
      </c>
      <c r="F78" s="2" t="str">
        <f t="shared" si="14"/>
        <v>OK</v>
      </c>
      <c r="G78" s="4">
        <f t="shared" si="15"/>
        <v>8</v>
      </c>
      <c r="H78" t="s">
        <v>337</v>
      </c>
      <c r="I78" t="s">
        <v>62</v>
      </c>
      <c r="J78" t="s">
        <v>90</v>
      </c>
      <c r="K78" t="s">
        <v>38</v>
      </c>
      <c r="L78" t="str">
        <f t="shared" si="16"/>
        <v>East</v>
      </c>
      <c r="M78" t="s">
        <v>228</v>
      </c>
      <c r="N78" t="s">
        <v>229</v>
      </c>
      <c r="O78" t="s">
        <v>28</v>
      </c>
      <c r="P78" t="s">
        <v>91</v>
      </c>
      <c r="Q78" t="s">
        <v>338</v>
      </c>
      <c r="R78" t="s">
        <v>31</v>
      </c>
      <c r="S78" t="str">
        <f t="shared" si="17"/>
        <v>Second Class</v>
      </c>
      <c r="T78">
        <v>3</v>
      </c>
      <c r="U78">
        <v>3406.27</v>
      </c>
      <c r="V78">
        <v>0</v>
      </c>
      <c r="W78">
        <f t="shared" si="18"/>
        <v>0</v>
      </c>
      <c r="X78" t="str">
        <f t="shared" si="19"/>
        <v/>
      </c>
      <c r="Y78">
        <v>10218.81</v>
      </c>
      <c r="Z78">
        <f t="shared" si="20"/>
        <v>10218.81</v>
      </c>
      <c r="AA78">
        <v>7616.97</v>
      </c>
      <c r="AB78">
        <v>2601.84</v>
      </c>
      <c r="AC78">
        <f t="shared" si="21"/>
        <v>6812.5399999999991</v>
      </c>
      <c r="AD78" s="6">
        <f t="shared" si="22"/>
        <v>0.66666666666666663</v>
      </c>
      <c r="AE78" t="s">
        <v>32</v>
      </c>
      <c r="AF78" t="s">
        <v>33</v>
      </c>
      <c r="AG78">
        <f t="shared" si="23"/>
        <v>11</v>
      </c>
      <c r="AH78">
        <f t="shared" si="24"/>
        <v>2024</v>
      </c>
      <c r="AI78" t="str">
        <f t="shared" si="25"/>
        <v>CLEAN</v>
      </c>
    </row>
    <row r="79" spans="1:35">
      <c r="A79" t="s">
        <v>339</v>
      </c>
      <c r="B79">
        <f t="shared" si="13"/>
        <v>1</v>
      </c>
      <c r="C79" t="str">
        <f>IF(COUNTIF($A$2:A79, A79)&gt;1, "DUPLICATE_FLAGGED_FOR_REVIEW", "")</f>
        <v/>
      </c>
      <c r="D79" s="3">
        <v>45876</v>
      </c>
      <c r="E79" s="2">
        <v>45850</v>
      </c>
      <c r="F79" s="2" t="str">
        <f t="shared" si="14"/>
        <v>ERROR: Ship before order</v>
      </c>
      <c r="G79" s="4">
        <f t="shared" si="15"/>
        <v>-26</v>
      </c>
      <c r="H79" t="s">
        <v>340</v>
      </c>
      <c r="I79" t="s">
        <v>141</v>
      </c>
      <c r="J79" t="s">
        <v>95</v>
      </c>
      <c r="K79" t="s">
        <v>25</v>
      </c>
      <c r="L79" t="str">
        <f t="shared" si="16"/>
        <v>North</v>
      </c>
      <c r="M79" t="s">
        <v>136</v>
      </c>
      <c r="N79" t="s">
        <v>137</v>
      </c>
      <c r="O79" t="s">
        <v>41</v>
      </c>
      <c r="P79" t="s">
        <v>57</v>
      </c>
      <c r="Q79" t="s">
        <v>341</v>
      </c>
      <c r="R79" t="s">
        <v>59</v>
      </c>
      <c r="S79" t="str">
        <f t="shared" si="17"/>
        <v>Standard Class</v>
      </c>
      <c r="T79">
        <v>1</v>
      </c>
      <c r="U79">
        <v>2582.1999999999998</v>
      </c>
      <c r="V79">
        <v>0.15</v>
      </c>
      <c r="W79">
        <f t="shared" si="18"/>
        <v>0.15</v>
      </c>
      <c r="X79" t="str">
        <f t="shared" si="19"/>
        <v/>
      </c>
      <c r="Y79">
        <v>2194.87</v>
      </c>
      <c r="Z79">
        <f t="shared" si="20"/>
        <v>2194.87</v>
      </c>
      <c r="AA79">
        <v>1223.17</v>
      </c>
      <c r="AB79">
        <v>971.7</v>
      </c>
      <c r="AC79">
        <f t="shared" si="21"/>
        <v>-387.32999999999993</v>
      </c>
      <c r="AD79" s="6">
        <f t="shared" si="22"/>
        <v>-0.1764705882352941</v>
      </c>
      <c r="AE79" t="s">
        <v>102</v>
      </c>
      <c r="AF79" t="s">
        <v>68</v>
      </c>
      <c r="AG79">
        <f t="shared" si="23"/>
        <v>8</v>
      </c>
      <c r="AH79">
        <f t="shared" si="24"/>
        <v>2025</v>
      </c>
      <c r="AI79" t="str">
        <f t="shared" si="25"/>
        <v>INVALID</v>
      </c>
    </row>
    <row r="80" spans="1:35">
      <c r="A80" t="s">
        <v>342</v>
      </c>
      <c r="B80">
        <f t="shared" si="13"/>
        <v>1</v>
      </c>
      <c r="C80" t="str">
        <f>IF(COUNTIF($A$2:A80, A80)&gt;1, "DUPLICATE_FLAGGED_FOR_REVIEW", "")</f>
        <v/>
      </c>
      <c r="D80" s="3">
        <v>45854</v>
      </c>
      <c r="E80" s="2">
        <v>45859</v>
      </c>
      <c r="F80" s="2" t="str">
        <f t="shared" si="14"/>
        <v>OK</v>
      </c>
      <c r="G80" s="4">
        <f t="shared" si="15"/>
        <v>5</v>
      </c>
      <c r="H80" t="s">
        <v>343</v>
      </c>
      <c r="I80" t="s">
        <v>132</v>
      </c>
      <c r="J80" t="s">
        <v>90</v>
      </c>
      <c r="K80" t="s">
        <v>38</v>
      </c>
      <c r="L80" t="str">
        <f t="shared" si="16"/>
        <v>East</v>
      </c>
      <c r="M80" t="s">
        <v>99</v>
      </c>
      <c r="N80" t="s">
        <v>100</v>
      </c>
      <c r="O80" t="s">
        <v>41</v>
      </c>
      <c r="P80" t="s">
        <v>42</v>
      </c>
      <c r="Q80" t="s">
        <v>344</v>
      </c>
      <c r="R80" t="s">
        <v>50</v>
      </c>
      <c r="S80" t="str">
        <f t="shared" si="17"/>
        <v>First Class</v>
      </c>
      <c r="T80">
        <v>5</v>
      </c>
      <c r="U80">
        <v>2129.5100000000002</v>
      </c>
      <c r="V80">
        <v>0.15</v>
      </c>
      <c r="W80">
        <f t="shared" si="18"/>
        <v>0.15</v>
      </c>
      <c r="X80" t="str">
        <f t="shared" si="19"/>
        <v/>
      </c>
      <c r="Y80">
        <v>9050.42</v>
      </c>
      <c r="Z80">
        <f t="shared" si="20"/>
        <v>9050.4175000000014</v>
      </c>
      <c r="AA80">
        <v>6778.85</v>
      </c>
      <c r="AB80">
        <v>2271.5700000000002</v>
      </c>
      <c r="AC80">
        <f t="shared" si="21"/>
        <v>6920.9075000000012</v>
      </c>
      <c r="AD80" s="6">
        <f t="shared" si="22"/>
        <v>0.76470588235294124</v>
      </c>
      <c r="AE80" t="s">
        <v>32</v>
      </c>
      <c r="AF80" t="s">
        <v>33</v>
      </c>
      <c r="AG80">
        <f t="shared" si="23"/>
        <v>7</v>
      </c>
      <c r="AH80">
        <f t="shared" si="24"/>
        <v>2025</v>
      </c>
      <c r="AI80" t="str">
        <f t="shared" si="25"/>
        <v>CLEAN</v>
      </c>
    </row>
    <row r="81" spans="1:35">
      <c r="A81" t="s">
        <v>345</v>
      </c>
      <c r="B81">
        <f t="shared" si="13"/>
        <v>1</v>
      </c>
      <c r="C81" t="str">
        <f>IF(COUNTIF($A$2:A81, A81)&gt;1, "DUPLICATE_FLAGGED_FOR_REVIEW", "")</f>
        <v/>
      </c>
      <c r="D81" s="3">
        <v>45927</v>
      </c>
      <c r="E81" s="2">
        <v>45933</v>
      </c>
      <c r="F81" s="2" t="str">
        <f t="shared" si="14"/>
        <v>OK</v>
      </c>
      <c r="G81" s="4">
        <f t="shared" si="15"/>
        <v>6</v>
      </c>
      <c r="H81" t="s">
        <v>346</v>
      </c>
      <c r="I81" t="s">
        <v>162</v>
      </c>
      <c r="J81" t="s">
        <v>95</v>
      </c>
      <c r="K81" t="s">
        <v>54</v>
      </c>
      <c r="L81" t="str">
        <f t="shared" si="16"/>
        <v>South</v>
      </c>
      <c r="M81" t="s">
        <v>247</v>
      </c>
      <c r="N81" t="s">
        <v>248</v>
      </c>
      <c r="O81" t="s">
        <v>41</v>
      </c>
      <c r="P81" t="s">
        <v>66</v>
      </c>
      <c r="Q81" t="s">
        <v>347</v>
      </c>
      <c r="R81" t="s">
        <v>44</v>
      </c>
      <c r="S81" t="str">
        <f t="shared" si="17"/>
        <v>Same Day</v>
      </c>
      <c r="T81">
        <v>9</v>
      </c>
      <c r="U81">
        <v>4131.5200000000004</v>
      </c>
      <c r="V81">
        <v>0.1</v>
      </c>
      <c r="W81">
        <f t="shared" si="18"/>
        <v>0.1</v>
      </c>
      <c r="X81" t="str">
        <f t="shared" si="19"/>
        <v/>
      </c>
      <c r="Y81">
        <v>33465.31</v>
      </c>
      <c r="Z81">
        <f t="shared" si="20"/>
        <v>33465.312000000005</v>
      </c>
      <c r="AA81">
        <v>24781.26</v>
      </c>
      <c r="AB81">
        <v>8684.0499999999993</v>
      </c>
      <c r="AC81">
        <f t="shared" si="21"/>
        <v>29333.792000000005</v>
      </c>
      <c r="AD81" s="6">
        <f t="shared" si="22"/>
        <v>0.87654320987654322</v>
      </c>
      <c r="AE81" t="s">
        <v>32</v>
      </c>
      <c r="AF81" t="s">
        <v>33</v>
      </c>
      <c r="AG81">
        <f t="shared" si="23"/>
        <v>9</v>
      </c>
      <c r="AH81">
        <f t="shared" si="24"/>
        <v>2025</v>
      </c>
      <c r="AI81" t="str">
        <f t="shared" si="25"/>
        <v>CLEAN</v>
      </c>
    </row>
    <row r="82" spans="1:35">
      <c r="A82" t="s">
        <v>348</v>
      </c>
      <c r="B82">
        <f t="shared" si="13"/>
        <v>1</v>
      </c>
      <c r="C82" t="str">
        <f>IF(COUNTIF($A$2:A82, A82)&gt;1, "DUPLICATE_FLAGGED_FOR_REVIEW", "")</f>
        <v/>
      </c>
      <c r="D82" s="3">
        <v>45514</v>
      </c>
      <c r="E82" s="2">
        <v>45518</v>
      </c>
      <c r="F82" s="2" t="str">
        <f t="shared" si="14"/>
        <v>OK</v>
      </c>
      <c r="G82" s="4">
        <f t="shared" si="15"/>
        <v>4</v>
      </c>
      <c r="H82" t="s">
        <v>349</v>
      </c>
      <c r="I82" t="s">
        <v>128</v>
      </c>
      <c r="J82" t="s">
        <v>37</v>
      </c>
      <c r="K82" t="s">
        <v>25</v>
      </c>
      <c r="L82" t="str">
        <f t="shared" si="16"/>
        <v>North</v>
      </c>
      <c r="M82" t="s">
        <v>350</v>
      </c>
      <c r="N82" t="s">
        <v>351</v>
      </c>
      <c r="O82" t="s">
        <v>28</v>
      </c>
      <c r="P82" t="s">
        <v>124</v>
      </c>
      <c r="Q82" t="s">
        <v>352</v>
      </c>
      <c r="R82" t="s">
        <v>31</v>
      </c>
      <c r="S82" t="str">
        <f t="shared" si="17"/>
        <v>Second Class</v>
      </c>
      <c r="T82">
        <v>4</v>
      </c>
      <c r="U82">
        <v>1182.32</v>
      </c>
      <c r="V82">
        <v>0.1</v>
      </c>
      <c r="W82">
        <f t="shared" si="18"/>
        <v>0.1</v>
      </c>
      <c r="X82" t="str">
        <f t="shared" si="19"/>
        <v/>
      </c>
      <c r="Y82">
        <v>4256.3500000000004</v>
      </c>
      <c r="Z82">
        <f t="shared" si="20"/>
        <v>4256.3519999999999</v>
      </c>
      <c r="AA82">
        <v>2495.33</v>
      </c>
      <c r="AB82">
        <v>1761.02</v>
      </c>
      <c r="AC82">
        <f t="shared" si="21"/>
        <v>3074.0320000000002</v>
      </c>
      <c r="AD82" s="6">
        <f t="shared" si="22"/>
        <v>0.72222222222222232</v>
      </c>
      <c r="AE82" t="s">
        <v>111</v>
      </c>
      <c r="AF82" t="s">
        <v>103</v>
      </c>
      <c r="AG82">
        <f t="shared" si="23"/>
        <v>8</v>
      </c>
      <c r="AH82">
        <f t="shared" si="24"/>
        <v>2024</v>
      </c>
      <c r="AI82" t="str">
        <f t="shared" si="25"/>
        <v>CLEAN</v>
      </c>
    </row>
    <row r="83" spans="1:35">
      <c r="A83" t="s">
        <v>353</v>
      </c>
      <c r="B83">
        <f t="shared" si="13"/>
        <v>1</v>
      </c>
      <c r="C83" t="str">
        <f>IF(COUNTIF($A$2:A83, A83)&gt;1, "DUPLICATE_FLAGGED_FOR_REVIEW", "")</f>
        <v/>
      </c>
      <c r="D83" s="3">
        <v>45732</v>
      </c>
      <c r="E83" s="2">
        <v>45733</v>
      </c>
      <c r="F83" s="2" t="str">
        <f t="shared" si="14"/>
        <v>OK</v>
      </c>
      <c r="G83" s="4">
        <f t="shared" si="15"/>
        <v>1</v>
      </c>
      <c r="H83" t="s">
        <v>354</v>
      </c>
      <c r="I83" t="s">
        <v>23</v>
      </c>
      <c r="J83" t="s">
        <v>95</v>
      </c>
      <c r="K83" t="s">
        <v>63</v>
      </c>
      <c r="L83" t="str">
        <f t="shared" si="16"/>
        <v>West</v>
      </c>
      <c r="M83" t="s">
        <v>190</v>
      </c>
      <c r="N83" t="s">
        <v>191</v>
      </c>
      <c r="O83" t="s">
        <v>28</v>
      </c>
      <c r="P83" t="s">
        <v>91</v>
      </c>
      <c r="Q83" t="s">
        <v>355</v>
      </c>
      <c r="R83" t="s">
        <v>44</v>
      </c>
      <c r="S83" t="str">
        <f t="shared" si="17"/>
        <v>Same Day</v>
      </c>
      <c r="T83">
        <v>3</v>
      </c>
      <c r="U83">
        <v>1841.91</v>
      </c>
      <c r="V83">
        <v>0</v>
      </c>
      <c r="W83">
        <f t="shared" si="18"/>
        <v>0</v>
      </c>
      <c r="X83" t="str">
        <f t="shared" si="19"/>
        <v/>
      </c>
      <c r="Y83">
        <v>5525.73</v>
      </c>
      <c r="Z83">
        <f t="shared" si="20"/>
        <v>5525.7300000000005</v>
      </c>
      <c r="AA83">
        <v>3093.42</v>
      </c>
      <c r="AB83">
        <v>2432.31</v>
      </c>
      <c r="AC83">
        <f t="shared" si="21"/>
        <v>3683.8200000000006</v>
      </c>
      <c r="AD83" s="6">
        <f t="shared" si="22"/>
        <v>0.66666666666666674</v>
      </c>
      <c r="AE83" t="s">
        <v>32</v>
      </c>
      <c r="AF83" t="s">
        <v>33</v>
      </c>
      <c r="AG83">
        <f t="shared" si="23"/>
        <v>3</v>
      </c>
      <c r="AH83">
        <f t="shared" si="24"/>
        <v>2025</v>
      </c>
      <c r="AI83" t="str">
        <f t="shared" si="25"/>
        <v>CLEAN</v>
      </c>
    </row>
    <row r="84" spans="1:35">
      <c r="A84" t="s">
        <v>356</v>
      </c>
      <c r="B84">
        <f t="shared" si="13"/>
        <v>1</v>
      </c>
      <c r="C84" t="str">
        <f>IF(COUNTIF($A$2:A84, A84)&gt;1, "DUPLICATE_FLAGGED_FOR_REVIEW", "")</f>
        <v/>
      </c>
      <c r="D84" s="3">
        <v>45507</v>
      </c>
      <c r="E84" s="2">
        <v>45508</v>
      </c>
      <c r="F84" s="2" t="str">
        <f t="shared" si="14"/>
        <v>OK</v>
      </c>
      <c r="G84" s="4">
        <f t="shared" si="15"/>
        <v>1</v>
      </c>
      <c r="H84" t="s">
        <v>357</v>
      </c>
      <c r="I84" t="s">
        <v>53</v>
      </c>
      <c r="J84" t="s">
        <v>24</v>
      </c>
      <c r="K84" t="s">
        <v>25</v>
      </c>
      <c r="L84" t="str">
        <f t="shared" si="16"/>
        <v>North</v>
      </c>
      <c r="M84" t="s">
        <v>136</v>
      </c>
      <c r="N84" t="s">
        <v>137</v>
      </c>
      <c r="O84" t="s">
        <v>74</v>
      </c>
      <c r="P84" t="s">
        <v>80</v>
      </c>
      <c r="Q84" t="s">
        <v>358</v>
      </c>
      <c r="R84" t="s">
        <v>31</v>
      </c>
      <c r="S84" t="str">
        <f t="shared" si="17"/>
        <v>Second Class</v>
      </c>
      <c r="T84">
        <v>6</v>
      </c>
      <c r="U84">
        <v>1001.73</v>
      </c>
      <c r="V84">
        <v>0</v>
      </c>
      <c r="W84">
        <f t="shared" si="18"/>
        <v>0</v>
      </c>
      <c r="X84" t="str">
        <f t="shared" si="19"/>
        <v/>
      </c>
      <c r="Y84">
        <v>6010.38</v>
      </c>
      <c r="Z84">
        <f t="shared" si="20"/>
        <v>6010.38</v>
      </c>
      <c r="AA84">
        <v>3762.85</v>
      </c>
      <c r="AB84">
        <v>2247.5300000000002</v>
      </c>
      <c r="AC84">
        <f t="shared" si="21"/>
        <v>5008.6499999999996</v>
      </c>
      <c r="AD84" s="6">
        <f t="shared" si="22"/>
        <v>0.83333333333333326</v>
      </c>
      <c r="AE84" t="s">
        <v>155</v>
      </c>
      <c r="AF84" t="s">
        <v>103</v>
      </c>
      <c r="AG84">
        <f t="shared" si="23"/>
        <v>8</v>
      </c>
      <c r="AH84">
        <f t="shared" si="24"/>
        <v>2024</v>
      </c>
      <c r="AI84" t="str">
        <f t="shared" si="25"/>
        <v>CLEAN</v>
      </c>
    </row>
    <row r="85" spans="1:35">
      <c r="A85" t="s">
        <v>359</v>
      </c>
      <c r="B85">
        <f t="shared" si="13"/>
        <v>1</v>
      </c>
      <c r="C85" t="str">
        <f>IF(COUNTIF($A$2:A85, A85)&gt;1, "DUPLICATE_FLAGGED_FOR_REVIEW", "")</f>
        <v/>
      </c>
      <c r="D85" s="3">
        <v>45591</v>
      </c>
      <c r="E85" s="2">
        <v>45594</v>
      </c>
      <c r="F85" s="2" t="str">
        <f t="shared" si="14"/>
        <v>OK</v>
      </c>
      <c r="G85" s="4">
        <f t="shared" si="15"/>
        <v>3</v>
      </c>
      <c r="H85" t="s">
        <v>360</v>
      </c>
      <c r="I85" t="s">
        <v>89</v>
      </c>
      <c r="J85" t="s">
        <v>95</v>
      </c>
      <c r="K85" t="s">
        <v>63</v>
      </c>
      <c r="L85" t="str">
        <f t="shared" si="16"/>
        <v>West</v>
      </c>
      <c r="M85" t="s">
        <v>64</v>
      </c>
      <c r="N85" t="s">
        <v>65</v>
      </c>
      <c r="O85" t="s">
        <v>41</v>
      </c>
      <c r="P85" t="s">
        <v>42</v>
      </c>
      <c r="Q85" t="s">
        <v>361</v>
      </c>
      <c r="R85" t="s">
        <v>31</v>
      </c>
      <c r="S85" t="str">
        <f t="shared" si="17"/>
        <v>Second Class</v>
      </c>
      <c r="T85">
        <v>9</v>
      </c>
      <c r="U85">
        <v>131.74</v>
      </c>
      <c r="V85">
        <v>0.2</v>
      </c>
      <c r="W85">
        <f t="shared" si="18"/>
        <v>0.2</v>
      </c>
      <c r="X85" t="str">
        <f t="shared" si="19"/>
        <v/>
      </c>
      <c r="Y85">
        <v>948.53</v>
      </c>
      <c r="Z85">
        <f t="shared" si="20"/>
        <v>948.52800000000013</v>
      </c>
      <c r="AA85">
        <v>674.62</v>
      </c>
      <c r="AB85">
        <v>273.91000000000003</v>
      </c>
      <c r="AC85">
        <f t="shared" si="21"/>
        <v>816.78800000000012</v>
      </c>
      <c r="AD85" s="6">
        <f t="shared" si="22"/>
        <v>0.86111111111111116</v>
      </c>
      <c r="AE85" t="s">
        <v>32</v>
      </c>
      <c r="AF85" t="s">
        <v>33</v>
      </c>
      <c r="AG85">
        <f t="shared" si="23"/>
        <v>10</v>
      </c>
      <c r="AH85">
        <f t="shared" si="24"/>
        <v>2024</v>
      </c>
      <c r="AI85" t="str">
        <f t="shared" si="25"/>
        <v>CLEAN</v>
      </c>
    </row>
    <row r="86" spans="1:35">
      <c r="A86" t="s">
        <v>362</v>
      </c>
      <c r="B86">
        <f t="shared" si="13"/>
        <v>1</v>
      </c>
      <c r="C86" t="str">
        <f>IF(COUNTIF($A$2:A86, A86)&gt;1, "DUPLICATE_FLAGGED_FOR_REVIEW", "")</f>
        <v/>
      </c>
      <c r="D86" s="3">
        <v>45566</v>
      </c>
      <c r="E86" s="2">
        <v>45568</v>
      </c>
      <c r="F86" s="2" t="str">
        <f t="shared" si="14"/>
        <v>OK</v>
      </c>
      <c r="G86" s="4">
        <f t="shared" si="15"/>
        <v>2</v>
      </c>
      <c r="H86" t="s">
        <v>363</v>
      </c>
      <c r="I86" t="s">
        <v>141</v>
      </c>
      <c r="J86" t="s">
        <v>90</v>
      </c>
      <c r="K86" t="s">
        <v>54</v>
      </c>
      <c r="L86" t="str">
        <f t="shared" si="16"/>
        <v>South</v>
      </c>
      <c r="M86" t="s">
        <v>247</v>
      </c>
      <c r="N86" t="s">
        <v>248</v>
      </c>
      <c r="O86" t="s">
        <v>74</v>
      </c>
      <c r="P86" t="s">
        <v>171</v>
      </c>
      <c r="Q86" t="s">
        <v>364</v>
      </c>
      <c r="R86" t="s">
        <v>31</v>
      </c>
      <c r="S86" t="str">
        <f t="shared" si="17"/>
        <v>Second Class</v>
      </c>
      <c r="T86">
        <v>6</v>
      </c>
      <c r="U86">
        <v>570.28</v>
      </c>
      <c r="V86">
        <v>0.2</v>
      </c>
      <c r="W86">
        <f t="shared" si="18"/>
        <v>0.2</v>
      </c>
      <c r="X86" t="str">
        <f t="shared" si="19"/>
        <v/>
      </c>
      <c r="Y86">
        <v>2737.34</v>
      </c>
      <c r="Z86">
        <f t="shared" si="20"/>
        <v>2737.3440000000001</v>
      </c>
      <c r="AA86">
        <v>2085.44</v>
      </c>
      <c r="AB86">
        <v>651.9</v>
      </c>
      <c r="AC86">
        <f t="shared" si="21"/>
        <v>2167.0640000000003</v>
      </c>
      <c r="AD86" s="6">
        <f t="shared" si="22"/>
        <v>0.79166666666666674</v>
      </c>
      <c r="AE86" t="s">
        <v>32</v>
      </c>
      <c r="AF86" t="s">
        <v>33</v>
      </c>
      <c r="AG86">
        <f t="shared" si="23"/>
        <v>10</v>
      </c>
      <c r="AH86">
        <f t="shared" si="24"/>
        <v>2024</v>
      </c>
      <c r="AI86" t="str">
        <f t="shared" si="25"/>
        <v>CLEAN</v>
      </c>
    </row>
    <row r="87" spans="1:35">
      <c r="A87" t="s">
        <v>365</v>
      </c>
      <c r="B87">
        <f t="shared" si="13"/>
        <v>1</v>
      </c>
      <c r="C87" t="str">
        <f>IF(COUNTIF($A$2:A87, A87)&gt;1, "DUPLICATE_FLAGGED_FOR_REVIEW", "")</f>
        <v/>
      </c>
      <c r="D87" s="3">
        <v>45503</v>
      </c>
      <c r="E87" s="2">
        <v>45420</v>
      </c>
      <c r="F87" s="2" t="str">
        <f t="shared" si="14"/>
        <v>ERROR: Ship before order</v>
      </c>
      <c r="G87" s="4">
        <f t="shared" si="15"/>
        <v>-83</v>
      </c>
      <c r="H87" t="s">
        <v>366</v>
      </c>
      <c r="I87" t="s">
        <v>264</v>
      </c>
      <c r="J87" t="s">
        <v>90</v>
      </c>
      <c r="K87" t="s">
        <v>25</v>
      </c>
      <c r="L87" t="str">
        <f t="shared" si="16"/>
        <v>North</v>
      </c>
      <c r="M87" t="s">
        <v>350</v>
      </c>
      <c r="N87" t="s">
        <v>351</v>
      </c>
      <c r="O87" t="s">
        <v>28</v>
      </c>
      <c r="P87" t="s">
        <v>153</v>
      </c>
      <c r="Q87" t="s">
        <v>367</v>
      </c>
      <c r="R87" t="s">
        <v>59</v>
      </c>
      <c r="S87" t="str">
        <f t="shared" si="17"/>
        <v>Standard Class</v>
      </c>
      <c r="T87">
        <v>1</v>
      </c>
      <c r="U87">
        <v>608.64</v>
      </c>
      <c r="V87">
        <v>0</v>
      </c>
      <c r="W87">
        <f t="shared" si="18"/>
        <v>0</v>
      </c>
      <c r="X87" t="str">
        <f t="shared" si="19"/>
        <v/>
      </c>
      <c r="Y87">
        <v>608.64</v>
      </c>
      <c r="Z87">
        <f t="shared" si="20"/>
        <v>608.64</v>
      </c>
      <c r="AA87">
        <v>343.99</v>
      </c>
      <c r="AB87">
        <v>264.64999999999998</v>
      </c>
      <c r="AC87">
        <f t="shared" si="21"/>
        <v>0</v>
      </c>
      <c r="AD87" s="6">
        <f t="shared" si="22"/>
        <v>0</v>
      </c>
      <c r="AE87" t="s">
        <v>32</v>
      </c>
      <c r="AF87" t="s">
        <v>68</v>
      </c>
      <c r="AG87">
        <f t="shared" si="23"/>
        <v>7</v>
      </c>
      <c r="AH87">
        <f t="shared" si="24"/>
        <v>2024</v>
      </c>
      <c r="AI87" t="str">
        <f t="shared" si="25"/>
        <v>INVALID</v>
      </c>
    </row>
    <row r="88" spans="1:35">
      <c r="A88" t="s">
        <v>368</v>
      </c>
      <c r="B88">
        <f t="shared" si="13"/>
        <v>1</v>
      </c>
      <c r="C88" t="str">
        <f>IF(COUNTIF($A$2:A88, A88)&gt;1, "DUPLICATE_FLAGGED_FOR_REVIEW", "")</f>
        <v/>
      </c>
      <c r="D88" s="3">
        <v>45474</v>
      </c>
      <c r="E88" s="2">
        <v>45474</v>
      </c>
      <c r="F88" s="2" t="str">
        <f t="shared" si="14"/>
        <v>OK</v>
      </c>
      <c r="G88" s="4">
        <f t="shared" si="15"/>
        <v>0</v>
      </c>
      <c r="H88" t="s">
        <v>369</v>
      </c>
      <c r="I88" t="s">
        <v>62</v>
      </c>
      <c r="J88" t="s">
        <v>37</v>
      </c>
      <c r="K88" t="s">
        <v>25</v>
      </c>
      <c r="L88" t="str">
        <f t="shared" si="16"/>
        <v>North</v>
      </c>
      <c r="M88" t="s">
        <v>350</v>
      </c>
      <c r="N88" t="s">
        <v>351</v>
      </c>
      <c r="O88" t="s">
        <v>74</v>
      </c>
      <c r="P88" t="s">
        <v>80</v>
      </c>
      <c r="Q88" t="s">
        <v>370</v>
      </c>
      <c r="R88" t="s">
        <v>31</v>
      </c>
      <c r="S88" t="str">
        <f t="shared" si="17"/>
        <v>Second Class</v>
      </c>
      <c r="T88">
        <v>3</v>
      </c>
      <c r="U88">
        <v>885.28</v>
      </c>
      <c r="V88">
        <v>0.1</v>
      </c>
      <c r="W88">
        <f t="shared" si="18"/>
        <v>0.1</v>
      </c>
      <c r="X88" t="str">
        <f t="shared" si="19"/>
        <v/>
      </c>
      <c r="Y88">
        <v>2390.2600000000002</v>
      </c>
      <c r="Z88">
        <f t="shared" si="20"/>
        <v>2390.2560000000003</v>
      </c>
      <c r="AA88">
        <v>1495.94</v>
      </c>
      <c r="AB88">
        <v>894.32</v>
      </c>
      <c r="AC88">
        <f t="shared" si="21"/>
        <v>1504.9760000000003</v>
      </c>
      <c r="AD88" s="6">
        <f t="shared" si="22"/>
        <v>0.62962962962962965</v>
      </c>
      <c r="AE88" t="s">
        <v>102</v>
      </c>
      <c r="AF88" t="s">
        <v>68</v>
      </c>
      <c r="AG88">
        <f t="shared" si="23"/>
        <v>7</v>
      </c>
      <c r="AH88">
        <f t="shared" si="24"/>
        <v>2024</v>
      </c>
      <c r="AI88" t="str">
        <f t="shared" si="25"/>
        <v>CLEAN</v>
      </c>
    </row>
    <row r="89" spans="1:35">
      <c r="A89" t="s">
        <v>371</v>
      </c>
      <c r="B89">
        <f t="shared" si="13"/>
        <v>1</v>
      </c>
      <c r="C89" t="str">
        <f>IF(COUNTIF($A$2:A89, A89)&gt;1, "DUPLICATE_FLAGGED_FOR_REVIEW", "")</f>
        <v/>
      </c>
      <c r="D89" s="3">
        <v>45506</v>
      </c>
      <c r="E89" s="2">
        <v>45507</v>
      </c>
      <c r="F89" s="2" t="str">
        <f t="shared" si="14"/>
        <v>OK</v>
      </c>
      <c r="G89" s="4">
        <f t="shared" si="15"/>
        <v>1</v>
      </c>
      <c r="H89" t="s">
        <v>372</v>
      </c>
      <c r="I89" t="s">
        <v>71</v>
      </c>
      <c r="J89" t="s">
        <v>24</v>
      </c>
      <c r="K89" t="s">
        <v>38</v>
      </c>
      <c r="L89" t="str">
        <f t="shared" si="16"/>
        <v>East</v>
      </c>
      <c r="M89" t="s">
        <v>166</v>
      </c>
      <c r="N89" t="s">
        <v>167</v>
      </c>
      <c r="O89" t="s">
        <v>28</v>
      </c>
      <c r="P89" t="s">
        <v>153</v>
      </c>
      <c r="Q89" t="s">
        <v>373</v>
      </c>
      <c r="R89" t="s">
        <v>59</v>
      </c>
      <c r="S89" t="str">
        <f t="shared" si="17"/>
        <v>Standard Class</v>
      </c>
      <c r="T89">
        <v>7</v>
      </c>
      <c r="U89">
        <v>3345.22</v>
      </c>
      <c r="V89">
        <v>0</v>
      </c>
      <c r="W89">
        <f t="shared" si="18"/>
        <v>0</v>
      </c>
      <c r="X89" t="str">
        <f t="shared" si="19"/>
        <v/>
      </c>
      <c r="Y89">
        <v>23416.54</v>
      </c>
      <c r="Z89">
        <f t="shared" si="20"/>
        <v>23416.539999999997</v>
      </c>
      <c r="AA89">
        <v>15490.89</v>
      </c>
      <c r="AB89">
        <v>7925.65</v>
      </c>
      <c r="AC89">
        <f t="shared" si="21"/>
        <v>20071.319999999996</v>
      </c>
      <c r="AD89" s="6">
        <f t="shared" si="22"/>
        <v>0.8571428571428571</v>
      </c>
      <c r="AE89" t="s">
        <v>32</v>
      </c>
      <c r="AF89" t="s">
        <v>33</v>
      </c>
      <c r="AG89">
        <f t="shared" si="23"/>
        <v>8</v>
      </c>
      <c r="AH89">
        <f t="shared" si="24"/>
        <v>2024</v>
      </c>
      <c r="AI89" t="str">
        <f t="shared" si="25"/>
        <v>CLEAN</v>
      </c>
    </row>
    <row r="90" spans="1:35">
      <c r="A90" t="s">
        <v>374</v>
      </c>
      <c r="B90">
        <f t="shared" si="13"/>
        <v>1</v>
      </c>
      <c r="C90" t="str">
        <f>IF(COUNTIF($A$2:A90, A90)&gt;1, "DUPLICATE_FLAGGED_FOR_REVIEW", "")</f>
        <v/>
      </c>
      <c r="D90" s="3">
        <v>45375</v>
      </c>
      <c r="E90" s="2">
        <v>45378</v>
      </c>
      <c r="F90" s="2" t="str">
        <f t="shared" si="14"/>
        <v>OK</v>
      </c>
      <c r="G90" s="4">
        <f t="shared" si="15"/>
        <v>3</v>
      </c>
      <c r="H90" t="s">
        <v>375</v>
      </c>
      <c r="I90" t="s">
        <v>141</v>
      </c>
      <c r="J90" t="s">
        <v>37</v>
      </c>
      <c r="K90" t="s">
        <v>63</v>
      </c>
      <c r="L90" t="str">
        <f t="shared" si="16"/>
        <v>West</v>
      </c>
      <c r="M90" t="s">
        <v>64</v>
      </c>
      <c r="N90" t="s">
        <v>65</v>
      </c>
      <c r="O90" t="s">
        <v>41</v>
      </c>
      <c r="P90" t="s">
        <v>158</v>
      </c>
      <c r="Q90" t="s">
        <v>376</v>
      </c>
      <c r="R90" t="s">
        <v>59</v>
      </c>
      <c r="S90" t="str">
        <f t="shared" si="17"/>
        <v>Standard Class</v>
      </c>
      <c r="T90">
        <v>2</v>
      </c>
      <c r="U90">
        <v>3284.75</v>
      </c>
      <c r="V90">
        <v>0.05</v>
      </c>
      <c r="W90">
        <f t="shared" si="18"/>
        <v>0.05</v>
      </c>
      <c r="X90" t="str">
        <f t="shared" si="19"/>
        <v/>
      </c>
      <c r="Y90">
        <v>6241.02</v>
      </c>
      <c r="Z90">
        <f t="shared" si="20"/>
        <v>6241.0249999999996</v>
      </c>
      <c r="AA90">
        <v>5345.88</v>
      </c>
      <c r="AB90">
        <v>895.14</v>
      </c>
      <c r="AC90">
        <f t="shared" si="21"/>
        <v>2956.2749999999996</v>
      </c>
      <c r="AD90" s="6">
        <f t="shared" si="22"/>
        <v>0.47368421052631576</v>
      </c>
      <c r="AE90" t="s">
        <v>32</v>
      </c>
      <c r="AF90" t="s">
        <v>33</v>
      </c>
      <c r="AG90">
        <f t="shared" si="23"/>
        <v>3</v>
      </c>
      <c r="AH90">
        <f t="shared" si="24"/>
        <v>2024</v>
      </c>
      <c r="AI90" t="str">
        <f t="shared" si="25"/>
        <v>CLEAN</v>
      </c>
    </row>
    <row r="91" spans="1:35">
      <c r="A91" t="s">
        <v>377</v>
      </c>
      <c r="B91">
        <f t="shared" si="13"/>
        <v>1</v>
      </c>
      <c r="C91" t="str">
        <f>IF(COUNTIF($A$2:A91, A91)&gt;1, "DUPLICATE_FLAGGED_FOR_REVIEW", "")</f>
        <v/>
      </c>
      <c r="D91" s="3">
        <v>45540</v>
      </c>
      <c r="E91" s="2">
        <v>45540</v>
      </c>
      <c r="F91" s="2" t="str">
        <f t="shared" si="14"/>
        <v>OK</v>
      </c>
      <c r="G91" s="4">
        <f t="shared" si="15"/>
        <v>0</v>
      </c>
      <c r="H91" t="s">
        <v>378</v>
      </c>
      <c r="I91" t="s">
        <v>264</v>
      </c>
      <c r="J91" t="s">
        <v>24</v>
      </c>
      <c r="K91" t="s">
        <v>54</v>
      </c>
      <c r="L91" t="str">
        <f t="shared" si="16"/>
        <v>South</v>
      </c>
      <c r="M91" t="s">
        <v>84</v>
      </c>
      <c r="N91" t="s">
        <v>85</v>
      </c>
      <c r="O91" t="s">
        <v>41</v>
      </c>
      <c r="P91" t="s">
        <v>158</v>
      </c>
      <c r="Q91" t="s">
        <v>379</v>
      </c>
      <c r="R91" t="s">
        <v>59</v>
      </c>
      <c r="S91" t="str">
        <f t="shared" si="17"/>
        <v>Standard Class</v>
      </c>
      <c r="T91">
        <v>7</v>
      </c>
      <c r="U91">
        <v>3761.09</v>
      </c>
      <c r="V91">
        <v>0.2</v>
      </c>
      <c r="W91">
        <f t="shared" si="18"/>
        <v>0.2</v>
      </c>
      <c r="X91" t="str">
        <f t="shared" si="19"/>
        <v/>
      </c>
      <c r="Y91">
        <v>21062.1</v>
      </c>
      <c r="Z91">
        <f t="shared" si="20"/>
        <v>21062.104000000003</v>
      </c>
      <c r="AA91">
        <v>12057.13</v>
      </c>
      <c r="AB91">
        <v>9004.9699999999993</v>
      </c>
      <c r="AC91">
        <f t="shared" si="21"/>
        <v>17301.014000000003</v>
      </c>
      <c r="AD91" s="6">
        <f t="shared" si="22"/>
        <v>0.8214285714285714</v>
      </c>
      <c r="AE91" t="s">
        <v>111</v>
      </c>
      <c r="AF91" t="s">
        <v>68</v>
      </c>
      <c r="AG91">
        <f t="shared" si="23"/>
        <v>9</v>
      </c>
      <c r="AH91">
        <f t="shared" si="24"/>
        <v>2024</v>
      </c>
      <c r="AI91" t="str">
        <f t="shared" si="25"/>
        <v>CLEAN</v>
      </c>
    </row>
    <row r="92" spans="1:35">
      <c r="A92" t="s">
        <v>380</v>
      </c>
      <c r="B92">
        <f t="shared" si="13"/>
        <v>2</v>
      </c>
      <c r="C92" t="str">
        <f>IF(COUNTIF($A$2:A92, A92)&gt;1, "DUPLICATE_FLAGGED_FOR_REVIEW", "")</f>
        <v/>
      </c>
      <c r="D92" s="3">
        <v>45893</v>
      </c>
      <c r="E92" s="2">
        <v>45898</v>
      </c>
      <c r="F92" s="2" t="str">
        <f t="shared" si="14"/>
        <v>OK</v>
      </c>
      <c r="G92" s="4">
        <f t="shared" si="15"/>
        <v>5</v>
      </c>
      <c r="H92" t="s">
        <v>381</v>
      </c>
      <c r="I92" t="s">
        <v>128</v>
      </c>
      <c r="J92" t="s">
        <v>37</v>
      </c>
      <c r="K92" t="s">
        <v>38</v>
      </c>
      <c r="L92" t="str">
        <f t="shared" si="16"/>
        <v>East</v>
      </c>
      <c r="M92" t="s">
        <v>145</v>
      </c>
      <c r="N92" t="s">
        <v>146</v>
      </c>
      <c r="O92" t="s">
        <v>74</v>
      </c>
      <c r="P92" t="s">
        <v>80</v>
      </c>
      <c r="Q92" t="s">
        <v>382</v>
      </c>
      <c r="R92" t="s">
        <v>50</v>
      </c>
      <c r="S92" t="str">
        <f t="shared" si="17"/>
        <v>First Class</v>
      </c>
      <c r="T92">
        <v>3</v>
      </c>
      <c r="U92">
        <v>3703.96</v>
      </c>
      <c r="V92">
        <v>0.15</v>
      </c>
      <c r="W92">
        <f t="shared" si="18"/>
        <v>0.15</v>
      </c>
      <c r="X92" t="str">
        <f t="shared" si="19"/>
        <v/>
      </c>
      <c r="Y92">
        <v>9445.1</v>
      </c>
      <c r="Z92">
        <f t="shared" si="20"/>
        <v>9445.098</v>
      </c>
      <c r="AA92">
        <v>5586.28</v>
      </c>
      <c r="AB92">
        <v>3858.82</v>
      </c>
      <c r="AC92">
        <f t="shared" si="21"/>
        <v>5741.1379999999999</v>
      </c>
      <c r="AD92" s="6">
        <f t="shared" si="22"/>
        <v>0.60784313725490191</v>
      </c>
      <c r="AE92" t="s">
        <v>32</v>
      </c>
      <c r="AF92" t="s">
        <v>33</v>
      </c>
      <c r="AG92">
        <f t="shared" si="23"/>
        <v>8</v>
      </c>
      <c r="AH92">
        <f t="shared" si="24"/>
        <v>2025</v>
      </c>
      <c r="AI92" t="str">
        <f t="shared" si="25"/>
        <v>CLEAN</v>
      </c>
    </row>
    <row r="93" spans="1:35">
      <c r="A93" t="s">
        <v>383</v>
      </c>
      <c r="B93">
        <f t="shared" si="13"/>
        <v>1</v>
      </c>
      <c r="C93" t="str">
        <f>IF(COUNTIF($A$2:A93, A93)&gt;1, "DUPLICATE_FLAGGED_FOR_REVIEW", "")</f>
        <v/>
      </c>
      <c r="D93" s="3">
        <v>45718</v>
      </c>
      <c r="E93" s="2">
        <v>45872</v>
      </c>
      <c r="F93" s="2" t="str">
        <f t="shared" si="14"/>
        <v>OK</v>
      </c>
      <c r="G93" s="4">
        <f t="shared" si="15"/>
        <v>154</v>
      </c>
      <c r="H93" t="s">
        <v>384</v>
      </c>
      <c r="I93" t="s">
        <v>132</v>
      </c>
      <c r="J93" t="s">
        <v>90</v>
      </c>
      <c r="K93" t="s">
        <v>63</v>
      </c>
      <c r="L93" t="str">
        <f t="shared" si="16"/>
        <v>West</v>
      </c>
      <c r="M93" t="s">
        <v>72</v>
      </c>
      <c r="N93" t="s">
        <v>73</v>
      </c>
      <c r="O93" t="s">
        <v>74</v>
      </c>
      <c r="P93" t="s">
        <v>80</v>
      </c>
      <c r="Q93" t="s">
        <v>385</v>
      </c>
      <c r="R93" t="s">
        <v>31</v>
      </c>
      <c r="S93" t="str">
        <f t="shared" si="17"/>
        <v>Second Class</v>
      </c>
      <c r="T93">
        <v>9</v>
      </c>
      <c r="U93">
        <v>269.68</v>
      </c>
      <c r="V93">
        <v>0</v>
      </c>
      <c r="W93">
        <f t="shared" si="18"/>
        <v>0</v>
      </c>
      <c r="X93" t="str">
        <f t="shared" si="19"/>
        <v/>
      </c>
      <c r="Y93">
        <v>2427.12</v>
      </c>
      <c r="Z93">
        <f t="shared" si="20"/>
        <v>2427.12</v>
      </c>
      <c r="AA93">
        <v>1538.35</v>
      </c>
      <c r="AB93">
        <v>804.53</v>
      </c>
      <c r="AC93">
        <f t="shared" si="21"/>
        <v>2157.44</v>
      </c>
      <c r="AD93" s="6">
        <f t="shared" si="22"/>
        <v>0.88888888888888895</v>
      </c>
      <c r="AE93" t="s">
        <v>32</v>
      </c>
      <c r="AF93" t="s">
        <v>33</v>
      </c>
      <c r="AG93">
        <f t="shared" si="23"/>
        <v>3</v>
      </c>
      <c r="AH93">
        <f t="shared" si="24"/>
        <v>2025</v>
      </c>
      <c r="AI93" t="str">
        <f t="shared" si="25"/>
        <v>CLEAN</v>
      </c>
    </row>
    <row r="94" spans="1:35">
      <c r="A94" t="s">
        <v>386</v>
      </c>
      <c r="B94">
        <f t="shared" si="13"/>
        <v>1</v>
      </c>
      <c r="C94" t="str">
        <f>IF(COUNTIF($A$2:A94, A94)&gt;1, "DUPLICATE_FLAGGED_FOR_REVIEW", "")</f>
        <v/>
      </c>
      <c r="D94" s="3">
        <v>45680</v>
      </c>
      <c r="E94" s="2">
        <v>45683</v>
      </c>
      <c r="F94" s="2" t="str">
        <f t="shared" si="14"/>
        <v>OK</v>
      </c>
      <c r="G94" s="4">
        <f t="shared" si="15"/>
        <v>3</v>
      </c>
      <c r="H94" t="s">
        <v>387</v>
      </c>
      <c r="I94" t="s">
        <v>128</v>
      </c>
      <c r="J94" t="s">
        <v>24</v>
      </c>
      <c r="K94" t="s">
        <v>63</v>
      </c>
      <c r="L94" t="str">
        <f t="shared" si="16"/>
        <v>West</v>
      </c>
      <c r="M94" t="s">
        <v>72</v>
      </c>
      <c r="N94" t="s">
        <v>73</v>
      </c>
      <c r="O94" t="s">
        <v>28</v>
      </c>
      <c r="P94" t="s">
        <v>29</v>
      </c>
      <c r="Q94" t="s">
        <v>388</v>
      </c>
      <c r="R94" t="s">
        <v>59</v>
      </c>
      <c r="S94" t="str">
        <f t="shared" si="17"/>
        <v>Standard Class</v>
      </c>
      <c r="T94">
        <v>9</v>
      </c>
      <c r="U94">
        <v>4458.26</v>
      </c>
      <c r="V94">
        <v>0.1</v>
      </c>
      <c r="W94">
        <f t="shared" si="18"/>
        <v>0.1</v>
      </c>
      <c r="X94" t="str">
        <f t="shared" si="19"/>
        <v/>
      </c>
      <c r="Y94">
        <v>36111.910000000003</v>
      </c>
      <c r="Z94">
        <f t="shared" si="20"/>
        <v>36111.906000000003</v>
      </c>
      <c r="AA94">
        <v>29194.5</v>
      </c>
      <c r="AB94">
        <v>6917.41</v>
      </c>
      <c r="AC94">
        <f t="shared" si="21"/>
        <v>31653.646000000001</v>
      </c>
      <c r="AD94" s="6">
        <f t="shared" si="22"/>
        <v>0.87654320987654322</v>
      </c>
      <c r="AE94" t="s">
        <v>32</v>
      </c>
      <c r="AF94" t="s">
        <v>33</v>
      </c>
      <c r="AG94">
        <f t="shared" si="23"/>
        <v>1</v>
      </c>
      <c r="AH94">
        <f t="shared" si="24"/>
        <v>2025</v>
      </c>
      <c r="AI94" t="str">
        <f t="shared" si="25"/>
        <v>CLEAN</v>
      </c>
    </row>
    <row r="95" spans="1:35">
      <c r="A95" t="s">
        <v>389</v>
      </c>
      <c r="B95">
        <f t="shared" si="13"/>
        <v>1</v>
      </c>
      <c r="C95" t="str">
        <f>IF(COUNTIF($A$2:A95, A95)&gt;1, "DUPLICATE_FLAGGED_FOR_REVIEW", "")</f>
        <v/>
      </c>
      <c r="D95" s="3">
        <v>45474</v>
      </c>
      <c r="E95" s="2">
        <v>45304</v>
      </c>
      <c r="F95" s="2" t="str">
        <f t="shared" si="14"/>
        <v>ERROR: Ship before order</v>
      </c>
      <c r="G95" s="4">
        <f t="shared" si="15"/>
        <v>-170</v>
      </c>
      <c r="H95" t="s">
        <v>390</v>
      </c>
      <c r="I95" t="s">
        <v>141</v>
      </c>
      <c r="J95" t="s">
        <v>90</v>
      </c>
      <c r="K95" t="s">
        <v>25</v>
      </c>
      <c r="L95" t="str">
        <f t="shared" si="16"/>
        <v>North</v>
      </c>
      <c r="M95" t="s">
        <v>136</v>
      </c>
      <c r="N95" t="s">
        <v>137</v>
      </c>
      <c r="O95" t="s">
        <v>28</v>
      </c>
      <c r="P95" t="s">
        <v>153</v>
      </c>
      <c r="Q95" t="s">
        <v>391</v>
      </c>
      <c r="R95" t="s">
        <v>59</v>
      </c>
      <c r="S95" t="str">
        <f t="shared" si="17"/>
        <v>Standard Class</v>
      </c>
      <c r="T95">
        <v>7</v>
      </c>
      <c r="U95">
        <v>2788.97</v>
      </c>
      <c r="V95">
        <v>-0.09</v>
      </c>
      <c r="W95">
        <f t="shared" si="18"/>
        <v>-0.09</v>
      </c>
      <c r="X95" t="str">
        <f t="shared" si="19"/>
        <v>INVALID_NEGATIVE_DISCOUNT</v>
      </c>
      <c r="Y95">
        <v>19522.79</v>
      </c>
      <c r="Z95">
        <f t="shared" si="20"/>
        <v>21279.841099999998</v>
      </c>
      <c r="AA95">
        <v>12455.78</v>
      </c>
      <c r="AB95">
        <v>7067.01</v>
      </c>
      <c r="AC95">
        <f t="shared" si="21"/>
        <v>18490.871099999997</v>
      </c>
      <c r="AD95" s="6">
        <f t="shared" si="22"/>
        <v>0.86893840104849274</v>
      </c>
      <c r="AE95" t="s">
        <v>32</v>
      </c>
      <c r="AF95" t="s">
        <v>33</v>
      </c>
      <c r="AG95">
        <f t="shared" si="23"/>
        <v>7</v>
      </c>
      <c r="AH95">
        <f t="shared" si="24"/>
        <v>2024</v>
      </c>
      <c r="AI95" t="str">
        <f t="shared" si="25"/>
        <v>INVALID</v>
      </c>
    </row>
    <row r="96" spans="1:35">
      <c r="A96" t="s">
        <v>392</v>
      </c>
      <c r="B96">
        <f t="shared" si="13"/>
        <v>1</v>
      </c>
      <c r="C96" t="str">
        <f>IF(COUNTIF($A$2:A96, A96)&gt;1, "DUPLICATE_FLAGGED_FOR_REVIEW", "")</f>
        <v/>
      </c>
      <c r="D96" s="3">
        <v>45452</v>
      </c>
      <c r="E96" s="2">
        <v>45544</v>
      </c>
      <c r="F96" s="2" t="str">
        <f t="shared" si="14"/>
        <v>OK</v>
      </c>
      <c r="G96" s="4">
        <f t="shared" si="15"/>
        <v>92</v>
      </c>
      <c r="H96" t="s">
        <v>393</v>
      </c>
      <c r="I96" t="s">
        <v>162</v>
      </c>
      <c r="J96" t="s">
        <v>24</v>
      </c>
      <c r="K96" t="s">
        <v>25</v>
      </c>
      <c r="L96" t="str">
        <f t="shared" si="16"/>
        <v>North</v>
      </c>
      <c r="M96" t="s">
        <v>236</v>
      </c>
      <c r="N96" t="s">
        <v>237</v>
      </c>
      <c r="O96" t="s">
        <v>74</v>
      </c>
      <c r="P96" t="s">
        <v>171</v>
      </c>
      <c r="Q96" t="s">
        <v>394</v>
      </c>
      <c r="R96" t="s">
        <v>31</v>
      </c>
      <c r="S96" t="str">
        <f t="shared" si="17"/>
        <v>Second Class</v>
      </c>
      <c r="T96">
        <v>7</v>
      </c>
      <c r="U96">
        <v>3781.53</v>
      </c>
      <c r="V96">
        <v>0</v>
      </c>
      <c r="W96">
        <f t="shared" si="18"/>
        <v>0</v>
      </c>
      <c r="X96" t="str">
        <f t="shared" si="19"/>
        <v/>
      </c>
      <c r="Y96">
        <v>26470.71</v>
      </c>
      <c r="Z96">
        <f t="shared" si="20"/>
        <v>26470.710000000003</v>
      </c>
      <c r="AA96">
        <v>21367.599999999999</v>
      </c>
      <c r="AB96">
        <v>5103.1099999999997</v>
      </c>
      <c r="AC96">
        <f t="shared" si="21"/>
        <v>22689.180000000004</v>
      </c>
      <c r="AD96" s="6">
        <f t="shared" si="22"/>
        <v>0.85714285714285721</v>
      </c>
      <c r="AE96" t="s">
        <v>111</v>
      </c>
      <c r="AF96" t="s">
        <v>68</v>
      </c>
      <c r="AG96">
        <f t="shared" si="23"/>
        <v>6</v>
      </c>
      <c r="AH96">
        <f t="shared" si="24"/>
        <v>2024</v>
      </c>
      <c r="AI96" t="str">
        <f t="shared" si="25"/>
        <v>CLEAN</v>
      </c>
    </row>
    <row r="97" spans="1:35">
      <c r="A97" t="s">
        <v>395</v>
      </c>
      <c r="B97">
        <f t="shared" si="13"/>
        <v>1</v>
      </c>
      <c r="C97" t="str">
        <f>IF(COUNTIF($A$2:A97, A97)&gt;1, "DUPLICATE_FLAGGED_FOR_REVIEW", "")</f>
        <v/>
      </c>
      <c r="D97" s="3">
        <v>45905</v>
      </c>
      <c r="E97" s="2">
        <v>45939</v>
      </c>
      <c r="F97" s="2" t="str">
        <f t="shared" si="14"/>
        <v>OK</v>
      </c>
      <c r="G97" s="4">
        <f t="shared" si="15"/>
        <v>34</v>
      </c>
      <c r="H97" t="s">
        <v>396</v>
      </c>
      <c r="I97" t="s">
        <v>132</v>
      </c>
      <c r="J97" t="s">
        <v>90</v>
      </c>
      <c r="K97" t="s">
        <v>63</v>
      </c>
      <c r="L97" t="str">
        <f t="shared" si="16"/>
        <v>West</v>
      </c>
      <c r="M97" t="s">
        <v>190</v>
      </c>
      <c r="N97" t="s">
        <v>191</v>
      </c>
      <c r="O97" t="s">
        <v>41</v>
      </c>
      <c r="P97" t="s">
        <v>158</v>
      </c>
      <c r="Q97" t="s">
        <v>397</v>
      </c>
      <c r="R97" t="s">
        <v>44</v>
      </c>
      <c r="S97" t="str">
        <f t="shared" si="17"/>
        <v>Same Day</v>
      </c>
      <c r="T97">
        <v>6</v>
      </c>
      <c r="U97">
        <v>1754.13</v>
      </c>
      <c r="V97">
        <v>0</v>
      </c>
      <c r="W97">
        <f t="shared" si="18"/>
        <v>0</v>
      </c>
      <c r="X97" t="str">
        <f t="shared" si="19"/>
        <v/>
      </c>
      <c r="Y97">
        <v>10524.78</v>
      </c>
      <c r="Z97">
        <f t="shared" si="20"/>
        <v>10524.78</v>
      </c>
      <c r="AA97">
        <v>8841.0499999999993</v>
      </c>
      <c r="AB97">
        <v>1683.73</v>
      </c>
      <c r="AC97">
        <f t="shared" si="21"/>
        <v>8770.6500000000015</v>
      </c>
      <c r="AD97" s="6">
        <f t="shared" si="22"/>
        <v>0.83333333333333337</v>
      </c>
      <c r="AE97" t="s">
        <v>32</v>
      </c>
      <c r="AF97" t="s">
        <v>33</v>
      </c>
      <c r="AG97">
        <f t="shared" si="23"/>
        <v>9</v>
      </c>
      <c r="AH97">
        <f t="shared" si="24"/>
        <v>2025</v>
      </c>
      <c r="AI97" t="str">
        <f t="shared" si="25"/>
        <v>CLEAN</v>
      </c>
    </row>
    <row r="98" spans="1:35">
      <c r="A98" t="s">
        <v>398</v>
      </c>
      <c r="B98">
        <f t="shared" si="13"/>
        <v>1</v>
      </c>
      <c r="C98" t="str">
        <f>IF(COUNTIF($A$2:A98, A98)&gt;1, "DUPLICATE_FLAGGED_FOR_REVIEW", "")</f>
        <v/>
      </c>
      <c r="D98" s="3">
        <v>45448</v>
      </c>
      <c r="E98" s="2">
        <v>45450</v>
      </c>
      <c r="F98" s="2" t="str">
        <f t="shared" si="14"/>
        <v>OK</v>
      </c>
      <c r="G98" s="4">
        <f t="shared" si="15"/>
        <v>2</v>
      </c>
      <c r="H98" t="s">
        <v>399</v>
      </c>
      <c r="I98" t="s">
        <v>118</v>
      </c>
      <c r="J98" t="s">
        <v>95</v>
      </c>
      <c r="K98" t="s">
        <v>38</v>
      </c>
      <c r="L98" t="str">
        <f t="shared" si="16"/>
        <v>East</v>
      </c>
      <c r="M98" t="s">
        <v>39</v>
      </c>
      <c r="N98" t="s">
        <v>40</v>
      </c>
      <c r="O98" t="s">
        <v>74</v>
      </c>
      <c r="P98" t="s">
        <v>80</v>
      </c>
      <c r="Q98" t="s">
        <v>400</v>
      </c>
      <c r="R98" t="s">
        <v>31</v>
      </c>
      <c r="S98" t="str">
        <f t="shared" si="17"/>
        <v>Second Class</v>
      </c>
      <c r="T98">
        <v>2</v>
      </c>
      <c r="U98">
        <v>2259.2399999999998</v>
      </c>
      <c r="V98">
        <v>0.15</v>
      </c>
      <c r="W98">
        <f t="shared" si="18"/>
        <v>0.15</v>
      </c>
      <c r="X98" t="str">
        <f t="shared" si="19"/>
        <v/>
      </c>
      <c r="Y98">
        <v>3840.71</v>
      </c>
      <c r="Z98">
        <f t="shared" si="20"/>
        <v>3840.7079999999996</v>
      </c>
      <c r="AA98">
        <v>2516.29</v>
      </c>
      <c r="AB98">
        <v>1324.42</v>
      </c>
      <c r="AC98">
        <f t="shared" si="21"/>
        <v>1581.4679999999998</v>
      </c>
      <c r="AD98" s="6">
        <f t="shared" si="22"/>
        <v>0.41176470588235292</v>
      </c>
      <c r="AE98" t="s">
        <v>32</v>
      </c>
      <c r="AF98" t="s">
        <v>33</v>
      </c>
      <c r="AG98">
        <f t="shared" si="23"/>
        <v>6</v>
      </c>
      <c r="AH98">
        <f t="shared" si="24"/>
        <v>2024</v>
      </c>
      <c r="AI98" t="str">
        <f t="shared" si="25"/>
        <v>CLEAN</v>
      </c>
    </row>
    <row r="99" spans="1:35">
      <c r="A99" t="s">
        <v>401</v>
      </c>
      <c r="B99">
        <f t="shared" si="13"/>
        <v>1</v>
      </c>
      <c r="C99" t="str">
        <f>IF(COUNTIF($A$2:A99, A99)&gt;1, "DUPLICATE_FLAGGED_FOR_REVIEW", "")</f>
        <v/>
      </c>
      <c r="D99" s="3">
        <v>45877</v>
      </c>
      <c r="E99" s="2">
        <v>45880</v>
      </c>
      <c r="F99" s="2" t="str">
        <f t="shared" si="14"/>
        <v>OK</v>
      </c>
      <c r="G99" s="4">
        <f t="shared" si="15"/>
        <v>3</v>
      </c>
      <c r="H99" t="s">
        <v>402</v>
      </c>
      <c r="I99" t="s">
        <v>162</v>
      </c>
      <c r="J99" t="s">
        <v>37</v>
      </c>
      <c r="K99" t="s">
        <v>63</v>
      </c>
      <c r="L99" t="str">
        <f t="shared" si="16"/>
        <v>West</v>
      </c>
      <c r="M99" t="s">
        <v>180</v>
      </c>
      <c r="N99" t="s">
        <v>181</v>
      </c>
      <c r="O99" t="s">
        <v>28</v>
      </c>
      <c r="P99" t="s">
        <v>124</v>
      </c>
      <c r="Q99" t="s">
        <v>403</v>
      </c>
      <c r="R99" t="s">
        <v>44</v>
      </c>
      <c r="S99" t="str">
        <f t="shared" si="17"/>
        <v>Same Day</v>
      </c>
      <c r="T99">
        <v>5</v>
      </c>
      <c r="U99">
        <v>3602.36</v>
      </c>
      <c r="V99">
        <v>0.2</v>
      </c>
      <c r="W99">
        <f t="shared" si="18"/>
        <v>0.2</v>
      </c>
      <c r="X99" t="str">
        <f t="shared" si="19"/>
        <v/>
      </c>
      <c r="Y99">
        <v>14409.44</v>
      </c>
      <c r="Z99">
        <f t="shared" si="20"/>
        <v>14409.44</v>
      </c>
      <c r="AA99">
        <v>8809.9699999999993</v>
      </c>
      <c r="AB99">
        <v>5599.47</v>
      </c>
      <c r="AC99">
        <f t="shared" si="21"/>
        <v>10807.08</v>
      </c>
      <c r="AD99" s="6">
        <f t="shared" si="22"/>
        <v>0.75</v>
      </c>
      <c r="AE99" t="s">
        <v>111</v>
      </c>
      <c r="AF99" t="s">
        <v>103</v>
      </c>
      <c r="AG99">
        <f t="shared" si="23"/>
        <v>8</v>
      </c>
      <c r="AH99">
        <f t="shared" si="24"/>
        <v>2025</v>
      </c>
      <c r="AI99" t="str">
        <f t="shared" si="25"/>
        <v>CLEAN</v>
      </c>
    </row>
    <row r="100" spans="1:35">
      <c r="A100" t="s">
        <v>404</v>
      </c>
      <c r="B100">
        <f t="shared" si="13"/>
        <v>1</v>
      </c>
      <c r="C100" t="str">
        <f>IF(COUNTIF($A$2:A100, A100)&gt;1, "DUPLICATE_FLAGGED_FOR_REVIEW", "")</f>
        <v/>
      </c>
      <c r="D100" s="3">
        <v>45317</v>
      </c>
      <c r="E100" s="2">
        <v>45293</v>
      </c>
      <c r="F100" s="2" t="str">
        <f t="shared" si="14"/>
        <v>ERROR: Ship before order</v>
      </c>
      <c r="G100" s="4">
        <f t="shared" si="15"/>
        <v>-24</v>
      </c>
      <c r="H100" t="s">
        <v>405</v>
      </c>
      <c r="I100" t="s">
        <v>141</v>
      </c>
      <c r="J100" t="s">
        <v>95</v>
      </c>
      <c r="K100" t="s">
        <v>54</v>
      </c>
      <c r="L100" t="str">
        <f t="shared" si="16"/>
        <v>South</v>
      </c>
      <c r="M100" t="s">
        <v>185</v>
      </c>
      <c r="N100" t="s">
        <v>186</v>
      </c>
      <c r="O100" t="s">
        <v>74</v>
      </c>
      <c r="P100" t="s">
        <v>80</v>
      </c>
      <c r="Q100" t="s">
        <v>406</v>
      </c>
      <c r="R100" t="s">
        <v>2760</v>
      </c>
      <c r="S100" t="str">
        <f t="shared" si="17"/>
        <v>Unknown</v>
      </c>
      <c r="T100">
        <v>8</v>
      </c>
      <c r="U100">
        <v>2108.9299999999998</v>
      </c>
      <c r="V100">
        <v>0.1</v>
      </c>
      <c r="W100">
        <f t="shared" si="18"/>
        <v>0.1</v>
      </c>
      <c r="X100" t="str">
        <f t="shared" si="19"/>
        <v/>
      </c>
      <c r="Y100">
        <v>15184.3</v>
      </c>
      <c r="Z100">
        <f t="shared" si="20"/>
        <v>15184.295999999998</v>
      </c>
      <c r="AA100">
        <v>11270.74</v>
      </c>
      <c r="AB100">
        <v>3913.56</v>
      </c>
      <c r="AC100">
        <f t="shared" si="21"/>
        <v>13075.365999999998</v>
      </c>
      <c r="AD100" s="6">
        <f t="shared" si="22"/>
        <v>0.86111111111111105</v>
      </c>
      <c r="AE100" t="s">
        <v>32</v>
      </c>
      <c r="AF100" t="s">
        <v>33</v>
      </c>
      <c r="AG100">
        <f t="shared" si="23"/>
        <v>1</v>
      </c>
      <c r="AH100">
        <f t="shared" si="24"/>
        <v>2024</v>
      </c>
      <c r="AI100" t="str">
        <f t="shared" si="25"/>
        <v>INVALID</v>
      </c>
    </row>
    <row r="101" spans="1:35">
      <c r="A101" t="s">
        <v>407</v>
      </c>
      <c r="B101">
        <f t="shared" si="13"/>
        <v>1</v>
      </c>
      <c r="C101" t="str">
        <f>IF(COUNTIF($A$2:A101, A101)&gt;1, "DUPLICATE_FLAGGED_FOR_REVIEW", "")</f>
        <v/>
      </c>
      <c r="D101" s="3">
        <v>45668</v>
      </c>
      <c r="E101" s="2">
        <v>45668</v>
      </c>
      <c r="F101" s="2" t="str">
        <f t="shared" si="14"/>
        <v>OK</v>
      </c>
      <c r="G101" s="4">
        <f t="shared" si="15"/>
        <v>0</v>
      </c>
      <c r="H101" t="s">
        <v>408</v>
      </c>
      <c r="I101" t="s">
        <v>89</v>
      </c>
      <c r="J101" t="s">
        <v>37</v>
      </c>
      <c r="K101" t="s">
        <v>63</v>
      </c>
      <c r="L101" t="str">
        <f t="shared" si="16"/>
        <v>West</v>
      </c>
      <c r="M101" t="s">
        <v>26</v>
      </c>
      <c r="N101" t="s">
        <v>109</v>
      </c>
      <c r="O101" t="s">
        <v>74</v>
      </c>
      <c r="P101" t="s">
        <v>75</v>
      </c>
      <c r="Q101" t="s">
        <v>409</v>
      </c>
      <c r="R101" t="s">
        <v>44</v>
      </c>
      <c r="S101" t="str">
        <f t="shared" si="17"/>
        <v>Same Day</v>
      </c>
      <c r="T101">
        <v>3</v>
      </c>
      <c r="U101">
        <v>2165.29</v>
      </c>
      <c r="V101">
        <v>0</v>
      </c>
      <c r="W101">
        <f t="shared" si="18"/>
        <v>0</v>
      </c>
      <c r="X101" t="str">
        <f t="shared" si="19"/>
        <v/>
      </c>
      <c r="Y101">
        <v>6495.87</v>
      </c>
      <c r="Z101">
        <f t="shared" si="20"/>
        <v>6495.87</v>
      </c>
      <c r="AA101">
        <v>4700.8900000000003</v>
      </c>
      <c r="AB101">
        <v>1794.98</v>
      </c>
      <c r="AC101">
        <f t="shared" si="21"/>
        <v>4330.58</v>
      </c>
      <c r="AD101" s="6">
        <f t="shared" si="22"/>
        <v>0.66666666666666663</v>
      </c>
      <c r="AE101" t="s">
        <v>32</v>
      </c>
      <c r="AF101" t="s">
        <v>33</v>
      </c>
      <c r="AG101">
        <f t="shared" si="23"/>
        <v>1</v>
      </c>
      <c r="AH101">
        <f t="shared" si="24"/>
        <v>2025</v>
      </c>
      <c r="AI101" t="str">
        <f t="shared" si="25"/>
        <v>CLEAN</v>
      </c>
    </row>
    <row r="102" spans="1:35">
      <c r="A102" t="s">
        <v>410</v>
      </c>
      <c r="B102">
        <f t="shared" si="13"/>
        <v>1</v>
      </c>
      <c r="C102" t="str">
        <f>IF(COUNTIF($A$2:A102, A102)&gt;1, "DUPLICATE_FLAGGED_FOR_REVIEW", "")</f>
        <v/>
      </c>
      <c r="D102" s="3">
        <v>45912</v>
      </c>
      <c r="E102" s="2">
        <v>45918</v>
      </c>
      <c r="F102" s="2" t="str">
        <f t="shared" si="14"/>
        <v>OK</v>
      </c>
      <c r="G102" s="4">
        <f t="shared" si="15"/>
        <v>6</v>
      </c>
      <c r="H102" t="s">
        <v>411</v>
      </c>
      <c r="I102" t="s">
        <v>128</v>
      </c>
      <c r="J102" t="s">
        <v>95</v>
      </c>
      <c r="K102" t="s">
        <v>54</v>
      </c>
      <c r="L102" t="str">
        <f t="shared" si="16"/>
        <v>South</v>
      </c>
      <c r="M102" t="s">
        <v>185</v>
      </c>
      <c r="N102" t="s">
        <v>186</v>
      </c>
      <c r="O102" t="s">
        <v>28</v>
      </c>
      <c r="P102" t="s">
        <v>124</v>
      </c>
      <c r="Q102" t="s">
        <v>412</v>
      </c>
      <c r="R102" t="s">
        <v>59</v>
      </c>
      <c r="S102" t="str">
        <f t="shared" si="17"/>
        <v>Standard Class</v>
      </c>
      <c r="T102">
        <v>6</v>
      </c>
      <c r="U102">
        <v>1673.8</v>
      </c>
      <c r="V102">
        <v>0.05</v>
      </c>
      <c r="W102">
        <f t="shared" si="18"/>
        <v>0.05</v>
      </c>
      <c r="X102" t="str">
        <f t="shared" si="19"/>
        <v/>
      </c>
      <c r="Y102">
        <v>9540.66</v>
      </c>
      <c r="Z102">
        <f t="shared" si="20"/>
        <v>9540.659999999998</v>
      </c>
      <c r="AA102">
        <v>5561.49</v>
      </c>
      <c r="AB102">
        <v>3979.17</v>
      </c>
      <c r="AC102">
        <f t="shared" si="21"/>
        <v>7866.8599999999979</v>
      </c>
      <c r="AD102" s="6">
        <f t="shared" si="22"/>
        <v>0.82456140350877183</v>
      </c>
      <c r="AE102" t="s">
        <v>32</v>
      </c>
      <c r="AF102" t="s">
        <v>33</v>
      </c>
      <c r="AG102">
        <f t="shared" si="23"/>
        <v>9</v>
      </c>
      <c r="AH102">
        <f t="shared" si="24"/>
        <v>2025</v>
      </c>
      <c r="AI102" t="str">
        <f t="shared" si="25"/>
        <v>CLEAN</v>
      </c>
    </row>
    <row r="103" spans="1:35">
      <c r="A103" t="s">
        <v>413</v>
      </c>
      <c r="B103">
        <f t="shared" si="13"/>
        <v>1</v>
      </c>
      <c r="C103" t="str">
        <f>IF(COUNTIF($A$2:A103, A103)&gt;1, "DUPLICATE_FLAGGED_FOR_REVIEW", "")</f>
        <v/>
      </c>
      <c r="D103" s="3">
        <v>45465</v>
      </c>
      <c r="E103" s="2">
        <v>45469</v>
      </c>
      <c r="F103" s="2" t="str">
        <f t="shared" si="14"/>
        <v>OK</v>
      </c>
      <c r="G103" s="4">
        <f t="shared" si="15"/>
        <v>4</v>
      </c>
      <c r="H103" t="s">
        <v>414</v>
      </c>
      <c r="I103" t="s">
        <v>141</v>
      </c>
      <c r="J103" t="s">
        <v>95</v>
      </c>
      <c r="K103" t="s">
        <v>38</v>
      </c>
      <c r="L103" t="str">
        <f t="shared" si="16"/>
        <v>East</v>
      </c>
      <c r="M103" t="s">
        <v>145</v>
      </c>
      <c r="N103" t="s">
        <v>146</v>
      </c>
      <c r="O103" t="s">
        <v>41</v>
      </c>
      <c r="P103" t="s">
        <v>57</v>
      </c>
      <c r="Q103" t="s">
        <v>415</v>
      </c>
      <c r="R103" t="s">
        <v>50</v>
      </c>
      <c r="S103" t="str">
        <f t="shared" si="17"/>
        <v>First Class</v>
      </c>
      <c r="T103">
        <v>5</v>
      </c>
      <c r="U103">
        <v>4396.5200000000004</v>
      </c>
      <c r="V103">
        <v>0.25</v>
      </c>
      <c r="W103">
        <f t="shared" si="18"/>
        <v>0.25</v>
      </c>
      <c r="X103" t="str">
        <f t="shared" si="19"/>
        <v/>
      </c>
      <c r="Y103">
        <v>16486.95</v>
      </c>
      <c r="Z103">
        <f t="shared" si="20"/>
        <v>16486.95</v>
      </c>
      <c r="AA103">
        <v>12054.14</v>
      </c>
      <c r="AB103">
        <v>4432.8100000000004</v>
      </c>
      <c r="AC103">
        <f t="shared" si="21"/>
        <v>12090.43</v>
      </c>
      <c r="AD103" s="6">
        <f t="shared" si="22"/>
        <v>0.73333333333333328</v>
      </c>
      <c r="AE103" t="s">
        <v>32</v>
      </c>
      <c r="AF103" t="s">
        <v>33</v>
      </c>
      <c r="AG103">
        <f t="shared" si="23"/>
        <v>6</v>
      </c>
      <c r="AH103">
        <f t="shared" si="24"/>
        <v>2024</v>
      </c>
      <c r="AI103" t="str">
        <f t="shared" si="25"/>
        <v>CLEAN</v>
      </c>
    </row>
    <row r="104" spans="1:35">
      <c r="A104" t="s">
        <v>416</v>
      </c>
      <c r="B104">
        <f t="shared" si="13"/>
        <v>1</v>
      </c>
      <c r="C104" t="str">
        <f>IF(COUNTIF($A$2:A104, A104)&gt;1, "DUPLICATE_FLAGGED_FOR_REVIEW", "")</f>
        <v/>
      </c>
      <c r="D104" s="3">
        <v>45850</v>
      </c>
      <c r="E104" s="2">
        <v>45854</v>
      </c>
      <c r="F104" s="2" t="str">
        <f t="shared" si="14"/>
        <v>OK</v>
      </c>
      <c r="G104" s="4">
        <f t="shared" si="15"/>
        <v>4</v>
      </c>
      <c r="H104" t="s">
        <v>417</v>
      </c>
      <c r="I104" t="s">
        <v>71</v>
      </c>
      <c r="J104" t="s">
        <v>24</v>
      </c>
      <c r="K104" t="s">
        <v>54</v>
      </c>
      <c r="L104" t="str">
        <f t="shared" si="16"/>
        <v>South</v>
      </c>
      <c r="M104" t="s">
        <v>175</v>
      </c>
      <c r="N104" t="s">
        <v>176</v>
      </c>
      <c r="O104" t="s">
        <v>41</v>
      </c>
      <c r="P104" t="s">
        <v>66</v>
      </c>
      <c r="Q104" t="s">
        <v>418</v>
      </c>
      <c r="R104" t="s">
        <v>50</v>
      </c>
      <c r="S104" t="str">
        <f t="shared" si="17"/>
        <v>First Class</v>
      </c>
      <c r="T104">
        <v>4</v>
      </c>
      <c r="U104">
        <v>2865.71</v>
      </c>
      <c r="V104">
        <v>0</v>
      </c>
      <c r="W104">
        <f t="shared" si="18"/>
        <v>0</v>
      </c>
      <c r="X104" t="str">
        <f t="shared" si="19"/>
        <v/>
      </c>
      <c r="Y104">
        <v>11462.84</v>
      </c>
      <c r="Z104">
        <f t="shared" si="20"/>
        <v>11462.84</v>
      </c>
      <c r="AA104">
        <v>8979.7800000000007</v>
      </c>
      <c r="AB104">
        <v>2483.06</v>
      </c>
      <c r="AC104">
        <f t="shared" si="21"/>
        <v>8597.130000000001</v>
      </c>
      <c r="AD104" s="6">
        <f t="shared" si="22"/>
        <v>0.75000000000000011</v>
      </c>
      <c r="AE104" t="s">
        <v>102</v>
      </c>
      <c r="AF104" t="s">
        <v>68</v>
      </c>
      <c r="AG104">
        <f t="shared" si="23"/>
        <v>7</v>
      </c>
      <c r="AH104">
        <f t="shared" si="24"/>
        <v>2025</v>
      </c>
      <c r="AI104" t="str">
        <f t="shared" si="25"/>
        <v>CLEAN</v>
      </c>
    </row>
    <row r="105" spans="1:35">
      <c r="A105" t="s">
        <v>419</v>
      </c>
      <c r="B105">
        <f t="shared" si="13"/>
        <v>1</v>
      </c>
      <c r="C105" t="str">
        <f>IF(COUNTIF($A$2:A105, A105)&gt;1, "DUPLICATE_FLAGGED_FOR_REVIEW", "")</f>
        <v/>
      </c>
      <c r="D105" s="3">
        <v>45693</v>
      </c>
      <c r="E105" s="2">
        <v>45935</v>
      </c>
      <c r="F105" s="2" t="str">
        <f t="shared" si="14"/>
        <v>OK</v>
      </c>
      <c r="G105" s="4">
        <f t="shared" si="15"/>
        <v>242</v>
      </c>
      <c r="H105" t="s">
        <v>420</v>
      </c>
      <c r="I105" t="s">
        <v>264</v>
      </c>
      <c r="J105" t="s">
        <v>90</v>
      </c>
      <c r="K105" t="s">
        <v>63</v>
      </c>
      <c r="L105" t="str">
        <f t="shared" si="16"/>
        <v>West</v>
      </c>
      <c r="M105" t="s">
        <v>64</v>
      </c>
      <c r="N105" t="s">
        <v>65</v>
      </c>
      <c r="O105" t="s">
        <v>41</v>
      </c>
      <c r="P105" t="s">
        <v>42</v>
      </c>
      <c r="Q105" t="s">
        <v>421</v>
      </c>
      <c r="R105" t="s">
        <v>50</v>
      </c>
      <c r="S105" t="str">
        <f t="shared" si="17"/>
        <v>First Class</v>
      </c>
      <c r="T105">
        <v>4</v>
      </c>
      <c r="U105">
        <v>2440.34</v>
      </c>
      <c r="V105">
        <v>0.2</v>
      </c>
      <c r="W105">
        <f t="shared" si="18"/>
        <v>0.2</v>
      </c>
      <c r="X105" t="str">
        <f t="shared" si="19"/>
        <v/>
      </c>
      <c r="Y105">
        <v>7809.09</v>
      </c>
      <c r="Z105">
        <f t="shared" si="20"/>
        <v>7809.0880000000006</v>
      </c>
      <c r="AA105">
        <v>6657.75</v>
      </c>
      <c r="AB105">
        <v>1151.3399999999999</v>
      </c>
      <c r="AC105">
        <f t="shared" si="21"/>
        <v>5368.7480000000005</v>
      </c>
      <c r="AD105" s="6">
        <f t="shared" si="22"/>
        <v>0.6875</v>
      </c>
      <c r="AE105" t="s">
        <v>32</v>
      </c>
      <c r="AF105" t="s">
        <v>33</v>
      </c>
      <c r="AG105">
        <f t="shared" si="23"/>
        <v>2</v>
      </c>
      <c r="AH105">
        <f t="shared" si="24"/>
        <v>2025</v>
      </c>
      <c r="AI105" t="str">
        <f t="shared" si="25"/>
        <v>CLEAN</v>
      </c>
    </row>
    <row r="106" spans="1:35">
      <c r="A106" t="s">
        <v>422</v>
      </c>
      <c r="B106">
        <f t="shared" si="13"/>
        <v>1</v>
      </c>
      <c r="C106" t="str">
        <f>IF(COUNTIF($A$2:A106, A106)&gt;1, "DUPLICATE_FLAGGED_FOR_REVIEW", "")</f>
        <v/>
      </c>
      <c r="D106" s="3">
        <v>45689</v>
      </c>
      <c r="E106" s="2">
        <v>45871</v>
      </c>
      <c r="F106" s="2" t="str">
        <f t="shared" si="14"/>
        <v>OK</v>
      </c>
      <c r="G106" s="4">
        <f t="shared" si="15"/>
        <v>182</v>
      </c>
      <c r="H106" t="s">
        <v>423</v>
      </c>
      <c r="I106" t="s">
        <v>62</v>
      </c>
      <c r="J106" t="s">
        <v>24</v>
      </c>
      <c r="K106" t="s">
        <v>54</v>
      </c>
      <c r="L106" t="str">
        <f t="shared" si="16"/>
        <v>South</v>
      </c>
      <c r="M106" t="s">
        <v>175</v>
      </c>
      <c r="N106" t="s">
        <v>176</v>
      </c>
      <c r="O106" t="s">
        <v>28</v>
      </c>
      <c r="P106" t="s">
        <v>91</v>
      </c>
      <c r="Q106" t="s">
        <v>424</v>
      </c>
      <c r="R106" t="s">
        <v>44</v>
      </c>
      <c r="S106" t="str">
        <f t="shared" si="17"/>
        <v>Same Day</v>
      </c>
      <c r="T106">
        <v>5</v>
      </c>
      <c r="U106">
        <v>2112.54</v>
      </c>
      <c r="V106">
        <v>0.25</v>
      </c>
      <c r="W106">
        <f t="shared" si="18"/>
        <v>0.25</v>
      </c>
      <c r="X106" t="str">
        <f t="shared" si="19"/>
        <v/>
      </c>
      <c r="Y106">
        <v>8260.4599999999991</v>
      </c>
      <c r="Z106">
        <f t="shared" si="20"/>
        <v>7922.0250000000005</v>
      </c>
      <c r="AA106">
        <v>5619.95</v>
      </c>
      <c r="AB106">
        <v>2302.08</v>
      </c>
      <c r="AC106">
        <f t="shared" si="21"/>
        <v>5809.4850000000006</v>
      </c>
      <c r="AD106" s="6">
        <f t="shared" si="22"/>
        <v>0.73333333333333339</v>
      </c>
      <c r="AE106" t="s">
        <v>32</v>
      </c>
      <c r="AF106" t="s">
        <v>68</v>
      </c>
      <c r="AG106">
        <f t="shared" si="23"/>
        <v>2</v>
      </c>
      <c r="AH106">
        <f t="shared" si="24"/>
        <v>2025</v>
      </c>
      <c r="AI106" t="str">
        <f t="shared" si="25"/>
        <v>CLEAN</v>
      </c>
    </row>
    <row r="107" spans="1:35">
      <c r="A107" t="s">
        <v>425</v>
      </c>
      <c r="B107">
        <f t="shared" si="13"/>
        <v>1</v>
      </c>
      <c r="C107" t="str">
        <f>IF(COUNTIF($A$2:A107, A107)&gt;1, "DUPLICATE_FLAGGED_FOR_REVIEW", "")</f>
        <v/>
      </c>
      <c r="D107" s="3">
        <v>45467</v>
      </c>
      <c r="E107" s="2">
        <v>45472</v>
      </c>
      <c r="F107" s="2" t="str">
        <f t="shared" si="14"/>
        <v>OK</v>
      </c>
      <c r="G107" s="4">
        <f t="shared" si="15"/>
        <v>5</v>
      </c>
      <c r="H107" t="s">
        <v>426</v>
      </c>
      <c r="I107" t="s">
        <v>36</v>
      </c>
      <c r="J107" t="s">
        <v>95</v>
      </c>
      <c r="K107" t="s">
        <v>38</v>
      </c>
      <c r="L107" t="str">
        <f t="shared" si="16"/>
        <v>East</v>
      </c>
      <c r="M107" t="s">
        <v>99</v>
      </c>
      <c r="N107" t="s">
        <v>100</v>
      </c>
      <c r="O107" t="s">
        <v>41</v>
      </c>
      <c r="P107" t="s">
        <v>42</v>
      </c>
      <c r="Q107" t="s">
        <v>427</v>
      </c>
      <c r="R107" t="s">
        <v>31</v>
      </c>
      <c r="S107" t="str">
        <f t="shared" si="17"/>
        <v>Second Class</v>
      </c>
      <c r="T107">
        <v>2</v>
      </c>
      <c r="U107">
        <v>685</v>
      </c>
      <c r="V107">
        <v>0.1</v>
      </c>
      <c r="W107">
        <f t="shared" si="18"/>
        <v>0.1</v>
      </c>
      <c r="X107" t="str">
        <f t="shared" si="19"/>
        <v/>
      </c>
      <c r="Y107">
        <v>1233</v>
      </c>
      <c r="Z107">
        <f t="shared" si="20"/>
        <v>1233</v>
      </c>
      <c r="AA107">
        <v>1006.9</v>
      </c>
      <c r="AB107">
        <v>226.1</v>
      </c>
      <c r="AC107">
        <f t="shared" si="21"/>
        <v>548</v>
      </c>
      <c r="AD107" s="6">
        <f t="shared" si="22"/>
        <v>0.44444444444444442</v>
      </c>
      <c r="AE107" t="s">
        <v>32</v>
      </c>
      <c r="AF107" t="s">
        <v>33</v>
      </c>
      <c r="AG107">
        <f t="shared" si="23"/>
        <v>6</v>
      </c>
      <c r="AH107">
        <f t="shared" si="24"/>
        <v>2024</v>
      </c>
      <c r="AI107" t="str">
        <f t="shared" si="25"/>
        <v>CLEAN</v>
      </c>
    </row>
    <row r="108" spans="1:35">
      <c r="A108" t="s">
        <v>428</v>
      </c>
      <c r="B108">
        <f t="shared" si="13"/>
        <v>1</v>
      </c>
      <c r="C108" t="str">
        <f>IF(COUNTIF($A$2:A108, A108)&gt;1, "DUPLICATE_FLAGGED_FOR_REVIEW", "")</f>
        <v/>
      </c>
      <c r="D108" s="3">
        <v>45342</v>
      </c>
      <c r="E108" s="2">
        <v>45350</v>
      </c>
      <c r="F108" s="2" t="str">
        <f t="shared" si="14"/>
        <v>OK</v>
      </c>
      <c r="G108" s="4">
        <f t="shared" si="15"/>
        <v>8</v>
      </c>
      <c r="H108" t="s">
        <v>429</v>
      </c>
      <c r="I108" t="s">
        <v>53</v>
      </c>
      <c r="J108" t="s">
        <v>95</v>
      </c>
      <c r="K108" t="s">
        <v>38</v>
      </c>
      <c r="L108" t="str">
        <f t="shared" si="16"/>
        <v>East</v>
      </c>
      <c r="M108" t="s">
        <v>99</v>
      </c>
      <c r="N108" t="s">
        <v>100</v>
      </c>
      <c r="O108" t="s">
        <v>28</v>
      </c>
      <c r="P108" t="s">
        <v>29</v>
      </c>
      <c r="Q108" t="s">
        <v>430</v>
      </c>
      <c r="R108" t="s">
        <v>59</v>
      </c>
      <c r="S108" t="str">
        <f t="shared" si="17"/>
        <v>Standard Class</v>
      </c>
      <c r="T108">
        <v>2</v>
      </c>
      <c r="U108">
        <v>4004.04</v>
      </c>
      <c r="W108">
        <f t="shared" si="18"/>
        <v>0</v>
      </c>
      <c r="X108" t="str">
        <f t="shared" si="19"/>
        <v>DISCOUNT_MISSING_SET_TO_0</v>
      </c>
      <c r="Y108">
        <v>7207.27</v>
      </c>
      <c r="Z108">
        <f t="shared" si="20"/>
        <v>8008.08</v>
      </c>
      <c r="AA108">
        <v>5709.39</v>
      </c>
      <c r="AB108">
        <v>1497.88</v>
      </c>
      <c r="AC108">
        <f t="shared" si="21"/>
        <v>4004.04</v>
      </c>
      <c r="AD108" s="6">
        <f t="shared" si="22"/>
        <v>0.5</v>
      </c>
      <c r="AE108" t="s">
        <v>32</v>
      </c>
      <c r="AF108" t="s">
        <v>68</v>
      </c>
      <c r="AG108">
        <f t="shared" si="23"/>
        <v>2</v>
      </c>
      <c r="AH108">
        <f t="shared" si="24"/>
        <v>2024</v>
      </c>
      <c r="AI108" t="str">
        <f t="shared" si="25"/>
        <v>WARNING</v>
      </c>
    </row>
    <row r="109" spans="1:35">
      <c r="A109" t="s">
        <v>431</v>
      </c>
      <c r="B109">
        <f t="shared" si="13"/>
        <v>1</v>
      </c>
      <c r="C109" t="str">
        <f>IF(COUNTIF($A$2:A109, A109)&gt;1, "DUPLICATE_FLAGGED_FOR_REVIEW", "")</f>
        <v/>
      </c>
      <c r="D109" s="3">
        <v>45594</v>
      </c>
      <c r="E109" s="2">
        <v>45600</v>
      </c>
      <c r="F109" s="2" t="str">
        <f t="shared" si="14"/>
        <v>OK</v>
      </c>
      <c r="G109" s="4">
        <f t="shared" si="15"/>
        <v>6</v>
      </c>
      <c r="H109" t="s">
        <v>432</v>
      </c>
      <c r="I109" t="s">
        <v>141</v>
      </c>
      <c r="J109" t="s">
        <v>95</v>
      </c>
      <c r="K109" t="s">
        <v>38</v>
      </c>
      <c r="L109" t="str">
        <f t="shared" si="16"/>
        <v>East</v>
      </c>
      <c r="M109" t="s">
        <v>99</v>
      </c>
      <c r="N109" t="s">
        <v>100</v>
      </c>
      <c r="O109" t="s">
        <v>41</v>
      </c>
      <c r="P109" t="s">
        <v>57</v>
      </c>
      <c r="Q109" t="s">
        <v>433</v>
      </c>
      <c r="R109" t="s">
        <v>50</v>
      </c>
      <c r="S109" t="str">
        <f t="shared" si="17"/>
        <v>First Class</v>
      </c>
      <c r="T109">
        <v>3</v>
      </c>
      <c r="U109">
        <v>4302.8900000000003</v>
      </c>
      <c r="V109">
        <v>0.05</v>
      </c>
      <c r="W109">
        <f t="shared" si="18"/>
        <v>0.05</v>
      </c>
      <c r="X109" t="str">
        <f t="shared" si="19"/>
        <v/>
      </c>
      <c r="Y109">
        <v>12263.24</v>
      </c>
      <c r="Z109">
        <f t="shared" si="20"/>
        <v>12263.236500000001</v>
      </c>
      <c r="AA109">
        <v>8925.57</v>
      </c>
      <c r="AB109">
        <v>3337.67</v>
      </c>
      <c r="AC109">
        <f t="shared" si="21"/>
        <v>7960.3465000000006</v>
      </c>
      <c r="AD109" s="6">
        <f t="shared" si="22"/>
        <v>0.64912280701754388</v>
      </c>
      <c r="AE109" t="s">
        <v>32</v>
      </c>
      <c r="AF109" t="s">
        <v>33</v>
      </c>
      <c r="AG109">
        <f t="shared" si="23"/>
        <v>10</v>
      </c>
      <c r="AH109">
        <f t="shared" si="24"/>
        <v>2024</v>
      </c>
      <c r="AI109" t="str">
        <f t="shared" si="25"/>
        <v>CLEAN</v>
      </c>
    </row>
    <row r="110" spans="1:35">
      <c r="A110" t="s">
        <v>434</v>
      </c>
      <c r="B110">
        <f t="shared" si="13"/>
        <v>1</v>
      </c>
      <c r="C110" t="str">
        <f>IF(COUNTIF($A$2:A110, A110)&gt;1, "DUPLICATE_FLAGGED_FOR_REVIEW", "")</f>
        <v/>
      </c>
      <c r="D110" s="3">
        <v>45519</v>
      </c>
      <c r="E110" s="2">
        <v>45527</v>
      </c>
      <c r="F110" s="2" t="str">
        <f t="shared" si="14"/>
        <v>OK</v>
      </c>
      <c r="G110" s="4">
        <f t="shared" si="15"/>
        <v>8</v>
      </c>
      <c r="H110" t="s">
        <v>435</v>
      </c>
      <c r="I110" t="s">
        <v>89</v>
      </c>
      <c r="J110" t="s">
        <v>37</v>
      </c>
      <c r="K110" t="s">
        <v>38</v>
      </c>
      <c r="L110" t="str">
        <f t="shared" si="16"/>
        <v>East</v>
      </c>
      <c r="M110" t="s">
        <v>39</v>
      </c>
      <c r="N110" t="s">
        <v>40</v>
      </c>
      <c r="O110" t="s">
        <v>41</v>
      </c>
      <c r="P110" t="s">
        <v>158</v>
      </c>
      <c r="Q110" t="s">
        <v>436</v>
      </c>
      <c r="R110" t="s">
        <v>44</v>
      </c>
      <c r="S110" t="str">
        <f t="shared" si="17"/>
        <v>Same Day</v>
      </c>
      <c r="T110">
        <v>2</v>
      </c>
      <c r="U110">
        <v>537.54</v>
      </c>
      <c r="V110">
        <v>0.25</v>
      </c>
      <c r="W110">
        <f t="shared" si="18"/>
        <v>0.25</v>
      </c>
      <c r="X110" t="str">
        <f t="shared" si="19"/>
        <v/>
      </c>
      <c r="Y110">
        <v>806.31</v>
      </c>
      <c r="Z110">
        <f t="shared" si="20"/>
        <v>806.31</v>
      </c>
      <c r="AA110">
        <v>498.5</v>
      </c>
      <c r="AB110">
        <v>307.81</v>
      </c>
      <c r="AC110">
        <f t="shared" si="21"/>
        <v>268.77</v>
      </c>
      <c r="AD110" s="6">
        <f t="shared" si="22"/>
        <v>0.33333333333333331</v>
      </c>
      <c r="AE110" t="s">
        <v>32</v>
      </c>
      <c r="AF110" t="s">
        <v>33</v>
      </c>
      <c r="AG110">
        <f t="shared" si="23"/>
        <v>8</v>
      </c>
      <c r="AH110">
        <f t="shared" si="24"/>
        <v>2024</v>
      </c>
      <c r="AI110" t="str">
        <f t="shared" si="25"/>
        <v>CLEAN</v>
      </c>
    </row>
    <row r="111" spans="1:35">
      <c r="A111" t="s">
        <v>437</v>
      </c>
      <c r="B111">
        <f t="shared" si="13"/>
        <v>1</v>
      </c>
      <c r="C111" t="str">
        <f>IF(COUNTIF($A$2:A111, A111)&gt;1, "DUPLICATE_FLAGGED_FOR_REVIEW", "")</f>
        <v/>
      </c>
      <c r="D111" s="3">
        <v>45892</v>
      </c>
      <c r="E111" s="2">
        <v>45896</v>
      </c>
      <c r="F111" s="2" t="str">
        <f t="shared" si="14"/>
        <v>OK</v>
      </c>
      <c r="G111" s="4">
        <f t="shared" si="15"/>
        <v>4</v>
      </c>
      <c r="H111" t="s">
        <v>438</v>
      </c>
      <c r="I111" t="s">
        <v>132</v>
      </c>
      <c r="J111" t="s">
        <v>24</v>
      </c>
      <c r="K111" t="s">
        <v>25</v>
      </c>
      <c r="L111" t="str">
        <f t="shared" si="16"/>
        <v>North</v>
      </c>
      <c r="M111" t="s">
        <v>350</v>
      </c>
      <c r="N111" t="s">
        <v>351</v>
      </c>
      <c r="O111" t="s">
        <v>28</v>
      </c>
      <c r="P111" t="s">
        <v>153</v>
      </c>
      <c r="Q111" t="s">
        <v>439</v>
      </c>
      <c r="R111" t="s">
        <v>31</v>
      </c>
      <c r="S111" t="str">
        <f t="shared" si="17"/>
        <v>Second Class</v>
      </c>
      <c r="T111">
        <v>1</v>
      </c>
      <c r="U111">
        <v>2788.62</v>
      </c>
      <c r="V111">
        <v>0.25</v>
      </c>
      <c r="W111">
        <f t="shared" si="18"/>
        <v>0.25</v>
      </c>
      <c r="X111" t="str">
        <f t="shared" si="19"/>
        <v/>
      </c>
      <c r="Y111">
        <v>2091.4699999999998</v>
      </c>
      <c r="Z111">
        <f t="shared" si="20"/>
        <v>2091.4650000000001</v>
      </c>
      <c r="AA111">
        <v>1317.22</v>
      </c>
      <c r="AB111">
        <v>774.25</v>
      </c>
      <c r="AC111">
        <f t="shared" si="21"/>
        <v>-697.15499999999975</v>
      </c>
      <c r="AD111" s="6">
        <f t="shared" si="22"/>
        <v>-0.3333333333333332</v>
      </c>
      <c r="AE111" t="s">
        <v>32</v>
      </c>
      <c r="AF111" t="s">
        <v>33</v>
      </c>
      <c r="AG111">
        <f t="shared" si="23"/>
        <v>8</v>
      </c>
      <c r="AH111">
        <f t="shared" si="24"/>
        <v>2025</v>
      </c>
      <c r="AI111" t="str">
        <f t="shared" si="25"/>
        <v>CLEAN</v>
      </c>
    </row>
    <row r="112" spans="1:35">
      <c r="A112" t="s">
        <v>440</v>
      </c>
      <c r="B112">
        <f t="shared" si="13"/>
        <v>1</v>
      </c>
      <c r="C112" t="str">
        <f>IF(COUNTIF($A$2:A112, A112)&gt;1, "DUPLICATE_FLAGGED_FOR_REVIEW", "")</f>
        <v/>
      </c>
      <c r="D112" s="3">
        <v>45583</v>
      </c>
      <c r="E112" s="2">
        <v>45589</v>
      </c>
      <c r="F112" s="2" t="str">
        <f t="shared" si="14"/>
        <v>OK</v>
      </c>
      <c r="G112" s="4">
        <f t="shared" si="15"/>
        <v>6</v>
      </c>
      <c r="H112" t="s">
        <v>441</v>
      </c>
      <c r="I112" t="s">
        <v>71</v>
      </c>
      <c r="J112" t="s">
        <v>90</v>
      </c>
      <c r="K112" t="s">
        <v>54</v>
      </c>
      <c r="L112" t="str">
        <f t="shared" si="16"/>
        <v>South</v>
      </c>
      <c r="M112" t="s">
        <v>185</v>
      </c>
      <c r="N112" t="s">
        <v>186</v>
      </c>
      <c r="O112" t="s">
        <v>28</v>
      </c>
      <c r="P112" t="s">
        <v>91</v>
      </c>
      <c r="Q112" t="s">
        <v>442</v>
      </c>
      <c r="R112" t="s">
        <v>50</v>
      </c>
      <c r="S112" t="str">
        <f t="shared" si="17"/>
        <v>First Class</v>
      </c>
      <c r="T112">
        <v>2</v>
      </c>
      <c r="U112">
        <v>2250.4699999999998</v>
      </c>
      <c r="V112">
        <v>0</v>
      </c>
      <c r="W112">
        <f t="shared" si="18"/>
        <v>0</v>
      </c>
      <c r="X112" t="str">
        <f t="shared" si="19"/>
        <v/>
      </c>
      <c r="Y112">
        <v>4500.9399999999996</v>
      </c>
      <c r="Z112">
        <f t="shared" si="20"/>
        <v>4500.9399999999996</v>
      </c>
      <c r="AA112">
        <v>2607.73</v>
      </c>
      <c r="AB112">
        <v>1893.21</v>
      </c>
      <c r="AC112">
        <f t="shared" si="21"/>
        <v>2250.4699999999998</v>
      </c>
      <c r="AD112" s="6">
        <f t="shared" si="22"/>
        <v>0.5</v>
      </c>
      <c r="AE112" t="s">
        <v>102</v>
      </c>
      <c r="AF112" t="s">
        <v>68</v>
      </c>
      <c r="AG112">
        <f t="shared" si="23"/>
        <v>10</v>
      </c>
      <c r="AH112">
        <f t="shared" si="24"/>
        <v>2024</v>
      </c>
      <c r="AI112" t="str">
        <f t="shared" si="25"/>
        <v>CLEAN</v>
      </c>
    </row>
    <row r="113" spans="1:35">
      <c r="A113" t="s">
        <v>443</v>
      </c>
      <c r="B113">
        <f t="shared" si="13"/>
        <v>1</v>
      </c>
      <c r="C113" t="str">
        <f>IF(COUNTIF($A$2:A113, A113)&gt;1, "DUPLICATE_FLAGGED_FOR_REVIEW", "")</f>
        <v/>
      </c>
      <c r="D113" s="3">
        <v>45835</v>
      </c>
      <c r="E113" s="2">
        <v>45838</v>
      </c>
      <c r="F113" s="2" t="str">
        <f t="shared" si="14"/>
        <v>OK</v>
      </c>
      <c r="G113" s="4">
        <f t="shared" si="15"/>
        <v>3</v>
      </c>
      <c r="H113" t="s">
        <v>444</v>
      </c>
      <c r="I113" t="s">
        <v>79</v>
      </c>
      <c r="J113" t="s">
        <v>90</v>
      </c>
      <c r="K113" t="s">
        <v>38</v>
      </c>
      <c r="L113" t="str">
        <f t="shared" si="16"/>
        <v>East</v>
      </c>
      <c r="M113" t="s">
        <v>145</v>
      </c>
      <c r="N113" t="s">
        <v>146</v>
      </c>
      <c r="O113" t="s">
        <v>74</v>
      </c>
      <c r="P113" t="s">
        <v>75</v>
      </c>
      <c r="Q113" t="s">
        <v>445</v>
      </c>
      <c r="R113" t="s">
        <v>50</v>
      </c>
      <c r="S113" t="str">
        <f t="shared" si="17"/>
        <v>First Class</v>
      </c>
      <c r="T113">
        <v>1</v>
      </c>
      <c r="U113">
        <v>1708.44</v>
      </c>
      <c r="V113">
        <v>0.05</v>
      </c>
      <c r="W113">
        <f t="shared" si="18"/>
        <v>0.05</v>
      </c>
      <c r="X113" t="str">
        <f t="shared" si="19"/>
        <v/>
      </c>
      <c r="Y113">
        <v>1623.02</v>
      </c>
      <c r="Z113">
        <f t="shared" si="20"/>
        <v>1623.018</v>
      </c>
      <c r="AA113">
        <v>1077.46</v>
      </c>
      <c r="AB113">
        <v>545.55999999999995</v>
      </c>
      <c r="AC113">
        <f t="shared" si="21"/>
        <v>-85.422000000000025</v>
      </c>
      <c r="AD113" s="6">
        <f t="shared" si="22"/>
        <v>-5.2631578947368439E-2</v>
      </c>
      <c r="AE113" t="s">
        <v>111</v>
      </c>
      <c r="AF113" t="s">
        <v>68</v>
      </c>
      <c r="AG113">
        <f t="shared" si="23"/>
        <v>6</v>
      </c>
      <c r="AH113">
        <f t="shared" si="24"/>
        <v>2025</v>
      </c>
      <c r="AI113" t="str">
        <f t="shared" si="25"/>
        <v>CLEAN</v>
      </c>
    </row>
    <row r="114" spans="1:35">
      <c r="A114" t="s">
        <v>446</v>
      </c>
      <c r="B114">
        <f t="shared" si="13"/>
        <v>1</v>
      </c>
      <c r="C114" t="str">
        <f>IF(COUNTIF($A$2:A114, A114)&gt;1, "DUPLICATE_FLAGGED_FOR_REVIEW", "")</f>
        <v/>
      </c>
      <c r="D114" s="3">
        <v>45301</v>
      </c>
      <c r="E114" s="2">
        <v>45305</v>
      </c>
      <c r="F114" s="2" t="str">
        <f t="shared" si="14"/>
        <v>OK</v>
      </c>
      <c r="G114" s="4">
        <f t="shared" si="15"/>
        <v>4</v>
      </c>
      <c r="H114" t="s">
        <v>447</v>
      </c>
      <c r="I114" t="s">
        <v>132</v>
      </c>
      <c r="J114" t="s">
        <v>24</v>
      </c>
      <c r="K114" t="s">
        <v>2760</v>
      </c>
      <c r="L114" t="str">
        <f t="shared" si="16"/>
        <v>Unknown</v>
      </c>
      <c r="M114" t="s">
        <v>180</v>
      </c>
      <c r="N114" t="s">
        <v>181</v>
      </c>
      <c r="O114" t="s">
        <v>74</v>
      </c>
      <c r="P114" t="s">
        <v>75</v>
      </c>
      <c r="Q114" t="s">
        <v>448</v>
      </c>
      <c r="R114" t="s">
        <v>59</v>
      </c>
      <c r="S114" t="str">
        <f t="shared" si="17"/>
        <v>Standard Class</v>
      </c>
      <c r="T114">
        <v>3</v>
      </c>
      <c r="U114">
        <v>3829.48</v>
      </c>
      <c r="V114">
        <v>0.05</v>
      </c>
      <c r="W114">
        <f t="shared" si="18"/>
        <v>0.05</v>
      </c>
      <c r="X114" t="str">
        <f t="shared" si="19"/>
        <v/>
      </c>
      <c r="Y114">
        <v>10914.02</v>
      </c>
      <c r="Z114">
        <f t="shared" si="20"/>
        <v>10914.018</v>
      </c>
      <c r="AA114">
        <v>6548.74</v>
      </c>
      <c r="AB114">
        <v>4365.28</v>
      </c>
      <c r="AC114">
        <f t="shared" si="21"/>
        <v>7084.5380000000005</v>
      </c>
      <c r="AD114" s="6">
        <f t="shared" si="22"/>
        <v>0.64912280701754388</v>
      </c>
      <c r="AE114" t="s">
        <v>32</v>
      </c>
      <c r="AF114" t="s">
        <v>33</v>
      </c>
      <c r="AG114">
        <f t="shared" si="23"/>
        <v>1</v>
      </c>
      <c r="AH114">
        <f t="shared" si="24"/>
        <v>2024</v>
      </c>
      <c r="AI114" t="str">
        <f t="shared" si="25"/>
        <v>WARNING</v>
      </c>
    </row>
    <row r="115" spans="1:35">
      <c r="A115" t="s">
        <v>449</v>
      </c>
      <c r="B115">
        <f t="shared" si="13"/>
        <v>1</v>
      </c>
      <c r="C115" t="str">
        <f>IF(COUNTIF($A$2:A115, A115)&gt;1, "DUPLICATE_FLAGGED_FOR_REVIEW", "")</f>
        <v/>
      </c>
      <c r="D115" s="3">
        <v>45334</v>
      </c>
      <c r="E115" s="2">
        <v>45334</v>
      </c>
      <c r="F115" s="2" t="str">
        <f t="shared" si="14"/>
        <v>OK</v>
      </c>
      <c r="G115" s="4">
        <f t="shared" si="15"/>
        <v>0</v>
      </c>
      <c r="H115" t="s">
        <v>360</v>
      </c>
      <c r="I115" t="s">
        <v>47</v>
      </c>
      <c r="J115" t="s">
        <v>95</v>
      </c>
      <c r="K115" t="s">
        <v>54</v>
      </c>
      <c r="L115" t="str">
        <f t="shared" si="16"/>
        <v>South</v>
      </c>
      <c r="M115" t="s">
        <v>247</v>
      </c>
      <c r="N115" t="s">
        <v>248</v>
      </c>
      <c r="O115" t="s">
        <v>41</v>
      </c>
      <c r="P115" t="s">
        <v>42</v>
      </c>
      <c r="Q115" t="s">
        <v>450</v>
      </c>
      <c r="R115" t="s">
        <v>59</v>
      </c>
      <c r="S115" t="str">
        <f t="shared" si="17"/>
        <v>Standard Class</v>
      </c>
      <c r="T115">
        <v>3</v>
      </c>
      <c r="U115">
        <v>1089.1500000000001</v>
      </c>
      <c r="V115">
        <v>0.25</v>
      </c>
      <c r="W115">
        <f t="shared" si="18"/>
        <v>0.25</v>
      </c>
      <c r="X115" t="str">
        <f t="shared" si="19"/>
        <v/>
      </c>
      <c r="Y115">
        <v>2450.59</v>
      </c>
      <c r="Z115">
        <f t="shared" si="20"/>
        <v>2450.5875000000001</v>
      </c>
      <c r="AA115">
        <v>1639.89</v>
      </c>
      <c r="AB115">
        <v>810.7</v>
      </c>
      <c r="AC115">
        <f t="shared" si="21"/>
        <v>1361.4375</v>
      </c>
      <c r="AD115" s="6">
        <f t="shared" si="22"/>
        <v>0.55555555555555558</v>
      </c>
      <c r="AE115" t="s">
        <v>32</v>
      </c>
      <c r="AF115" t="s">
        <v>33</v>
      </c>
      <c r="AG115">
        <f t="shared" si="23"/>
        <v>2</v>
      </c>
      <c r="AH115">
        <f t="shared" si="24"/>
        <v>2024</v>
      </c>
      <c r="AI115" t="str">
        <f t="shared" si="25"/>
        <v>CLEAN</v>
      </c>
    </row>
    <row r="116" spans="1:35">
      <c r="A116" t="s">
        <v>451</v>
      </c>
      <c r="B116">
        <f t="shared" si="13"/>
        <v>1</v>
      </c>
      <c r="C116" t="str">
        <f>IF(COUNTIF($A$2:A116, A116)&gt;1, "DUPLICATE_FLAGGED_FOR_REVIEW", "")</f>
        <v/>
      </c>
      <c r="D116" s="3">
        <v>45560</v>
      </c>
      <c r="E116" s="2">
        <v>45565</v>
      </c>
      <c r="F116" s="2" t="str">
        <f t="shared" si="14"/>
        <v>OK</v>
      </c>
      <c r="G116" s="4">
        <f t="shared" si="15"/>
        <v>5</v>
      </c>
      <c r="H116" t="s">
        <v>452</v>
      </c>
      <c r="I116" t="s">
        <v>79</v>
      </c>
      <c r="J116" t="s">
        <v>37</v>
      </c>
      <c r="K116" t="s">
        <v>25</v>
      </c>
      <c r="L116" t="str">
        <f t="shared" si="16"/>
        <v>North</v>
      </c>
      <c r="M116" t="s">
        <v>26</v>
      </c>
      <c r="N116" t="s">
        <v>27</v>
      </c>
      <c r="O116" t="s">
        <v>74</v>
      </c>
      <c r="P116" t="s">
        <v>75</v>
      </c>
      <c r="Q116" t="s">
        <v>453</v>
      </c>
      <c r="R116" t="s">
        <v>31</v>
      </c>
      <c r="S116" t="str">
        <f t="shared" si="17"/>
        <v>Second Class</v>
      </c>
      <c r="T116">
        <v>1</v>
      </c>
      <c r="U116">
        <v>4388.3999999999996</v>
      </c>
      <c r="V116">
        <v>0.1</v>
      </c>
      <c r="W116">
        <f t="shared" si="18"/>
        <v>0.1</v>
      </c>
      <c r="X116" t="str">
        <f t="shared" si="19"/>
        <v/>
      </c>
      <c r="Y116">
        <v>3949.56</v>
      </c>
      <c r="Z116">
        <f t="shared" si="20"/>
        <v>3949.56</v>
      </c>
      <c r="AA116">
        <v>3186.73</v>
      </c>
      <c r="AB116">
        <v>762.83</v>
      </c>
      <c r="AC116">
        <f t="shared" si="21"/>
        <v>-438.83999999999969</v>
      </c>
      <c r="AD116" s="6">
        <f t="shared" si="22"/>
        <v>-0.11111111111111104</v>
      </c>
      <c r="AE116" t="s">
        <v>111</v>
      </c>
      <c r="AF116" t="s">
        <v>68</v>
      </c>
      <c r="AG116">
        <f t="shared" si="23"/>
        <v>9</v>
      </c>
      <c r="AH116">
        <f t="shared" si="24"/>
        <v>2024</v>
      </c>
      <c r="AI116" t="str">
        <f t="shared" si="25"/>
        <v>CLEAN</v>
      </c>
    </row>
    <row r="117" spans="1:35">
      <c r="A117" t="s">
        <v>454</v>
      </c>
      <c r="B117">
        <f t="shared" si="13"/>
        <v>1</v>
      </c>
      <c r="C117" t="str">
        <f>IF(COUNTIF($A$2:A117, A117)&gt;1, "DUPLICATE_FLAGGED_FOR_REVIEW", "")</f>
        <v/>
      </c>
      <c r="D117" s="3">
        <v>45653</v>
      </c>
      <c r="E117" s="2">
        <v>45658</v>
      </c>
      <c r="F117" s="2" t="str">
        <f t="shared" si="14"/>
        <v>OK</v>
      </c>
      <c r="G117" s="4">
        <f t="shared" si="15"/>
        <v>5</v>
      </c>
      <c r="H117" t="s">
        <v>455</v>
      </c>
      <c r="I117" t="s">
        <v>264</v>
      </c>
      <c r="J117" t="s">
        <v>90</v>
      </c>
      <c r="K117" t="s">
        <v>54</v>
      </c>
      <c r="L117" t="str">
        <f t="shared" si="16"/>
        <v>South</v>
      </c>
      <c r="M117" t="s">
        <v>247</v>
      </c>
      <c r="N117" t="s">
        <v>248</v>
      </c>
      <c r="O117" t="s">
        <v>28</v>
      </c>
      <c r="P117" t="s">
        <v>153</v>
      </c>
      <c r="Q117" t="s">
        <v>456</v>
      </c>
      <c r="R117" t="s">
        <v>44</v>
      </c>
      <c r="S117" t="str">
        <f t="shared" si="17"/>
        <v>Same Day</v>
      </c>
      <c r="T117">
        <v>2</v>
      </c>
      <c r="U117">
        <v>446.34</v>
      </c>
      <c r="V117">
        <v>0.15</v>
      </c>
      <c r="W117">
        <f t="shared" si="18"/>
        <v>0.15</v>
      </c>
      <c r="X117" t="str">
        <f t="shared" si="19"/>
        <v/>
      </c>
      <c r="Y117">
        <v>758.78</v>
      </c>
      <c r="Z117">
        <f t="shared" si="20"/>
        <v>758.77799999999991</v>
      </c>
      <c r="AA117">
        <v>490.74</v>
      </c>
      <c r="AB117">
        <v>268.04000000000002</v>
      </c>
      <c r="AC117">
        <f t="shared" si="21"/>
        <v>312.43799999999993</v>
      </c>
      <c r="AD117" s="6">
        <f t="shared" si="22"/>
        <v>0.41176470588235292</v>
      </c>
      <c r="AE117" t="s">
        <v>32</v>
      </c>
      <c r="AF117" t="s">
        <v>68</v>
      </c>
      <c r="AG117">
        <f t="shared" si="23"/>
        <v>12</v>
      </c>
      <c r="AH117">
        <f t="shared" si="24"/>
        <v>2024</v>
      </c>
      <c r="AI117" t="str">
        <f t="shared" si="25"/>
        <v>CLEAN</v>
      </c>
    </row>
    <row r="118" spans="1:35">
      <c r="A118" t="s">
        <v>457</v>
      </c>
      <c r="B118">
        <f t="shared" si="13"/>
        <v>1</v>
      </c>
      <c r="C118" t="str">
        <f>IF(COUNTIF($A$2:A118, A118)&gt;1, "DUPLICATE_FLAGGED_FOR_REVIEW", "")</f>
        <v/>
      </c>
      <c r="D118" s="3">
        <v>45703</v>
      </c>
      <c r="E118" s="2">
        <v>45707</v>
      </c>
      <c r="F118" s="2" t="str">
        <f t="shared" si="14"/>
        <v>OK</v>
      </c>
      <c r="G118" s="4">
        <f t="shared" si="15"/>
        <v>4</v>
      </c>
      <c r="H118" t="s">
        <v>458</v>
      </c>
      <c r="I118" t="s">
        <v>62</v>
      </c>
      <c r="J118" t="s">
        <v>37</v>
      </c>
      <c r="K118" t="s">
        <v>2760</v>
      </c>
      <c r="L118" t="str">
        <f t="shared" si="16"/>
        <v>Unknown</v>
      </c>
      <c r="M118" t="s">
        <v>72</v>
      </c>
      <c r="N118" t="s">
        <v>73</v>
      </c>
      <c r="O118" t="s">
        <v>28</v>
      </c>
      <c r="P118" t="s">
        <v>153</v>
      </c>
      <c r="Q118" t="s">
        <v>459</v>
      </c>
      <c r="R118" t="s">
        <v>50</v>
      </c>
      <c r="S118" t="str">
        <f t="shared" si="17"/>
        <v>First Class</v>
      </c>
      <c r="T118">
        <v>9</v>
      </c>
      <c r="U118">
        <v>531.99</v>
      </c>
      <c r="V118">
        <v>0.25</v>
      </c>
      <c r="W118">
        <f t="shared" si="18"/>
        <v>0.25</v>
      </c>
      <c r="X118" t="str">
        <f t="shared" si="19"/>
        <v/>
      </c>
      <c r="Y118">
        <v>3590.93</v>
      </c>
      <c r="Z118">
        <f t="shared" si="20"/>
        <v>3590.9324999999999</v>
      </c>
      <c r="AA118">
        <v>3061.39</v>
      </c>
      <c r="AB118">
        <v>529.54</v>
      </c>
      <c r="AC118">
        <f t="shared" si="21"/>
        <v>3058.9425000000001</v>
      </c>
      <c r="AD118" s="6">
        <f t="shared" si="22"/>
        <v>0.85185185185185186</v>
      </c>
      <c r="AE118" t="s">
        <v>155</v>
      </c>
      <c r="AF118" t="s">
        <v>68</v>
      </c>
      <c r="AG118">
        <f t="shared" si="23"/>
        <v>2</v>
      </c>
      <c r="AH118">
        <f t="shared" si="24"/>
        <v>2025</v>
      </c>
      <c r="AI118" t="str">
        <f t="shared" si="25"/>
        <v>WARNING</v>
      </c>
    </row>
    <row r="119" spans="1:35">
      <c r="A119" t="s">
        <v>460</v>
      </c>
      <c r="B119">
        <f t="shared" si="13"/>
        <v>1</v>
      </c>
      <c r="C119" t="str">
        <f>IF(COUNTIF($A$2:A119, A119)&gt;1, "DUPLICATE_FLAGGED_FOR_REVIEW", "")</f>
        <v/>
      </c>
      <c r="D119" s="3">
        <v>45337</v>
      </c>
      <c r="E119" s="2">
        <v>45339</v>
      </c>
      <c r="F119" s="2" t="str">
        <f t="shared" si="14"/>
        <v>OK</v>
      </c>
      <c r="G119" s="4">
        <f t="shared" si="15"/>
        <v>2</v>
      </c>
      <c r="H119" t="s">
        <v>461</v>
      </c>
      <c r="I119" t="s">
        <v>36</v>
      </c>
      <c r="J119" t="s">
        <v>95</v>
      </c>
      <c r="K119" t="s">
        <v>54</v>
      </c>
      <c r="L119" t="str">
        <f t="shared" si="16"/>
        <v>South</v>
      </c>
      <c r="M119" t="s">
        <v>247</v>
      </c>
      <c r="N119" t="s">
        <v>248</v>
      </c>
      <c r="O119" t="s">
        <v>74</v>
      </c>
      <c r="P119" t="s">
        <v>274</v>
      </c>
      <c r="Q119" t="s">
        <v>462</v>
      </c>
      <c r="R119" t="s">
        <v>59</v>
      </c>
      <c r="S119" t="str">
        <f t="shared" si="17"/>
        <v>Standard Class</v>
      </c>
      <c r="T119">
        <v>9</v>
      </c>
      <c r="U119">
        <v>3324.55</v>
      </c>
      <c r="V119" s="5">
        <v>0.7</v>
      </c>
      <c r="W119">
        <f t="shared" si="18"/>
        <v>0.7</v>
      </c>
      <c r="X119" t="str">
        <f t="shared" si="19"/>
        <v>INVALID_DISCOUNT_ABOVE_50PCT</v>
      </c>
      <c r="Y119">
        <v>25432.81</v>
      </c>
      <c r="Z119">
        <f t="shared" si="20"/>
        <v>8976.2850000000017</v>
      </c>
      <c r="AA119">
        <v>20370.16</v>
      </c>
      <c r="AB119">
        <v>5062.6499999999996</v>
      </c>
      <c r="AC119">
        <f t="shared" si="21"/>
        <v>5651.7350000000015</v>
      </c>
      <c r="AD119" s="6">
        <f t="shared" si="22"/>
        <v>0.62962962962962965</v>
      </c>
      <c r="AE119" t="s">
        <v>32</v>
      </c>
      <c r="AF119" t="s">
        <v>33</v>
      </c>
      <c r="AG119">
        <f t="shared" si="23"/>
        <v>2</v>
      </c>
      <c r="AH119">
        <f t="shared" si="24"/>
        <v>2024</v>
      </c>
      <c r="AI119" t="str">
        <f t="shared" si="25"/>
        <v>INVALID</v>
      </c>
    </row>
    <row r="120" spans="1:35">
      <c r="A120" t="s">
        <v>463</v>
      </c>
      <c r="B120">
        <f t="shared" si="13"/>
        <v>1</v>
      </c>
      <c r="C120" t="str">
        <f>IF(COUNTIF($A$2:A120, A120)&gt;1, "DUPLICATE_FLAGGED_FOR_REVIEW", "")</f>
        <v/>
      </c>
      <c r="D120" s="3">
        <v>45571</v>
      </c>
      <c r="E120" s="2">
        <v>45461</v>
      </c>
      <c r="F120" s="2" t="str">
        <f t="shared" si="14"/>
        <v>ERROR: Ship before order</v>
      </c>
      <c r="G120" s="4">
        <f t="shared" si="15"/>
        <v>-110</v>
      </c>
      <c r="H120" t="s">
        <v>464</v>
      </c>
      <c r="I120" t="s">
        <v>71</v>
      </c>
      <c r="J120" t="s">
        <v>95</v>
      </c>
      <c r="K120" t="s">
        <v>54</v>
      </c>
      <c r="L120" t="str">
        <f t="shared" si="16"/>
        <v>South</v>
      </c>
      <c r="M120" t="s">
        <v>84</v>
      </c>
      <c r="N120" t="s">
        <v>85</v>
      </c>
      <c r="O120" t="s">
        <v>74</v>
      </c>
      <c r="P120" t="s">
        <v>80</v>
      </c>
      <c r="Q120" t="s">
        <v>465</v>
      </c>
      <c r="R120" t="s">
        <v>44</v>
      </c>
      <c r="S120" t="str">
        <f t="shared" si="17"/>
        <v>Same Day</v>
      </c>
      <c r="T120">
        <v>5</v>
      </c>
      <c r="U120">
        <v>1580.27</v>
      </c>
      <c r="V120">
        <v>0.2</v>
      </c>
      <c r="W120">
        <f t="shared" si="18"/>
        <v>0.2</v>
      </c>
      <c r="X120" t="str">
        <f t="shared" si="19"/>
        <v/>
      </c>
      <c r="Y120">
        <v>6321.08</v>
      </c>
      <c r="Z120">
        <f t="shared" si="20"/>
        <v>6321.0800000000008</v>
      </c>
      <c r="AA120">
        <v>4407.22</v>
      </c>
      <c r="AB120">
        <v>1913.86</v>
      </c>
      <c r="AC120">
        <f t="shared" si="21"/>
        <v>4740.8100000000013</v>
      </c>
      <c r="AD120" s="6">
        <f t="shared" si="22"/>
        <v>0.75000000000000011</v>
      </c>
      <c r="AE120" t="s">
        <v>32</v>
      </c>
      <c r="AF120" t="s">
        <v>33</v>
      </c>
      <c r="AG120">
        <f t="shared" si="23"/>
        <v>10</v>
      </c>
      <c r="AH120">
        <f t="shared" si="24"/>
        <v>2024</v>
      </c>
      <c r="AI120" t="str">
        <f t="shared" si="25"/>
        <v>INVALID</v>
      </c>
    </row>
    <row r="121" spans="1:35">
      <c r="A121" t="s">
        <v>466</v>
      </c>
      <c r="B121">
        <f t="shared" si="13"/>
        <v>1</v>
      </c>
      <c r="C121" t="str">
        <f>IF(COUNTIF($A$2:A121, A121)&gt;1, "DUPLICATE_FLAGGED_FOR_REVIEW", "")</f>
        <v/>
      </c>
      <c r="D121" s="3">
        <v>45455</v>
      </c>
      <c r="E121" s="2">
        <v>45462</v>
      </c>
      <c r="F121" s="2" t="str">
        <f t="shared" si="14"/>
        <v>OK</v>
      </c>
      <c r="G121" s="4">
        <f t="shared" si="15"/>
        <v>7</v>
      </c>
      <c r="H121" t="s">
        <v>467</v>
      </c>
      <c r="I121" t="s">
        <v>89</v>
      </c>
      <c r="J121" t="s">
        <v>37</v>
      </c>
      <c r="K121" t="s">
        <v>54</v>
      </c>
      <c r="L121" t="str">
        <f t="shared" si="16"/>
        <v>South</v>
      </c>
      <c r="M121" t="s">
        <v>185</v>
      </c>
      <c r="N121" t="s">
        <v>186</v>
      </c>
      <c r="O121" t="s">
        <v>41</v>
      </c>
      <c r="P121" t="s">
        <v>66</v>
      </c>
      <c r="Q121" t="s">
        <v>468</v>
      </c>
      <c r="R121" t="s">
        <v>59</v>
      </c>
      <c r="S121" t="str">
        <f t="shared" si="17"/>
        <v>Standard Class</v>
      </c>
      <c r="T121">
        <v>8</v>
      </c>
      <c r="U121">
        <v>314.05</v>
      </c>
      <c r="V121">
        <v>0.25</v>
      </c>
      <c r="W121">
        <f t="shared" si="18"/>
        <v>0.25</v>
      </c>
      <c r="X121" t="str">
        <f t="shared" si="19"/>
        <v/>
      </c>
      <c r="Y121">
        <v>1884.3</v>
      </c>
      <c r="Z121">
        <f t="shared" si="20"/>
        <v>1884.3000000000002</v>
      </c>
      <c r="AA121">
        <v>1517.69</v>
      </c>
      <c r="AB121">
        <v>366.61</v>
      </c>
      <c r="AC121">
        <f t="shared" si="21"/>
        <v>1570.2500000000002</v>
      </c>
      <c r="AD121" s="6">
        <f t="shared" si="22"/>
        <v>0.83333333333333337</v>
      </c>
      <c r="AE121" t="s">
        <v>102</v>
      </c>
      <c r="AF121" t="s">
        <v>103</v>
      </c>
      <c r="AG121">
        <f t="shared" si="23"/>
        <v>6</v>
      </c>
      <c r="AH121">
        <f t="shared" si="24"/>
        <v>2024</v>
      </c>
      <c r="AI121" t="str">
        <f t="shared" si="25"/>
        <v>CLEAN</v>
      </c>
    </row>
    <row r="122" spans="1:35">
      <c r="A122" t="s">
        <v>469</v>
      </c>
      <c r="B122">
        <f t="shared" si="13"/>
        <v>1</v>
      </c>
      <c r="C122" t="str">
        <f>IF(COUNTIF($A$2:A122, A122)&gt;1, "DUPLICATE_FLAGGED_FOR_REVIEW", "")</f>
        <v/>
      </c>
      <c r="D122" s="3">
        <v>45514</v>
      </c>
      <c r="E122" s="2">
        <v>45522</v>
      </c>
      <c r="F122" s="2" t="str">
        <f t="shared" si="14"/>
        <v>OK</v>
      </c>
      <c r="G122" s="4">
        <f t="shared" si="15"/>
        <v>8</v>
      </c>
      <c r="H122" t="s">
        <v>470</v>
      </c>
      <c r="I122" t="s">
        <v>132</v>
      </c>
      <c r="J122" t="s">
        <v>37</v>
      </c>
      <c r="K122" t="s">
        <v>38</v>
      </c>
      <c r="L122" t="str">
        <f t="shared" si="16"/>
        <v>East</v>
      </c>
      <c r="M122" t="s">
        <v>145</v>
      </c>
      <c r="N122" t="s">
        <v>146</v>
      </c>
      <c r="O122" t="s">
        <v>74</v>
      </c>
      <c r="P122" t="s">
        <v>171</v>
      </c>
      <c r="Q122" t="s">
        <v>471</v>
      </c>
      <c r="R122" t="s">
        <v>59</v>
      </c>
      <c r="S122" t="str">
        <f t="shared" si="17"/>
        <v>Standard Class</v>
      </c>
      <c r="T122">
        <v>1</v>
      </c>
      <c r="U122">
        <v>1823.67</v>
      </c>
      <c r="V122">
        <v>0.2</v>
      </c>
      <c r="W122">
        <f t="shared" si="18"/>
        <v>0.2</v>
      </c>
      <c r="X122" t="str">
        <f t="shared" si="19"/>
        <v/>
      </c>
      <c r="Y122">
        <v>1458.94</v>
      </c>
      <c r="Z122">
        <f t="shared" si="20"/>
        <v>1458.9360000000001</v>
      </c>
      <c r="AA122">
        <v>893.2</v>
      </c>
      <c r="AB122">
        <v>565.74</v>
      </c>
      <c r="AC122">
        <f t="shared" si="21"/>
        <v>-364.73399999999992</v>
      </c>
      <c r="AD122" s="6">
        <f t="shared" si="22"/>
        <v>-0.24999999999999992</v>
      </c>
      <c r="AE122" t="s">
        <v>32</v>
      </c>
      <c r="AF122" t="s">
        <v>103</v>
      </c>
      <c r="AG122">
        <f t="shared" si="23"/>
        <v>8</v>
      </c>
      <c r="AH122">
        <f t="shared" si="24"/>
        <v>2024</v>
      </c>
      <c r="AI122" t="str">
        <f t="shared" si="25"/>
        <v>CLEAN</v>
      </c>
    </row>
    <row r="123" spans="1:35">
      <c r="A123" t="s">
        <v>472</v>
      </c>
      <c r="B123">
        <f t="shared" si="13"/>
        <v>1</v>
      </c>
      <c r="C123" t="str">
        <f>IF(COUNTIF($A$2:A123, A123)&gt;1, "DUPLICATE_FLAGGED_FOR_REVIEW", "")</f>
        <v/>
      </c>
      <c r="D123" s="3">
        <v>45891</v>
      </c>
      <c r="E123" s="2">
        <v>45895</v>
      </c>
      <c r="F123" s="2" t="str">
        <f t="shared" si="14"/>
        <v>OK</v>
      </c>
      <c r="G123" s="4">
        <f t="shared" si="15"/>
        <v>4</v>
      </c>
      <c r="H123" t="s">
        <v>473</v>
      </c>
      <c r="I123" t="s">
        <v>264</v>
      </c>
      <c r="J123" t="s">
        <v>37</v>
      </c>
      <c r="K123" t="s">
        <v>54</v>
      </c>
      <c r="L123" t="str">
        <f t="shared" si="16"/>
        <v>South</v>
      </c>
      <c r="M123" t="s">
        <v>84</v>
      </c>
      <c r="N123" t="s">
        <v>85</v>
      </c>
      <c r="O123" t="s">
        <v>74</v>
      </c>
      <c r="P123" t="s">
        <v>274</v>
      </c>
      <c r="Q123" t="s">
        <v>474</v>
      </c>
      <c r="R123" t="s">
        <v>31</v>
      </c>
      <c r="S123" t="str">
        <f t="shared" si="17"/>
        <v>Second Class</v>
      </c>
      <c r="T123">
        <v>5</v>
      </c>
      <c r="U123">
        <v>3482.92</v>
      </c>
      <c r="V123">
        <v>0</v>
      </c>
      <c r="W123">
        <f t="shared" si="18"/>
        <v>0</v>
      </c>
      <c r="X123" t="str">
        <f t="shared" si="19"/>
        <v/>
      </c>
      <c r="Y123">
        <v>17414.599999999999</v>
      </c>
      <c r="Z123">
        <f t="shared" si="20"/>
        <v>17414.599999999999</v>
      </c>
      <c r="AA123">
        <v>11760.91</v>
      </c>
      <c r="AB123">
        <v>5653.69</v>
      </c>
      <c r="AC123">
        <f t="shared" si="21"/>
        <v>13931.679999999998</v>
      </c>
      <c r="AD123" s="6">
        <f t="shared" si="22"/>
        <v>0.79999999999999993</v>
      </c>
      <c r="AE123" t="s">
        <v>102</v>
      </c>
      <c r="AF123" t="s">
        <v>68</v>
      </c>
      <c r="AG123">
        <f t="shared" si="23"/>
        <v>8</v>
      </c>
      <c r="AH123">
        <f t="shared" si="24"/>
        <v>2025</v>
      </c>
      <c r="AI123" t="str">
        <f t="shared" si="25"/>
        <v>CLEAN</v>
      </c>
    </row>
    <row r="124" spans="1:35">
      <c r="A124" t="s">
        <v>475</v>
      </c>
      <c r="B124">
        <f t="shared" si="13"/>
        <v>1</v>
      </c>
      <c r="C124" t="str">
        <f>IF(COUNTIF($A$2:A124, A124)&gt;1, "DUPLICATE_FLAGGED_FOR_REVIEW", "")</f>
        <v/>
      </c>
      <c r="D124" s="3">
        <v>45626</v>
      </c>
      <c r="E124" s="2">
        <v>45630</v>
      </c>
      <c r="F124" s="2" t="str">
        <f t="shared" si="14"/>
        <v>OK</v>
      </c>
      <c r="G124" s="4">
        <f t="shared" si="15"/>
        <v>4</v>
      </c>
      <c r="H124" t="s">
        <v>476</v>
      </c>
      <c r="I124" t="s">
        <v>62</v>
      </c>
      <c r="J124" t="s">
        <v>37</v>
      </c>
      <c r="K124" t="s">
        <v>38</v>
      </c>
      <c r="L124" t="str">
        <f t="shared" si="16"/>
        <v>East</v>
      </c>
      <c r="M124" t="s">
        <v>166</v>
      </c>
      <c r="N124" t="s">
        <v>167</v>
      </c>
      <c r="O124" t="s">
        <v>41</v>
      </c>
      <c r="P124" t="s">
        <v>66</v>
      </c>
      <c r="Q124" t="s">
        <v>477</v>
      </c>
      <c r="R124" t="s">
        <v>31</v>
      </c>
      <c r="S124" t="str">
        <f t="shared" si="17"/>
        <v>Second Class</v>
      </c>
      <c r="T124">
        <v>3</v>
      </c>
      <c r="U124">
        <v>170.35</v>
      </c>
      <c r="V124">
        <v>0</v>
      </c>
      <c r="W124">
        <f t="shared" si="18"/>
        <v>0</v>
      </c>
      <c r="X124" t="str">
        <f t="shared" si="19"/>
        <v/>
      </c>
      <c r="Y124">
        <v>511.05</v>
      </c>
      <c r="Z124">
        <f t="shared" si="20"/>
        <v>511.04999999999995</v>
      </c>
      <c r="AA124">
        <v>367.18</v>
      </c>
      <c r="AB124">
        <v>143.87</v>
      </c>
      <c r="AC124">
        <f t="shared" si="21"/>
        <v>340.69999999999993</v>
      </c>
      <c r="AD124" s="6">
        <f t="shared" si="22"/>
        <v>0.66666666666666663</v>
      </c>
      <c r="AE124" t="s">
        <v>32</v>
      </c>
      <c r="AF124" t="s">
        <v>33</v>
      </c>
      <c r="AG124">
        <f t="shared" si="23"/>
        <v>11</v>
      </c>
      <c r="AH124">
        <f t="shared" si="24"/>
        <v>2024</v>
      </c>
      <c r="AI124" t="str">
        <f t="shared" si="25"/>
        <v>CLEAN</v>
      </c>
    </row>
    <row r="125" spans="1:35">
      <c r="A125" t="s">
        <v>478</v>
      </c>
      <c r="B125">
        <f t="shared" si="13"/>
        <v>2</v>
      </c>
      <c r="C125" t="str">
        <f>IF(COUNTIF($A$2:A125, A125)&gt;1, "DUPLICATE_FLAGGED_FOR_REVIEW", "")</f>
        <v/>
      </c>
      <c r="D125" s="3">
        <v>45436</v>
      </c>
      <c r="E125" s="2">
        <v>45437</v>
      </c>
      <c r="F125" s="2" t="str">
        <f t="shared" si="14"/>
        <v>OK</v>
      </c>
      <c r="G125" s="4">
        <f t="shared" si="15"/>
        <v>1</v>
      </c>
      <c r="H125" t="s">
        <v>479</v>
      </c>
      <c r="I125" t="s">
        <v>132</v>
      </c>
      <c r="J125" t="s">
        <v>37</v>
      </c>
      <c r="K125" t="s">
        <v>25</v>
      </c>
      <c r="L125" t="str">
        <f t="shared" si="16"/>
        <v>North</v>
      </c>
      <c r="M125" t="s">
        <v>122</v>
      </c>
      <c r="N125" t="s">
        <v>123</v>
      </c>
      <c r="O125" t="s">
        <v>74</v>
      </c>
      <c r="P125" t="s">
        <v>80</v>
      </c>
      <c r="Q125" t="s">
        <v>480</v>
      </c>
      <c r="R125" t="s">
        <v>44</v>
      </c>
      <c r="S125" t="str">
        <f t="shared" si="17"/>
        <v>Same Day</v>
      </c>
      <c r="T125">
        <v>1</v>
      </c>
      <c r="U125">
        <v>634.13</v>
      </c>
      <c r="V125">
        <v>0</v>
      </c>
      <c r="W125">
        <f t="shared" si="18"/>
        <v>0</v>
      </c>
      <c r="X125" t="str">
        <f t="shared" si="19"/>
        <v/>
      </c>
      <c r="Y125">
        <v>634.13</v>
      </c>
      <c r="Z125">
        <f t="shared" si="20"/>
        <v>634.13</v>
      </c>
      <c r="AA125">
        <v>453.35</v>
      </c>
      <c r="AB125">
        <v>180.78</v>
      </c>
      <c r="AC125">
        <f t="shared" si="21"/>
        <v>0</v>
      </c>
      <c r="AD125" s="6">
        <f t="shared" si="22"/>
        <v>0</v>
      </c>
      <c r="AE125" t="s">
        <v>102</v>
      </c>
      <c r="AF125" t="s">
        <v>68</v>
      </c>
      <c r="AG125">
        <f t="shared" si="23"/>
        <v>5</v>
      </c>
      <c r="AH125">
        <f t="shared" si="24"/>
        <v>2024</v>
      </c>
      <c r="AI125" t="str">
        <f t="shared" si="25"/>
        <v>CLEAN</v>
      </c>
    </row>
    <row r="126" spans="1:35">
      <c r="A126" t="s">
        <v>481</v>
      </c>
      <c r="B126">
        <f t="shared" si="13"/>
        <v>1</v>
      </c>
      <c r="C126" t="str">
        <f>IF(COUNTIF($A$2:A126, A126)&gt;1, "DUPLICATE_FLAGGED_FOR_REVIEW", "")</f>
        <v/>
      </c>
      <c r="D126" s="3">
        <v>45494</v>
      </c>
      <c r="E126" s="2">
        <v>45497</v>
      </c>
      <c r="F126" s="2" t="str">
        <f t="shared" si="14"/>
        <v>OK</v>
      </c>
      <c r="G126" s="4">
        <f t="shared" si="15"/>
        <v>3</v>
      </c>
      <c r="H126" t="s">
        <v>482</v>
      </c>
      <c r="I126" t="s">
        <v>47</v>
      </c>
      <c r="J126" t="s">
        <v>90</v>
      </c>
      <c r="K126" t="s">
        <v>54</v>
      </c>
      <c r="L126" t="str">
        <f t="shared" si="16"/>
        <v>South</v>
      </c>
      <c r="M126" t="s">
        <v>175</v>
      </c>
      <c r="N126" t="s">
        <v>176</v>
      </c>
      <c r="O126" t="s">
        <v>74</v>
      </c>
      <c r="P126" t="s">
        <v>80</v>
      </c>
      <c r="Q126" t="s">
        <v>483</v>
      </c>
      <c r="R126" t="s">
        <v>59</v>
      </c>
      <c r="S126" t="str">
        <f t="shared" si="17"/>
        <v>Standard Class</v>
      </c>
      <c r="T126">
        <v>9</v>
      </c>
      <c r="U126">
        <v>465.06</v>
      </c>
      <c r="V126">
        <v>-0.15</v>
      </c>
      <c r="W126">
        <f t="shared" si="18"/>
        <v>-0.15</v>
      </c>
      <c r="X126" t="str">
        <f t="shared" si="19"/>
        <v>INVALID_NEGATIVE_DISCOUNT</v>
      </c>
      <c r="Y126">
        <v>4185.54</v>
      </c>
      <c r="Z126">
        <f t="shared" si="20"/>
        <v>4813.3709999999992</v>
      </c>
      <c r="AA126">
        <v>3443.74</v>
      </c>
      <c r="AB126">
        <v>741.8</v>
      </c>
      <c r="AC126">
        <f t="shared" si="21"/>
        <v>4348.3109999999988</v>
      </c>
      <c r="AD126" s="6">
        <f t="shared" si="22"/>
        <v>0.9033816425120772</v>
      </c>
      <c r="AE126" t="s">
        <v>32</v>
      </c>
      <c r="AF126" t="s">
        <v>33</v>
      </c>
      <c r="AG126">
        <f t="shared" si="23"/>
        <v>7</v>
      </c>
      <c r="AH126">
        <f t="shared" si="24"/>
        <v>2024</v>
      </c>
      <c r="AI126" t="str">
        <f t="shared" si="25"/>
        <v>INVALID</v>
      </c>
    </row>
    <row r="127" spans="1:35">
      <c r="A127" t="s">
        <v>484</v>
      </c>
      <c r="B127">
        <f t="shared" si="13"/>
        <v>1</v>
      </c>
      <c r="C127" t="str">
        <f>IF(COUNTIF($A$2:A127, A127)&gt;1, "DUPLICATE_FLAGGED_FOR_REVIEW", "")</f>
        <v/>
      </c>
      <c r="D127" s="3">
        <v>45855</v>
      </c>
      <c r="E127" s="2">
        <v>45856</v>
      </c>
      <c r="F127" s="2" t="str">
        <f t="shared" si="14"/>
        <v>OK</v>
      </c>
      <c r="G127" s="4">
        <f t="shared" si="15"/>
        <v>1</v>
      </c>
      <c r="H127" t="s">
        <v>485</v>
      </c>
      <c r="I127" t="s">
        <v>79</v>
      </c>
      <c r="J127" t="s">
        <v>37</v>
      </c>
      <c r="K127" t="s">
        <v>63</v>
      </c>
      <c r="L127" t="str">
        <f t="shared" si="16"/>
        <v>West</v>
      </c>
      <c r="M127" t="s">
        <v>26</v>
      </c>
      <c r="N127" t="s">
        <v>109</v>
      </c>
      <c r="O127" t="s">
        <v>41</v>
      </c>
      <c r="P127" t="s">
        <v>42</v>
      </c>
      <c r="Q127" t="s">
        <v>486</v>
      </c>
      <c r="R127" t="s">
        <v>44</v>
      </c>
      <c r="S127" t="str">
        <f t="shared" si="17"/>
        <v>Same Day</v>
      </c>
      <c r="T127">
        <v>6</v>
      </c>
      <c r="U127">
        <v>3235.27</v>
      </c>
      <c r="V127">
        <v>0.25</v>
      </c>
      <c r="W127">
        <f t="shared" si="18"/>
        <v>0.25</v>
      </c>
      <c r="X127" t="str">
        <f t="shared" si="19"/>
        <v/>
      </c>
      <c r="Y127">
        <v>14558.72</v>
      </c>
      <c r="Z127">
        <f t="shared" si="20"/>
        <v>14558.715</v>
      </c>
      <c r="AA127">
        <v>9591.48</v>
      </c>
      <c r="AB127">
        <v>4967.24</v>
      </c>
      <c r="AC127">
        <f t="shared" si="21"/>
        <v>11323.445</v>
      </c>
      <c r="AD127" s="6">
        <f t="shared" si="22"/>
        <v>0.77777777777777779</v>
      </c>
      <c r="AE127" t="s">
        <v>102</v>
      </c>
      <c r="AF127" t="s">
        <v>103</v>
      </c>
      <c r="AG127">
        <f t="shared" si="23"/>
        <v>7</v>
      </c>
      <c r="AH127">
        <f t="shared" si="24"/>
        <v>2025</v>
      </c>
      <c r="AI127" t="str">
        <f t="shared" si="25"/>
        <v>CLEAN</v>
      </c>
    </row>
    <row r="128" spans="1:35">
      <c r="A128" t="s">
        <v>487</v>
      </c>
      <c r="B128">
        <f t="shared" si="13"/>
        <v>1</v>
      </c>
      <c r="C128" t="str">
        <f>IF(COUNTIF($A$2:A128, A128)&gt;1, "DUPLICATE_FLAGGED_FOR_REVIEW", "")</f>
        <v/>
      </c>
      <c r="D128" s="3">
        <v>45924</v>
      </c>
      <c r="E128" s="2">
        <v>45926</v>
      </c>
      <c r="F128" s="2" t="str">
        <f t="shared" si="14"/>
        <v>OK</v>
      </c>
      <c r="G128" s="4">
        <f t="shared" si="15"/>
        <v>2</v>
      </c>
      <c r="H128" t="s">
        <v>488</v>
      </c>
      <c r="I128" t="s">
        <v>114</v>
      </c>
      <c r="J128" t="s">
        <v>90</v>
      </c>
      <c r="K128" t="s">
        <v>25</v>
      </c>
      <c r="L128" t="str">
        <f t="shared" si="16"/>
        <v>North</v>
      </c>
      <c r="M128" t="s">
        <v>350</v>
      </c>
      <c r="N128" t="s">
        <v>351</v>
      </c>
      <c r="O128" t="s">
        <v>74</v>
      </c>
      <c r="P128" t="s">
        <v>80</v>
      </c>
      <c r="Q128" t="s">
        <v>489</v>
      </c>
      <c r="R128" t="s">
        <v>59</v>
      </c>
      <c r="S128" t="str">
        <f t="shared" si="17"/>
        <v>Standard Class</v>
      </c>
      <c r="T128">
        <v>3</v>
      </c>
      <c r="U128">
        <v>1593.86</v>
      </c>
      <c r="V128">
        <v>0.1</v>
      </c>
      <c r="W128">
        <f t="shared" si="18"/>
        <v>0.1</v>
      </c>
      <c r="X128" t="str">
        <f t="shared" si="19"/>
        <v/>
      </c>
      <c r="Y128">
        <v>4303.42</v>
      </c>
      <c r="Z128">
        <f t="shared" si="20"/>
        <v>4303.4220000000005</v>
      </c>
      <c r="AA128">
        <v>2568.5700000000002</v>
      </c>
      <c r="AB128">
        <v>1734.85</v>
      </c>
      <c r="AC128">
        <f t="shared" si="21"/>
        <v>2709.5620000000008</v>
      </c>
      <c r="AD128" s="6">
        <f t="shared" si="22"/>
        <v>0.62962962962962976</v>
      </c>
      <c r="AE128" t="s">
        <v>32</v>
      </c>
      <c r="AF128" t="s">
        <v>33</v>
      </c>
      <c r="AG128">
        <f t="shared" si="23"/>
        <v>9</v>
      </c>
      <c r="AH128">
        <f t="shared" si="24"/>
        <v>2025</v>
      </c>
      <c r="AI128" t="str">
        <f t="shared" si="25"/>
        <v>CLEAN</v>
      </c>
    </row>
    <row r="129" spans="1:35">
      <c r="A129" t="s">
        <v>490</v>
      </c>
      <c r="B129">
        <f t="shared" si="13"/>
        <v>1</v>
      </c>
      <c r="C129" t="str">
        <f>IF(COUNTIF($A$2:A129, A129)&gt;1, "DUPLICATE_FLAGGED_FOR_REVIEW", "")</f>
        <v/>
      </c>
      <c r="D129" s="3">
        <v>45687</v>
      </c>
      <c r="E129" s="2">
        <v>45683</v>
      </c>
      <c r="F129" s="2" t="str">
        <f t="shared" si="14"/>
        <v>ERROR: Ship before order</v>
      </c>
      <c r="G129" s="4">
        <f t="shared" si="15"/>
        <v>-4</v>
      </c>
      <c r="H129" t="s">
        <v>491</v>
      </c>
      <c r="I129" t="s">
        <v>114</v>
      </c>
      <c r="J129" t="s">
        <v>90</v>
      </c>
      <c r="K129" t="s">
        <v>63</v>
      </c>
      <c r="L129" t="str">
        <f t="shared" si="16"/>
        <v>West</v>
      </c>
      <c r="M129" t="s">
        <v>72</v>
      </c>
      <c r="N129" t="s">
        <v>73</v>
      </c>
      <c r="O129" t="s">
        <v>28</v>
      </c>
      <c r="P129" t="s">
        <v>124</v>
      </c>
      <c r="Q129" t="s">
        <v>492</v>
      </c>
      <c r="R129" t="s">
        <v>31</v>
      </c>
      <c r="S129" t="str">
        <f t="shared" si="17"/>
        <v>Second Class</v>
      </c>
      <c r="T129">
        <v>2</v>
      </c>
      <c r="U129">
        <v>3039.3</v>
      </c>
      <c r="V129">
        <v>0.05</v>
      </c>
      <c r="W129">
        <f t="shared" si="18"/>
        <v>0.05</v>
      </c>
      <c r="X129" t="str">
        <f t="shared" si="19"/>
        <v/>
      </c>
      <c r="Y129">
        <v>5774.67</v>
      </c>
      <c r="Z129">
        <f t="shared" si="20"/>
        <v>5774.67</v>
      </c>
      <c r="AA129">
        <v>3518.36</v>
      </c>
      <c r="AB129">
        <v>2256.31</v>
      </c>
      <c r="AC129">
        <f t="shared" si="21"/>
        <v>2735.37</v>
      </c>
      <c r="AD129" s="6">
        <f t="shared" si="22"/>
        <v>0.47368421052631576</v>
      </c>
      <c r="AE129" t="s">
        <v>32</v>
      </c>
      <c r="AF129" t="s">
        <v>33</v>
      </c>
      <c r="AG129">
        <f t="shared" si="23"/>
        <v>1</v>
      </c>
      <c r="AH129">
        <f t="shared" si="24"/>
        <v>2025</v>
      </c>
      <c r="AI129" t="str">
        <f t="shared" si="25"/>
        <v>INVALID</v>
      </c>
    </row>
    <row r="130" spans="1:35">
      <c r="A130" t="s">
        <v>493</v>
      </c>
      <c r="B130">
        <f t="shared" si="13"/>
        <v>1</v>
      </c>
      <c r="C130" t="str">
        <f>IF(COUNTIF($A$2:A130, A130)&gt;1, "DUPLICATE_FLAGGED_FOR_REVIEW", "")</f>
        <v/>
      </c>
      <c r="D130" s="3">
        <v>45639</v>
      </c>
      <c r="E130" s="2">
        <v>45642</v>
      </c>
      <c r="F130" s="2" t="str">
        <f t="shared" si="14"/>
        <v>OK</v>
      </c>
      <c r="G130" s="4">
        <f t="shared" si="15"/>
        <v>3</v>
      </c>
      <c r="H130" t="s">
        <v>494</v>
      </c>
      <c r="I130" t="s">
        <v>79</v>
      </c>
      <c r="J130" t="s">
        <v>37</v>
      </c>
      <c r="K130" t="s">
        <v>38</v>
      </c>
      <c r="L130" t="str">
        <f t="shared" si="16"/>
        <v>East</v>
      </c>
      <c r="M130" t="s">
        <v>39</v>
      </c>
      <c r="N130" t="s">
        <v>40</v>
      </c>
      <c r="O130" t="s">
        <v>41</v>
      </c>
      <c r="P130" t="s">
        <v>57</v>
      </c>
      <c r="Q130" t="s">
        <v>495</v>
      </c>
      <c r="R130" t="s">
        <v>59</v>
      </c>
      <c r="S130" t="str">
        <f t="shared" si="17"/>
        <v>Standard Class</v>
      </c>
      <c r="T130">
        <v>5</v>
      </c>
      <c r="U130">
        <v>923.45</v>
      </c>
      <c r="V130">
        <v>0.05</v>
      </c>
      <c r="W130">
        <f t="shared" si="18"/>
        <v>0.05</v>
      </c>
      <c r="X130" t="str">
        <f t="shared" si="19"/>
        <v/>
      </c>
      <c r="Y130">
        <v>4386.3900000000003</v>
      </c>
      <c r="Z130">
        <f t="shared" si="20"/>
        <v>4386.3874999999998</v>
      </c>
      <c r="AA130">
        <v>3366.88</v>
      </c>
      <c r="AB130">
        <v>1019.51</v>
      </c>
      <c r="AC130">
        <f t="shared" si="21"/>
        <v>3462.9375</v>
      </c>
      <c r="AD130" s="6">
        <f t="shared" si="22"/>
        <v>0.78947368421052633</v>
      </c>
      <c r="AE130" t="s">
        <v>32</v>
      </c>
      <c r="AF130" t="s">
        <v>103</v>
      </c>
      <c r="AG130">
        <f t="shared" si="23"/>
        <v>12</v>
      </c>
      <c r="AH130">
        <f t="shared" si="24"/>
        <v>2024</v>
      </c>
      <c r="AI130" t="str">
        <f t="shared" si="25"/>
        <v>CLEAN</v>
      </c>
    </row>
    <row r="131" spans="1:35">
      <c r="A131" t="s">
        <v>496</v>
      </c>
      <c r="B131">
        <f t="shared" ref="B131:B194" si="26">COUNTIF($A$2:$A$932, A131)</f>
        <v>1</v>
      </c>
      <c r="C131" t="str">
        <f>IF(COUNTIF($A$2:A131, A131)&gt;1, "DUPLICATE_FLAGGED_FOR_REVIEW", "")</f>
        <v/>
      </c>
      <c r="D131" s="3">
        <v>45492</v>
      </c>
      <c r="E131" s="2">
        <v>45498</v>
      </c>
      <c r="F131" s="2" t="str">
        <f t="shared" ref="F131:F194" si="27">IF(E131&lt;D131, "ERROR: Ship before order", "OK")</f>
        <v>OK</v>
      </c>
      <c r="G131" s="4">
        <f t="shared" ref="G131:G194" si="28">IF(AND(ISNUMBER(E131),ISNUMBER(D131)), E131-D131, "")</f>
        <v>6</v>
      </c>
      <c r="H131" t="s">
        <v>497</v>
      </c>
      <c r="I131" t="s">
        <v>47</v>
      </c>
      <c r="J131" t="s">
        <v>37</v>
      </c>
      <c r="K131" t="s">
        <v>63</v>
      </c>
      <c r="L131" t="str">
        <f t="shared" ref="L131:L194" si="29">IF(OR(K131="",ISBLANK(K131)), "Unknown", K131)</f>
        <v>West</v>
      </c>
      <c r="M131" t="s">
        <v>190</v>
      </c>
      <c r="N131" t="s">
        <v>191</v>
      </c>
      <c r="O131" t="s">
        <v>28</v>
      </c>
      <c r="P131" t="s">
        <v>153</v>
      </c>
      <c r="Q131" t="s">
        <v>498</v>
      </c>
      <c r="R131" t="s">
        <v>59</v>
      </c>
      <c r="S131" t="str">
        <f t="shared" ref="S131:S194" si="30">IF(OR(R131="",ISBLANK(R131)), "Unknown", R131)</f>
        <v>Standard Class</v>
      </c>
      <c r="T131">
        <v>7</v>
      </c>
      <c r="U131">
        <v>2741.29</v>
      </c>
      <c r="V131">
        <v>0.05</v>
      </c>
      <c r="W131">
        <f t="shared" ref="W131:W194" si="31">IF(ISBLANK(V131), IF(AND(ISNUMBER(T131), ISNUMBER(U131)), 0, ""), IF(V131&lt;0, V131, IF(V131&gt;0.5, V131, V131)))</f>
        <v>0.05</v>
      </c>
      <c r="X131" t="str">
        <f t="shared" ref="X131:X194" si="32">IF(V131&lt;0,"INVALID_NEGATIVE_DISCOUNT",IF(V131&gt;0.5,"INVALID_DISCOUNT_ABOVE_50PCT",IF(AND(ISBLANK(V131), ISNUMBER(T131), ISNUMBER(U131)),"DISCOUNT_MISSING_SET_TO_0","")))</f>
        <v/>
      </c>
      <c r="Y131">
        <v>18229.580000000002</v>
      </c>
      <c r="Z131">
        <f t="shared" ref="Z131:Z194" si="33">T131 * U131 * (1 - W131)</f>
        <v>18229.5785</v>
      </c>
      <c r="AA131">
        <v>15139.15</v>
      </c>
      <c r="AB131">
        <v>3090.43</v>
      </c>
      <c r="AC131">
        <f t="shared" ref="AC131:AC194" si="34">Z131-U131</f>
        <v>15488.288499999999</v>
      </c>
      <c r="AD131" s="6">
        <f t="shared" ref="AD131:AD194" si="35">IF(Z131&lt;&gt;0, AC131 / Z131, 0)</f>
        <v>0.84962406015037584</v>
      </c>
      <c r="AE131" t="s">
        <v>32</v>
      </c>
      <c r="AF131" t="s">
        <v>33</v>
      </c>
      <c r="AG131">
        <f t="shared" ref="AG131:AG194" si="36">MONTH(D131)</f>
        <v>7</v>
      </c>
      <c r="AH131">
        <f t="shared" ref="AH131:AH194" si="37">YEAR(D131)</f>
        <v>2024</v>
      </c>
      <c r="AI131" t="str">
        <f t="shared" ref="AI131:AI194" si="38">IF(OR(X131="INVALID_NEGATIVE_DISCOUNT",X131="INVALID_DISCOUNT_ABOVE_50PCT",F131="ERROR: Ship before order"),"INVALID",IF(OR(L131="Unknown",S131="Unknown",X131="DISCOUNT_MISSING_SET_TO_0"),"WARNING","CLEAN"))</f>
        <v>CLEAN</v>
      </c>
    </row>
    <row r="132" spans="1:35">
      <c r="A132" t="s">
        <v>499</v>
      </c>
      <c r="B132">
        <f t="shared" si="26"/>
        <v>1</v>
      </c>
      <c r="C132" t="str">
        <f>IF(COUNTIF($A$2:A132, A132)&gt;1, "DUPLICATE_FLAGGED_FOR_REVIEW", "")</f>
        <v/>
      </c>
      <c r="D132" s="3">
        <v>45318</v>
      </c>
      <c r="E132" s="2">
        <v>45324</v>
      </c>
      <c r="F132" s="2" t="str">
        <f t="shared" si="27"/>
        <v>OK</v>
      </c>
      <c r="G132" s="4">
        <f t="shared" si="28"/>
        <v>6</v>
      </c>
      <c r="H132" t="s">
        <v>500</v>
      </c>
      <c r="I132" t="s">
        <v>53</v>
      </c>
      <c r="J132" t="s">
        <v>24</v>
      </c>
      <c r="K132" t="s">
        <v>63</v>
      </c>
      <c r="L132" t="str">
        <f t="shared" si="29"/>
        <v>West</v>
      </c>
      <c r="M132" t="s">
        <v>180</v>
      </c>
      <c r="N132" t="s">
        <v>181</v>
      </c>
      <c r="O132" t="s">
        <v>28</v>
      </c>
      <c r="P132" t="s">
        <v>91</v>
      </c>
      <c r="Q132" t="s">
        <v>501</v>
      </c>
      <c r="R132" t="s">
        <v>44</v>
      </c>
      <c r="S132" t="str">
        <f t="shared" si="30"/>
        <v>Same Day</v>
      </c>
      <c r="T132">
        <v>5</v>
      </c>
      <c r="U132">
        <v>218.42</v>
      </c>
      <c r="V132">
        <v>0.2</v>
      </c>
      <c r="W132">
        <f t="shared" si="31"/>
        <v>0.2</v>
      </c>
      <c r="X132" t="str">
        <f t="shared" si="32"/>
        <v/>
      </c>
      <c r="Y132">
        <v>873.68</v>
      </c>
      <c r="Z132">
        <f t="shared" si="33"/>
        <v>873.68</v>
      </c>
      <c r="AA132">
        <v>661.72</v>
      </c>
      <c r="AB132">
        <v>211.96</v>
      </c>
      <c r="AC132">
        <f t="shared" si="34"/>
        <v>655.26</v>
      </c>
      <c r="AD132" s="6">
        <f t="shared" si="35"/>
        <v>0.75</v>
      </c>
      <c r="AE132" t="s">
        <v>111</v>
      </c>
      <c r="AF132" t="s">
        <v>68</v>
      </c>
      <c r="AG132">
        <f t="shared" si="36"/>
        <v>1</v>
      </c>
      <c r="AH132">
        <f t="shared" si="37"/>
        <v>2024</v>
      </c>
      <c r="AI132" t="str">
        <f t="shared" si="38"/>
        <v>CLEAN</v>
      </c>
    </row>
    <row r="133" spans="1:35">
      <c r="A133" t="s">
        <v>502</v>
      </c>
      <c r="B133">
        <f t="shared" si="26"/>
        <v>1</v>
      </c>
      <c r="C133" t="str">
        <f>IF(COUNTIF($A$2:A133, A133)&gt;1, "DUPLICATE_FLAGGED_FOR_REVIEW", "")</f>
        <v/>
      </c>
      <c r="D133" s="3">
        <v>45929</v>
      </c>
      <c r="E133" s="2">
        <v>45934</v>
      </c>
      <c r="F133" s="2" t="str">
        <f t="shared" si="27"/>
        <v>OK</v>
      </c>
      <c r="G133" s="4">
        <f t="shared" si="28"/>
        <v>5</v>
      </c>
      <c r="H133" t="s">
        <v>503</v>
      </c>
      <c r="I133" t="s">
        <v>62</v>
      </c>
      <c r="J133" t="s">
        <v>95</v>
      </c>
      <c r="K133" t="s">
        <v>38</v>
      </c>
      <c r="L133" t="str">
        <f t="shared" si="29"/>
        <v>East</v>
      </c>
      <c r="M133" t="s">
        <v>228</v>
      </c>
      <c r="N133" t="s">
        <v>229</v>
      </c>
      <c r="O133" t="s">
        <v>28</v>
      </c>
      <c r="P133" t="s">
        <v>29</v>
      </c>
      <c r="Q133" t="s">
        <v>504</v>
      </c>
      <c r="R133" t="s">
        <v>44</v>
      </c>
      <c r="S133" t="str">
        <f t="shared" si="30"/>
        <v>Same Day</v>
      </c>
      <c r="T133">
        <v>9</v>
      </c>
      <c r="U133">
        <v>373.91</v>
      </c>
      <c r="V133">
        <v>0.2</v>
      </c>
      <c r="W133">
        <f t="shared" si="31"/>
        <v>0.2</v>
      </c>
      <c r="X133" t="str">
        <f t="shared" si="32"/>
        <v/>
      </c>
      <c r="Y133">
        <v>2692.15</v>
      </c>
      <c r="Z133">
        <f t="shared" si="33"/>
        <v>2692.152</v>
      </c>
      <c r="AA133">
        <v>2044.49</v>
      </c>
      <c r="AB133">
        <v>647.66</v>
      </c>
      <c r="AC133">
        <f t="shared" si="34"/>
        <v>2318.2420000000002</v>
      </c>
      <c r="AD133" s="6">
        <f t="shared" si="35"/>
        <v>0.86111111111111116</v>
      </c>
      <c r="AE133" t="s">
        <v>32</v>
      </c>
      <c r="AF133" t="s">
        <v>33</v>
      </c>
      <c r="AG133">
        <f t="shared" si="36"/>
        <v>9</v>
      </c>
      <c r="AH133">
        <f t="shared" si="37"/>
        <v>2025</v>
      </c>
      <c r="AI133" t="str">
        <f t="shared" si="38"/>
        <v>CLEAN</v>
      </c>
    </row>
    <row r="134" spans="1:35">
      <c r="A134" t="s">
        <v>505</v>
      </c>
      <c r="B134">
        <f t="shared" si="26"/>
        <v>1</v>
      </c>
      <c r="C134" t="str">
        <f>IF(COUNTIF($A$2:A134, A134)&gt;1, "DUPLICATE_FLAGGED_FOR_REVIEW", "")</f>
        <v/>
      </c>
      <c r="D134" s="3">
        <v>45600</v>
      </c>
      <c r="E134" s="2">
        <v>45600</v>
      </c>
      <c r="F134" s="2" t="str">
        <f t="shared" si="27"/>
        <v>OK</v>
      </c>
      <c r="G134" s="4">
        <f t="shared" si="28"/>
        <v>0</v>
      </c>
      <c r="H134" t="s">
        <v>506</v>
      </c>
      <c r="I134" t="s">
        <v>264</v>
      </c>
      <c r="J134" t="s">
        <v>90</v>
      </c>
      <c r="K134" t="s">
        <v>38</v>
      </c>
      <c r="L134" t="str">
        <f t="shared" si="29"/>
        <v>East</v>
      </c>
      <c r="M134" t="s">
        <v>166</v>
      </c>
      <c r="N134" t="s">
        <v>167</v>
      </c>
      <c r="O134" t="s">
        <v>74</v>
      </c>
      <c r="P134" t="s">
        <v>274</v>
      </c>
      <c r="Q134" t="s">
        <v>507</v>
      </c>
      <c r="R134" t="s">
        <v>50</v>
      </c>
      <c r="S134" t="str">
        <f t="shared" si="30"/>
        <v>First Class</v>
      </c>
      <c r="T134">
        <v>2</v>
      </c>
      <c r="U134">
        <v>533.08000000000004</v>
      </c>
      <c r="V134">
        <v>0</v>
      </c>
      <c r="W134">
        <f t="shared" si="31"/>
        <v>0</v>
      </c>
      <c r="X134" t="str">
        <f t="shared" si="32"/>
        <v/>
      </c>
      <c r="Y134">
        <v>1066.1600000000001</v>
      </c>
      <c r="Z134">
        <f t="shared" si="33"/>
        <v>1066.1600000000001</v>
      </c>
      <c r="AA134">
        <v>656.3</v>
      </c>
      <c r="AB134">
        <v>409.86</v>
      </c>
      <c r="AC134">
        <f t="shared" si="34"/>
        <v>533.08000000000004</v>
      </c>
      <c r="AD134" s="6">
        <f t="shared" si="35"/>
        <v>0.5</v>
      </c>
      <c r="AE134" t="s">
        <v>155</v>
      </c>
      <c r="AF134" t="s">
        <v>68</v>
      </c>
      <c r="AG134">
        <f t="shared" si="36"/>
        <v>11</v>
      </c>
      <c r="AH134">
        <f t="shared" si="37"/>
        <v>2024</v>
      </c>
      <c r="AI134" t="str">
        <f t="shared" si="38"/>
        <v>CLEAN</v>
      </c>
    </row>
    <row r="135" spans="1:35">
      <c r="A135" t="s">
        <v>508</v>
      </c>
      <c r="B135">
        <f t="shared" si="26"/>
        <v>1</v>
      </c>
      <c r="C135" t="str">
        <f>IF(COUNTIF($A$2:A135, A135)&gt;1, "DUPLICATE_FLAGGED_FOR_REVIEW", "")</f>
        <v/>
      </c>
      <c r="D135" s="3">
        <v>45639</v>
      </c>
      <c r="E135" s="2">
        <v>45644</v>
      </c>
      <c r="F135" s="2" t="str">
        <f t="shared" si="27"/>
        <v>OK</v>
      </c>
      <c r="G135" s="4">
        <f t="shared" si="28"/>
        <v>5</v>
      </c>
      <c r="H135" t="s">
        <v>509</v>
      </c>
      <c r="I135" t="s">
        <v>23</v>
      </c>
      <c r="J135" t="s">
        <v>24</v>
      </c>
      <c r="K135" t="s">
        <v>63</v>
      </c>
      <c r="L135" t="str">
        <f t="shared" si="29"/>
        <v>West</v>
      </c>
      <c r="M135" t="s">
        <v>190</v>
      </c>
      <c r="N135" t="s">
        <v>191</v>
      </c>
      <c r="O135" t="s">
        <v>74</v>
      </c>
      <c r="P135" t="s">
        <v>171</v>
      </c>
      <c r="Q135" t="s">
        <v>510</v>
      </c>
      <c r="R135" t="s">
        <v>31</v>
      </c>
      <c r="S135" t="str">
        <f t="shared" si="30"/>
        <v>Second Class</v>
      </c>
      <c r="T135">
        <v>8</v>
      </c>
      <c r="U135">
        <v>3372.15</v>
      </c>
      <c r="V135">
        <v>0.15</v>
      </c>
      <c r="W135">
        <f t="shared" si="31"/>
        <v>0.15</v>
      </c>
      <c r="X135" t="str">
        <f t="shared" si="32"/>
        <v/>
      </c>
      <c r="Y135">
        <v>22930.62</v>
      </c>
      <c r="Z135">
        <f t="shared" si="33"/>
        <v>22930.62</v>
      </c>
      <c r="AA135">
        <v>16875.55</v>
      </c>
      <c r="AB135">
        <v>6055.07</v>
      </c>
      <c r="AC135">
        <f t="shared" si="34"/>
        <v>19558.469999999998</v>
      </c>
      <c r="AD135" s="6">
        <f t="shared" si="35"/>
        <v>0.8529411764705882</v>
      </c>
      <c r="AE135" t="s">
        <v>32</v>
      </c>
      <c r="AF135" t="s">
        <v>33</v>
      </c>
      <c r="AG135">
        <f t="shared" si="36"/>
        <v>12</v>
      </c>
      <c r="AH135">
        <f t="shared" si="37"/>
        <v>2024</v>
      </c>
      <c r="AI135" t="str">
        <f t="shared" si="38"/>
        <v>CLEAN</v>
      </c>
    </row>
    <row r="136" spans="1:35">
      <c r="A136" t="s">
        <v>511</v>
      </c>
      <c r="B136">
        <f t="shared" si="26"/>
        <v>1</v>
      </c>
      <c r="C136" t="str">
        <f>IF(COUNTIF($A$2:A136, A136)&gt;1, "DUPLICATE_FLAGGED_FOR_REVIEW", "")</f>
        <v/>
      </c>
      <c r="D136" s="3">
        <v>45852</v>
      </c>
      <c r="E136" s="2">
        <v>45852</v>
      </c>
      <c r="F136" s="2" t="str">
        <f t="shared" si="27"/>
        <v>OK</v>
      </c>
      <c r="G136" s="4">
        <f t="shared" si="28"/>
        <v>0</v>
      </c>
      <c r="H136" t="s">
        <v>512</v>
      </c>
      <c r="I136" t="s">
        <v>71</v>
      </c>
      <c r="J136" t="s">
        <v>95</v>
      </c>
      <c r="K136" t="s">
        <v>38</v>
      </c>
      <c r="L136" t="str">
        <f t="shared" si="29"/>
        <v>East</v>
      </c>
      <c r="M136" t="s">
        <v>99</v>
      </c>
      <c r="N136" t="s">
        <v>100</v>
      </c>
      <c r="O136" t="s">
        <v>41</v>
      </c>
      <c r="P136" t="s">
        <v>158</v>
      </c>
      <c r="Q136" t="s">
        <v>513</v>
      </c>
      <c r="R136" t="s">
        <v>2760</v>
      </c>
      <c r="S136" t="str">
        <f t="shared" si="30"/>
        <v>Unknown</v>
      </c>
      <c r="T136">
        <v>5</v>
      </c>
      <c r="U136">
        <v>383.1</v>
      </c>
      <c r="V136">
        <v>0.25</v>
      </c>
      <c r="W136">
        <f t="shared" si="31"/>
        <v>0.25</v>
      </c>
      <c r="X136" t="str">
        <f t="shared" si="32"/>
        <v/>
      </c>
      <c r="Y136">
        <v>1436.62</v>
      </c>
      <c r="Z136">
        <f t="shared" si="33"/>
        <v>1436.625</v>
      </c>
      <c r="AA136">
        <v>912.52</v>
      </c>
      <c r="AB136">
        <v>524.1</v>
      </c>
      <c r="AC136">
        <f t="shared" si="34"/>
        <v>1053.5250000000001</v>
      </c>
      <c r="AD136" s="6">
        <f t="shared" si="35"/>
        <v>0.73333333333333339</v>
      </c>
      <c r="AE136" t="s">
        <v>111</v>
      </c>
      <c r="AF136" t="s">
        <v>68</v>
      </c>
      <c r="AG136">
        <f t="shared" si="36"/>
        <v>7</v>
      </c>
      <c r="AH136">
        <f t="shared" si="37"/>
        <v>2025</v>
      </c>
      <c r="AI136" t="str">
        <f t="shared" si="38"/>
        <v>WARNING</v>
      </c>
    </row>
    <row r="137" spans="1:35">
      <c r="A137" t="s">
        <v>514</v>
      </c>
      <c r="B137">
        <f t="shared" si="26"/>
        <v>1</v>
      </c>
      <c r="C137" t="str">
        <f>IF(COUNTIF($A$2:A137, A137)&gt;1, "DUPLICATE_FLAGGED_FOR_REVIEW", "")</f>
        <v/>
      </c>
      <c r="D137" s="3">
        <v>45893</v>
      </c>
      <c r="E137" s="2">
        <v>45893</v>
      </c>
      <c r="F137" s="2" t="str">
        <f t="shared" si="27"/>
        <v>OK</v>
      </c>
      <c r="G137" s="4">
        <f t="shared" si="28"/>
        <v>0</v>
      </c>
      <c r="H137" t="s">
        <v>515</v>
      </c>
      <c r="I137" t="s">
        <v>162</v>
      </c>
      <c r="J137" t="s">
        <v>37</v>
      </c>
      <c r="K137" t="s">
        <v>54</v>
      </c>
      <c r="L137" t="str">
        <f t="shared" si="29"/>
        <v>South</v>
      </c>
      <c r="M137" t="s">
        <v>185</v>
      </c>
      <c r="N137" t="s">
        <v>186</v>
      </c>
      <c r="O137" t="s">
        <v>41</v>
      </c>
      <c r="P137" t="s">
        <v>158</v>
      </c>
      <c r="Q137" t="s">
        <v>516</v>
      </c>
      <c r="R137" t="s">
        <v>59</v>
      </c>
      <c r="S137" t="str">
        <f t="shared" si="30"/>
        <v>Standard Class</v>
      </c>
      <c r="T137">
        <v>1</v>
      </c>
      <c r="U137">
        <v>3424.78</v>
      </c>
      <c r="V137">
        <v>0</v>
      </c>
      <c r="W137">
        <f t="shared" si="31"/>
        <v>0</v>
      </c>
      <c r="X137" t="str">
        <f t="shared" si="32"/>
        <v/>
      </c>
      <c r="Y137">
        <v>3424.78</v>
      </c>
      <c r="Z137">
        <f t="shared" si="33"/>
        <v>3424.78</v>
      </c>
      <c r="AA137">
        <v>1951.45</v>
      </c>
      <c r="AB137">
        <v>1473.33</v>
      </c>
      <c r="AC137">
        <f t="shared" si="34"/>
        <v>0</v>
      </c>
      <c r="AD137" s="6">
        <f t="shared" si="35"/>
        <v>0</v>
      </c>
      <c r="AE137" t="s">
        <v>32</v>
      </c>
      <c r="AF137" t="s">
        <v>33</v>
      </c>
      <c r="AG137">
        <f t="shared" si="36"/>
        <v>8</v>
      </c>
      <c r="AH137">
        <f t="shared" si="37"/>
        <v>2025</v>
      </c>
      <c r="AI137" t="str">
        <f t="shared" si="38"/>
        <v>CLEAN</v>
      </c>
    </row>
    <row r="138" spans="1:35">
      <c r="A138" t="s">
        <v>517</v>
      </c>
      <c r="B138">
        <f t="shared" si="26"/>
        <v>1</v>
      </c>
      <c r="C138" t="str">
        <f>IF(COUNTIF($A$2:A138, A138)&gt;1, "DUPLICATE_FLAGGED_FOR_REVIEW", "")</f>
        <v/>
      </c>
      <c r="D138" s="3">
        <v>45697</v>
      </c>
      <c r="E138" s="2">
        <v>45703</v>
      </c>
      <c r="F138" s="2" t="str">
        <f t="shared" si="27"/>
        <v>OK</v>
      </c>
      <c r="G138" s="4">
        <f t="shared" si="28"/>
        <v>6</v>
      </c>
      <c r="H138" t="s">
        <v>518</v>
      </c>
      <c r="I138" t="s">
        <v>36</v>
      </c>
      <c r="J138" t="s">
        <v>95</v>
      </c>
      <c r="K138" t="s">
        <v>38</v>
      </c>
      <c r="L138" t="str">
        <f t="shared" si="29"/>
        <v>East</v>
      </c>
      <c r="M138" t="s">
        <v>228</v>
      </c>
      <c r="N138" t="s">
        <v>229</v>
      </c>
      <c r="O138" t="s">
        <v>28</v>
      </c>
      <c r="P138" t="s">
        <v>153</v>
      </c>
      <c r="Q138" t="s">
        <v>519</v>
      </c>
      <c r="R138" t="s">
        <v>59</v>
      </c>
      <c r="S138" t="str">
        <f t="shared" si="30"/>
        <v>Standard Class</v>
      </c>
      <c r="T138">
        <v>9</v>
      </c>
      <c r="U138">
        <v>4330.33</v>
      </c>
      <c r="V138">
        <v>0.2</v>
      </c>
      <c r="W138">
        <f t="shared" si="31"/>
        <v>0.2</v>
      </c>
      <c r="X138" t="str">
        <f t="shared" si="32"/>
        <v/>
      </c>
      <c r="Y138">
        <v>31178.38</v>
      </c>
      <c r="Z138">
        <f t="shared" si="33"/>
        <v>31178.376000000004</v>
      </c>
      <c r="AA138">
        <v>21421.09</v>
      </c>
      <c r="AB138">
        <v>9757.2900000000009</v>
      </c>
      <c r="AC138">
        <f t="shared" si="34"/>
        <v>26848.046000000002</v>
      </c>
      <c r="AD138" s="6">
        <f t="shared" si="35"/>
        <v>0.86111111111111105</v>
      </c>
      <c r="AE138" t="s">
        <v>32</v>
      </c>
      <c r="AF138" t="s">
        <v>33</v>
      </c>
      <c r="AG138">
        <f t="shared" si="36"/>
        <v>2</v>
      </c>
      <c r="AH138">
        <f t="shared" si="37"/>
        <v>2025</v>
      </c>
      <c r="AI138" t="str">
        <f t="shared" si="38"/>
        <v>CLEAN</v>
      </c>
    </row>
    <row r="139" spans="1:35">
      <c r="A139" t="s">
        <v>520</v>
      </c>
      <c r="B139">
        <f t="shared" si="26"/>
        <v>1</v>
      </c>
      <c r="C139" t="str">
        <f>IF(COUNTIF($A$2:A139, A139)&gt;1, "DUPLICATE_FLAGGED_FOR_REVIEW", "")</f>
        <v/>
      </c>
      <c r="D139" s="3">
        <v>45901</v>
      </c>
      <c r="E139" s="2">
        <v>45666</v>
      </c>
      <c r="F139" s="2" t="str">
        <f t="shared" si="27"/>
        <v>ERROR: Ship before order</v>
      </c>
      <c r="G139" s="4">
        <f t="shared" si="28"/>
        <v>-235</v>
      </c>
      <c r="H139" t="s">
        <v>521</v>
      </c>
      <c r="I139" t="s">
        <v>132</v>
      </c>
      <c r="J139" t="s">
        <v>37</v>
      </c>
      <c r="K139" t="s">
        <v>25</v>
      </c>
      <c r="L139" t="str">
        <f t="shared" si="29"/>
        <v>North</v>
      </c>
      <c r="M139" t="s">
        <v>26</v>
      </c>
      <c r="N139" t="s">
        <v>27</v>
      </c>
      <c r="O139" t="s">
        <v>41</v>
      </c>
      <c r="P139" t="s">
        <v>66</v>
      </c>
      <c r="Q139" t="s">
        <v>522</v>
      </c>
      <c r="R139" t="s">
        <v>44</v>
      </c>
      <c r="S139" t="str">
        <f t="shared" si="30"/>
        <v>Same Day</v>
      </c>
      <c r="T139">
        <v>8</v>
      </c>
      <c r="U139">
        <v>2667.07</v>
      </c>
      <c r="V139">
        <v>0.1</v>
      </c>
      <c r="W139">
        <f t="shared" si="31"/>
        <v>0.1</v>
      </c>
      <c r="X139" t="str">
        <f t="shared" si="32"/>
        <v/>
      </c>
      <c r="Y139">
        <v>19202.900000000001</v>
      </c>
      <c r="Z139">
        <f t="shared" si="33"/>
        <v>19202.904000000002</v>
      </c>
      <c r="AA139">
        <v>15526.62</v>
      </c>
      <c r="AB139">
        <v>3676.28</v>
      </c>
      <c r="AC139">
        <f t="shared" si="34"/>
        <v>16535.834000000003</v>
      </c>
      <c r="AD139" s="6">
        <f t="shared" si="35"/>
        <v>0.86111111111111116</v>
      </c>
      <c r="AE139" t="s">
        <v>32</v>
      </c>
      <c r="AF139" t="s">
        <v>33</v>
      </c>
      <c r="AG139">
        <f t="shared" si="36"/>
        <v>9</v>
      </c>
      <c r="AH139">
        <f t="shared" si="37"/>
        <v>2025</v>
      </c>
      <c r="AI139" t="str">
        <f t="shared" si="38"/>
        <v>INVALID</v>
      </c>
    </row>
    <row r="140" spans="1:35">
      <c r="A140" t="s">
        <v>523</v>
      </c>
      <c r="B140">
        <f t="shared" si="26"/>
        <v>1</v>
      </c>
      <c r="C140" t="str">
        <f>IF(COUNTIF($A$2:A140, A140)&gt;1, "DUPLICATE_FLAGGED_FOR_REVIEW", "")</f>
        <v/>
      </c>
      <c r="D140" s="3">
        <v>45311</v>
      </c>
      <c r="E140" s="2">
        <v>45317</v>
      </c>
      <c r="F140" s="2" t="str">
        <f t="shared" si="27"/>
        <v>OK</v>
      </c>
      <c r="G140" s="4">
        <f t="shared" si="28"/>
        <v>6</v>
      </c>
      <c r="H140" t="s">
        <v>524</v>
      </c>
      <c r="I140" t="s">
        <v>162</v>
      </c>
      <c r="J140" t="s">
        <v>95</v>
      </c>
      <c r="K140" t="s">
        <v>38</v>
      </c>
      <c r="L140" t="str">
        <f t="shared" si="29"/>
        <v>East</v>
      </c>
      <c r="M140" t="s">
        <v>228</v>
      </c>
      <c r="N140" t="s">
        <v>229</v>
      </c>
      <c r="O140" t="s">
        <v>74</v>
      </c>
      <c r="P140" t="s">
        <v>274</v>
      </c>
      <c r="Q140" t="s">
        <v>525</v>
      </c>
      <c r="R140" t="s">
        <v>59</v>
      </c>
      <c r="S140" t="str">
        <f t="shared" si="30"/>
        <v>Standard Class</v>
      </c>
      <c r="T140">
        <v>8</v>
      </c>
      <c r="U140">
        <v>4003.05</v>
      </c>
      <c r="V140">
        <v>0.25</v>
      </c>
      <c r="W140">
        <f t="shared" si="31"/>
        <v>0.25</v>
      </c>
      <c r="X140" t="str">
        <f t="shared" si="32"/>
        <v/>
      </c>
      <c r="Y140">
        <v>24018.3</v>
      </c>
      <c r="Z140">
        <f t="shared" si="33"/>
        <v>24018.300000000003</v>
      </c>
      <c r="AA140">
        <v>14070.78</v>
      </c>
      <c r="AB140">
        <v>9947.52</v>
      </c>
      <c r="AC140">
        <f t="shared" si="34"/>
        <v>20015.250000000004</v>
      </c>
      <c r="AD140" s="6">
        <f t="shared" si="35"/>
        <v>0.83333333333333337</v>
      </c>
      <c r="AE140" t="s">
        <v>32</v>
      </c>
      <c r="AF140" t="s">
        <v>33</v>
      </c>
      <c r="AG140">
        <f t="shared" si="36"/>
        <v>1</v>
      </c>
      <c r="AH140">
        <f t="shared" si="37"/>
        <v>2024</v>
      </c>
      <c r="AI140" t="str">
        <f t="shared" si="38"/>
        <v>CLEAN</v>
      </c>
    </row>
    <row r="141" spans="1:35">
      <c r="A141" t="s">
        <v>526</v>
      </c>
      <c r="B141">
        <f t="shared" si="26"/>
        <v>1</v>
      </c>
      <c r="C141" t="str">
        <f>IF(COUNTIF($A$2:A141, A141)&gt;1, "DUPLICATE_FLAGGED_FOR_REVIEW", "")</f>
        <v/>
      </c>
      <c r="D141" s="3">
        <v>45691</v>
      </c>
      <c r="E141" s="2">
        <v>45723</v>
      </c>
      <c r="F141" s="2" t="str">
        <f t="shared" si="27"/>
        <v>OK</v>
      </c>
      <c r="G141" s="4">
        <f t="shared" si="28"/>
        <v>32</v>
      </c>
      <c r="H141" t="s">
        <v>527</v>
      </c>
      <c r="I141" t="s">
        <v>79</v>
      </c>
      <c r="J141" t="s">
        <v>95</v>
      </c>
      <c r="K141" t="s">
        <v>54</v>
      </c>
      <c r="L141" t="str">
        <f t="shared" si="29"/>
        <v>South</v>
      </c>
      <c r="M141" t="s">
        <v>175</v>
      </c>
      <c r="N141" t="s">
        <v>176</v>
      </c>
      <c r="O141" t="s">
        <v>28</v>
      </c>
      <c r="P141" t="s">
        <v>91</v>
      </c>
      <c r="Q141" t="s">
        <v>528</v>
      </c>
      <c r="R141" t="s">
        <v>59</v>
      </c>
      <c r="S141" t="str">
        <f t="shared" si="30"/>
        <v>Standard Class</v>
      </c>
      <c r="T141">
        <v>8</v>
      </c>
      <c r="U141">
        <v>1287.6300000000001</v>
      </c>
      <c r="V141">
        <v>0</v>
      </c>
      <c r="W141">
        <f t="shared" si="31"/>
        <v>0</v>
      </c>
      <c r="X141" t="str">
        <f t="shared" si="32"/>
        <v/>
      </c>
      <c r="Y141">
        <v>10301.040000000001</v>
      </c>
      <c r="Z141">
        <f t="shared" si="33"/>
        <v>10301.040000000001</v>
      </c>
      <c r="AA141">
        <v>6564.06</v>
      </c>
      <c r="AB141">
        <v>3736.98</v>
      </c>
      <c r="AC141">
        <f t="shared" si="34"/>
        <v>9013.41</v>
      </c>
      <c r="AD141" s="6">
        <f t="shared" si="35"/>
        <v>0.87499999999999989</v>
      </c>
      <c r="AE141" t="s">
        <v>32</v>
      </c>
      <c r="AF141" t="s">
        <v>33</v>
      </c>
      <c r="AG141">
        <f t="shared" si="36"/>
        <v>2</v>
      </c>
      <c r="AH141">
        <f t="shared" si="37"/>
        <v>2025</v>
      </c>
      <c r="AI141" t="str">
        <f t="shared" si="38"/>
        <v>CLEAN</v>
      </c>
    </row>
    <row r="142" spans="1:35">
      <c r="A142" t="s">
        <v>529</v>
      </c>
      <c r="B142">
        <f t="shared" si="26"/>
        <v>1</v>
      </c>
      <c r="C142" t="str">
        <f>IF(COUNTIF($A$2:A142, A142)&gt;1, "DUPLICATE_FLAGGED_FOR_REVIEW", "")</f>
        <v/>
      </c>
      <c r="D142" s="3">
        <v>45443</v>
      </c>
      <c r="E142" s="2">
        <v>45444</v>
      </c>
      <c r="F142" s="2" t="str">
        <f t="shared" si="27"/>
        <v>OK</v>
      </c>
      <c r="G142" s="4">
        <f t="shared" si="28"/>
        <v>1</v>
      </c>
      <c r="H142" t="s">
        <v>530</v>
      </c>
      <c r="I142" t="s">
        <v>36</v>
      </c>
      <c r="J142" t="s">
        <v>90</v>
      </c>
      <c r="K142" t="s">
        <v>54</v>
      </c>
      <c r="L142" t="str">
        <f t="shared" si="29"/>
        <v>South</v>
      </c>
      <c r="M142" t="s">
        <v>175</v>
      </c>
      <c r="N142" t="s">
        <v>176</v>
      </c>
      <c r="O142" t="s">
        <v>41</v>
      </c>
      <c r="P142" t="s">
        <v>158</v>
      </c>
      <c r="Q142" t="s">
        <v>531</v>
      </c>
      <c r="R142" t="s">
        <v>44</v>
      </c>
      <c r="S142" t="str">
        <f t="shared" si="30"/>
        <v>Same Day</v>
      </c>
      <c r="T142">
        <v>3</v>
      </c>
      <c r="U142">
        <v>2914.55</v>
      </c>
      <c r="V142">
        <v>0</v>
      </c>
      <c r="W142">
        <f t="shared" si="31"/>
        <v>0</v>
      </c>
      <c r="X142" t="str">
        <f t="shared" si="32"/>
        <v/>
      </c>
      <c r="Y142">
        <v>8743.65</v>
      </c>
      <c r="Z142">
        <f t="shared" si="33"/>
        <v>8743.6500000000015</v>
      </c>
      <c r="AA142">
        <v>6603.76</v>
      </c>
      <c r="AB142">
        <v>2139.89</v>
      </c>
      <c r="AC142">
        <f t="shared" si="34"/>
        <v>5829.1000000000013</v>
      </c>
      <c r="AD142" s="6">
        <f t="shared" si="35"/>
        <v>0.66666666666666674</v>
      </c>
      <c r="AE142" t="s">
        <v>32</v>
      </c>
      <c r="AF142" t="s">
        <v>33</v>
      </c>
      <c r="AG142">
        <f t="shared" si="36"/>
        <v>5</v>
      </c>
      <c r="AH142">
        <f t="shared" si="37"/>
        <v>2024</v>
      </c>
      <c r="AI142" t="str">
        <f t="shared" si="38"/>
        <v>CLEAN</v>
      </c>
    </row>
    <row r="143" spans="1:35">
      <c r="A143" t="s">
        <v>532</v>
      </c>
      <c r="B143">
        <f t="shared" si="26"/>
        <v>1</v>
      </c>
      <c r="C143" t="str">
        <f>IF(COUNTIF($A$2:A143, A143)&gt;1, "DUPLICATE_FLAGGED_FOR_REVIEW", "")</f>
        <v/>
      </c>
      <c r="D143" s="3">
        <v>45374</v>
      </c>
      <c r="E143" s="2">
        <v>45380</v>
      </c>
      <c r="F143" s="2" t="str">
        <f t="shared" si="27"/>
        <v>OK</v>
      </c>
      <c r="G143" s="4">
        <f t="shared" si="28"/>
        <v>6</v>
      </c>
      <c r="H143" t="s">
        <v>533</v>
      </c>
      <c r="I143" t="s">
        <v>114</v>
      </c>
      <c r="J143" t="s">
        <v>90</v>
      </c>
      <c r="K143" t="s">
        <v>25</v>
      </c>
      <c r="L143" t="str">
        <f t="shared" si="29"/>
        <v>North</v>
      </c>
      <c r="M143" t="s">
        <v>350</v>
      </c>
      <c r="N143" t="s">
        <v>351</v>
      </c>
      <c r="O143" t="s">
        <v>41</v>
      </c>
      <c r="P143" t="s">
        <v>158</v>
      </c>
      <c r="Q143" t="s">
        <v>534</v>
      </c>
      <c r="R143" t="s">
        <v>44</v>
      </c>
      <c r="S143" t="str">
        <f t="shared" si="30"/>
        <v>Same Day</v>
      </c>
      <c r="T143">
        <v>7</v>
      </c>
      <c r="U143">
        <v>634.29</v>
      </c>
      <c r="V143">
        <v>0.1</v>
      </c>
      <c r="W143">
        <f t="shared" si="31"/>
        <v>0.1</v>
      </c>
      <c r="X143" t="str">
        <f t="shared" si="32"/>
        <v/>
      </c>
      <c r="Y143">
        <v>3996.03</v>
      </c>
      <c r="Z143">
        <f t="shared" si="33"/>
        <v>3996.027</v>
      </c>
      <c r="AA143">
        <v>2859.51</v>
      </c>
      <c r="AB143">
        <v>1136.52</v>
      </c>
      <c r="AC143">
        <f t="shared" si="34"/>
        <v>3361.7370000000001</v>
      </c>
      <c r="AD143" s="6">
        <f t="shared" si="35"/>
        <v>0.84126984126984128</v>
      </c>
      <c r="AE143" t="s">
        <v>32</v>
      </c>
      <c r="AF143" t="s">
        <v>103</v>
      </c>
      <c r="AG143">
        <f t="shared" si="36"/>
        <v>3</v>
      </c>
      <c r="AH143">
        <f t="shared" si="37"/>
        <v>2024</v>
      </c>
      <c r="AI143" t="str">
        <f t="shared" si="38"/>
        <v>CLEAN</v>
      </c>
    </row>
    <row r="144" spans="1:35">
      <c r="A144" t="s">
        <v>535</v>
      </c>
      <c r="B144">
        <f t="shared" si="26"/>
        <v>2</v>
      </c>
      <c r="C144" t="str">
        <f>IF(COUNTIF($A$2:A144, A144)&gt;1, "DUPLICATE_FLAGGED_FOR_REVIEW", "")</f>
        <v/>
      </c>
      <c r="D144" s="3">
        <v>45381</v>
      </c>
      <c r="E144" s="2">
        <v>45377</v>
      </c>
      <c r="F144" s="2" t="str">
        <f t="shared" si="27"/>
        <v>ERROR: Ship before order</v>
      </c>
      <c r="G144" s="4">
        <f t="shared" si="28"/>
        <v>-4</v>
      </c>
      <c r="H144" t="s">
        <v>536</v>
      </c>
      <c r="I144" t="s">
        <v>89</v>
      </c>
      <c r="J144" t="s">
        <v>95</v>
      </c>
      <c r="K144" t="s">
        <v>25</v>
      </c>
      <c r="L144" t="str">
        <f t="shared" si="29"/>
        <v>North</v>
      </c>
      <c r="M144" t="s">
        <v>26</v>
      </c>
      <c r="N144" t="s">
        <v>27</v>
      </c>
      <c r="O144" t="s">
        <v>74</v>
      </c>
      <c r="P144" t="s">
        <v>171</v>
      </c>
      <c r="Q144" t="s">
        <v>537</v>
      </c>
      <c r="R144" t="s">
        <v>31</v>
      </c>
      <c r="S144" t="str">
        <f t="shared" si="30"/>
        <v>Second Class</v>
      </c>
      <c r="T144">
        <v>5</v>
      </c>
      <c r="U144">
        <v>907.54</v>
      </c>
      <c r="V144">
        <v>0.15</v>
      </c>
      <c r="W144">
        <f t="shared" si="31"/>
        <v>0.15</v>
      </c>
      <c r="X144" t="str">
        <f t="shared" si="32"/>
        <v/>
      </c>
      <c r="Y144">
        <v>3857.04</v>
      </c>
      <c r="Z144">
        <f t="shared" si="33"/>
        <v>3857.0449999999996</v>
      </c>
      <c r="AA144">
        <v>2769.26</v>
      </c>
      <c r="AB144">
        <v>1087.78</v>
      </c>
      <c r="AC144">
        <f t="shared" si="34"/>
        <v>2949.5049999999997</v>
      </c>
      <c r="AD144" s="6">
        <f t="shared" si="35"/>
        <v>0.76470588235294112</v>
      </c>
      <c r="AE144" t="s">
        <v>32</v>
      </c>
      <c r="AF144" t="s">
        <v>33</v>
      </c>
      <c r="AG144">
        <f t="shared" si="36"/>
        <v>3</v>
      </c>
      <c r="AH144">
        <f t="shared" si="37"/>
        <v>2024</v>
      </c>
      <c r="AI144" t="str">
        <f t="shared" si="38"/>
        <v>INVALID</v>
      </c>
    </row>
    <row r="145" spans="1:35">
      <c r="A145" t="s">
        <v>538</v>
      </c>
      <c r="B145">
        <f t="shared" si="26"/>
        <v>1</v>
      </c>
      <c r="C145" t="str">
        <f>IF(COUNTIF($A$2:A145, A145)&gt;1, "DUPLICATE_FLAGGED_FOR_REVIEW", "")</f>
        <v/>
      </c>
      <c r="D145" s="3">
        <v>45375</v>
      </c>
      <c r="E145" s="2">
        <v>45377</v>
      </c>
      <c r="F145" s="2" t="str">
        <f t="shared" si="27"/>
        <v>OK</v>
      </c>
      <c r="G145" s="4">
        <f t="shared" si="28"/>
        <v>2</v>
      </c>
      <c r="H145" t="s">
        <v>539</v>
      </c>
      <c r="I145" t="s">
        <v>114</v>
      </c>
      <c r="J145" t="s">
        <v>24</v>
      </c>
      <c r="K145" t="s">
        <v>63</v>
      </c>
      <c r="L145" t="str">
        <f t="shared" si="29"/>
        <v>West</v>
      </c>
      <c r="M145" t="s">
        <v>180</v>
      </c>
      <c r="N145" t="s">
        <v>181</v>
      </c>
      <c r="O145" t="s">
        <v>28</v>
      </c>
      <c r="P145" t="s">
        <v>29</v>
      </c>
      <c r="Q145" t="s">
        <v>540</v>
      </c>
      <c r="R145" t="s">
        <v>31</v>
      </c>
      <c r="S145" t="str">
        <f t="shared" si="30"/>
        <v>Second Class</v>
      </c>
      <c r="T145">
        <v>1</v>
      </c>
      <c r="U145">
        <v>3409.5</v>
      </c>
      <c r="V145">
        <v>0.1</v>
      </c>
      <c r="W145">
        <f t="shared" si="31"/>
        <v>0.1</v>
      </c>
      <c r="X145" t="str">
        <f t="shared" si="32"/>
        <v/>
      </c>
      <c r="Y145">
        <v>3068.55</v>
      </c>
      <c r="Z145">
        <f t="shared" si="33"/>
        <v>3068.55</v>
      </c>
      <c r="AA145">
        <v>1916.16</v>
      </c>
      <c r="AB145">
        <v>1152.3900000000001</v>
      </c>
      <c r="AC145">
        <f t="shared" si="34"/>
        <v>-340.94999999999982</v>
      </c>
      <c r="AD145" s="6">
        <f t="shared" si="35"/>
        <v>-0.11111111111111105</v>
      </c>
      <c r="AE145" t="s">
        <v>32</v>
      </c>
      <c r="AF145" t="s">
        <v>103</v>
      </c>
      <c r="AG145">
        <f t="shared" si="36"/>
        <v>3</v>
      </c>
      <c r="AH145">
        <f t="shared" si="37"/>
        <v>2024</v>
      </c>
      <c r="AI145" t="str">
        <f t="shared" si="38"/>
        <v>CLEAN</v>
      </c>
    </row>
    <row r="146" spans="1:35">
      <c r="A146" t="s">
        <v>541</v>
      </c>
      <c r="B146">
        <f t="shared" si="26"/>
        <v>1</v>
      </c>
      <c r="C146" t="str">
        <f>IF(COUNTIF($A$2:A146, A146)&gt;1, "DUPLICATE_FLAGGED_FOR_REVIEW", "")</f>
        <v/>
      </c>
      <c r="D146" s="3">
        <v>45450</v>
      </c>
      <c r="E146" s="2">
        <v>45458</v>
      </c>
      <c r="F146" s="2" t="str">
        <f t="shared" si="27"/>
        <v>OK</v>
      </c>
      <c r="G146" s="4">
        <f t="shared" si="28"/>
        <v>8</v>
      </c>
      <c r="H146" t="s">
        <v>542</v>
      </c>
      <c r="I146" t="s">
        <v>264</v>
      </c>
      <c r="J146" t="s">
        <v>37</v>
      </c>
      <c r="K146" t="s">
        <v>54</v>
      </c>
      <c r="L146" t="str">
        <f t="shared" si="29"/>
        <v>South</v>
      </c>
      <c r="M146" t="s">
        <v>55</v>
      </c>
      <c r="N146" t="s">
        <v>56</v>
      </c>
      <c r="O146" t="s">
        <v>74</v>
      </c>
      <c r="P146" t="s">
        <v>75</v>
      </c>
      <c r="Q146" t="s">
        <v>543</v>
      </c>
      <c r="R146" t="s">
        <v>50</v>
      </c>
      <c r="S146" t="str">
        <f t="shared" si="30"/>
        <v>First Class</v>
      </c>
      <c r="T146">
        <v>7</v>
      </c>
      <c r="U146">
        <v>2147.9899999999998</v>
      </c>
      <c r="V146">
        <v>0.25</v>
      </c>
      <c r="W146">
        <f t="shared" si="31"/>
        <v>0.25</v>
      </c>
      <c r="X146" t="str">
        <f t="shared" si="32"/>
        <v/>
      </c>
      <c r="Y146">
        <v>11276.95</v>
      </c>
      <c r="Z146">
        <f t="shared" si="33"/>
        <v>11276.947499999998</v>
      </c>
      <c r="AA146">
        <v>6908.76</v>
      </c>
      <c r="AB146">
        <v>4368.1899999999996</v>
      </c>
      <c r="AC146">
        <f t="shared" si="34"/>
        <v>9128.9574999999986</v>
      </c>
      <c r="AD146" s="6">
        <f t="shared" si="35"/>
        <v>0.80952380952380953</v>
      </c>
      <c r="AE146" t="s">
        <v>102</v>
      </c>
      <c r="AF146" t="s">
        <v>103</v>
      </c>
      <c r="AG146">
        <f t="shared" si="36"/>
        <v>6</v>
      </c>
      <c r="AH146">
        <f t="shared" si="37"/>
        <v>2024</v>
      </c>
      <c r="AI146" t="str">
        <f t="shared" si="38"/>
        <v>CLEAN</v>
      </c>
    </row>
    <row r="147" spans="1:35">
      <c r="A147" t="s">
        <v>544</v>
      </c>
      <c r="B147">
        <f t="shared" si="26"/>
        <v>1</v>
      </c>
      <c r="C147" t="str">
        <f>IF(COUNTIF($A$2:A147, A147)&gt;1, "DUPLICATE_FLAGGED_FOR_REVIEW", "")</f>
        <v/>
      </c>
      <c r="D147" s="3">
        <v>45758</v>
      </c>
      <c r="E147" s="2">
        <v>45760</v>
      </c>
      <c r="F147" s="2" t="str">
        <f t="shared" si="27"/>
        <v>OK</v>
      </c>
      <c r="G147" s="4">
        <f t="shared" si="28"/>
        <v>2</v>
      </c>
      <c r="H147" t="s">
        <v>545</v>
      </c>
      <c r="I147" t="s">
        <v>36</v>
      </c>
      <c r="J147" t="s">
        <v>37</v>
      </c>
      <c r="K147" t="s">
        <v>63</v>
      </c>
      <c r="L147" t="str">
        <f t="shared" si="29"/>
        <v>West</v>
      </c>
      <c r="M147" t="s">
        <v>190</v>
      </c>
      <c r="N147" t="s">
        <v>191</v>
      </c>
      <c r="O147" t="s">
        <v>28</v>
      </c>
      <c r="P147" t="s">
        <v>29</v>
      </c>
      <c r="Q147" t="s">
        <v>546</v>
      </c>
      <c r="R147" t="s">
        <v>59</v>
      </c>
      <c r="S147" t="str">
        <f t="shared" si="30"/>
        <v>Standard Class</v>
      </c>
      <c r="T147">
        <v>4</v>
      </c>
      <c r="U147">
        <v>4182.1499999999996</v>
      </c>
      <c r="V147">
        <v>0.1</v>
      </c>
      <c r="W147">
        <f t="shared" si="31"/>
        <v>0.1</v>
      </c>
      <c r="X147" t="str">
        <f t="shared" si="32"/>
        <v/>
      </c>
      <c r="Y147">
        <v>15055.74</v>
      </c>
      <c r="Z147">
        <f t="shared" si="33"/>
        <v>15055.74</v>
      </c>
      <c r="AA147">
        <v>9808.83</v>
      </c>
      <c r="AB147">
        <v>5246.91</v>
      </c>
      <c r="AC147">
        <f t="shared" si="34"/>
        <v>10873.59</v>
      </c>
      <c r="AD147" s="6">
        <f t="shared" si="35"/>
        <v>0.72222222222222221</v>
      </c>
      <c r="AE147" t="s">
        <v>32</v>
      </c>
      <c r="AF147" t="s">
        <v>33</v>
      </c>
      <c r="AG147">
        <f t="shared" si="36"/>
        <v>4</v>
      </c>
      <c r="AH147">
        <f t="shared" si="37"/>
        <v>2025</v>
      </c>
      <c r="AI147" t="str">
        <f t="shared" si="38"/>
        <v>CLEAN</v>
      </c>
    </row>
    <row r="148" spans="1:35">
      <c r="A148" t="s">
        <v>547</v>
      </c>
      <c r="B148">
        <f t="shared" si="26"/>
        <v>1</v>
      </c>
      <c r="C148" t="str">
        <f>IF(COUNTIF($A$2:A148, A148)&gt;1, "DUPLICATE_FLAGGED_FOR_REVIEW", "")</f>
        <v/>
      </c>
      <c r="D148" s="3">
        <v>45868</v>
      </c>
      <c r="E148" s="2">
        <v>45665</v>
      </c>
      <c r="F148" s="2" t="str">
        <f t="shared" si="27"/>
        <v>ERROR: Ship before order</v>
      </c>
      <c r="G148" s="4">
        <f t="shared" si="28"/>
        <v>-203</v>
      </c>
      <c r="H148" t="s">
        <v>548</v>
      </c>
      <c r="I148" t="s">
        <v>132</v>
      </c>
      <c r="J148" t="s">
        <v>37</v>
      </c>
      <c r="K148" t="s">
        <v>54</v>
      </c>
      <c r="L148" t="str">
        <f t="shared" si="29"/>
        <v>South</v>
      </c>
      <c r="M148" t="s">
        <v>247</v>
      </c>
      <c r="N148" t="s">
        <v>248</v>
      </c>
      <c r="O148" t="s">
        <v>28</v>
      </c>
      <c r="P148" t="s">
        <v>124</v>
      </c>
      <c r="Q148" t="s">
        <v>549</v>
      </c>
      <c r="R148" t="s">
        <v>44</v>
      </c>
      <c r="S148" t="str">
        <f t="shared" si="30"/>
        <v>Same Day</v>
      </c>
      <c r="T148">
        <v>9</v>
      </c>
      <c r="U148">
        <v>3165.43</v>
      </c>
      <c r="V148">
        <v>0.1</v>
      </c>
      <c r="W148">
        <f t="shared" si="31"/>
        <v>0.1</v>
      </c>
      <c r="X148" t="str">
        <f t="shared" si="32"/>
        <v/>
      </c>
      <c r="Y148">
        <v>25639.98</v>
      </c>
      <c r="Z148">
        <f t="shared" si="33"/>
        <v>25639.983</v>
      </c>
      <c r="AA148">
        <v>21635.08</v>
      </c>
      <c r="AB148">
        <v>4004.9</v>
      </c>
      <c r="AC148">
        <f t="shared" si="34"/>
        <v>22474.553</v>
      </c>
      <c r="AD148" s="6">
        <f t="shared" si="35"/>
        <v>0.87654320987654322</v>
      </c>
      <c r="AE148" t="s">
        <v>32</v>
      </c>
      <c r="AF148" t="s">
        <v>33</v>
      </c>
      <c r="AG148">
        <f t="shared" si="36"/>
        <v>7</v>
      </c>
      <c r="AH148">
        <f t="shared" si="37"/>
        <v>2025</v>
      </c>
      <c r="AI148" t="str">
        <f t="shared" si="38"/>
        <v>INVALID</v>
      </c>
    </row>
    <row r="149" spans="1:35">
      <c r="A149" t="s">
        <v>550</v>
      </c>
      <c r="B149">
        <f t="shared" si="26"/>
        <v>1</v>
      </c>
      <c r="C149" t="str">
        <f>IF(COUNTIF($A$2:A149, A149)&gt;1, "DUPLICATE_FLAGGED_FOR_REVIEW", "")</f>
        <v/>
      </c>
      <c r="D149" s="3">
        <v>45649</v>
      </c>
      <c r="E149" s="2">
        <v>45656</v>
      </c>
      <c r="F149" s="2" t="str">
        <f t="shared" si="27"/>
        <v>OK</v>
      </c>
      <c r="G149" s="4">
        <f t="shared" si="28"/>
        <v>7</v>
      </c>
      <c r="H149" t="s">
        <v>551</v>
      </c>
      <c r="I149" t="s">
        <v>114</v>
      </c>
      <c r="J149" t="s">
        <v>95</v>
      </c>
      <c r="K149" t="s">
        <v>63</v>
      </c>
      <c r="L149" t="str">
        <f t="shared" si="29"/>
        <v>West</v>
      </c>
      <c r="M149" t="s">
        <v>190</v>
      </c>
      <c r="N149" t="s">
        <v>191</v>
      </c>
      <c r="O149" t="s">
        <v>41</v>
      </c>
      <c r="P149" t="s">
        <v>57</v>
      </c>
      <c r="Q149" t="s">
        <v>552</v>
      </c>
      <c r="R149" t="s">
        <v>50</v>
      </c>
      <c r="S149" t="str">
        <f t="shared" si="30"/>
        <v>First Class</v>
      </c>
      <c r="T149">
        <v>8</v>
      </c>
      <c r="U149">
        <v>386.1</v>
      </c>
      <c r="V149">
        <v>0.1</v>
      </c>
      <c r="W149">
        <f t="shared" si="31"/>
        <v>0.1</v>
      </c>
      <c r="X149" t="str">
        <f t="shared" si="32"/>
        <v/>
      </c>
      <c r="Y149">
        <v>2779.92</v>
      </c>
      <c r="Z149">
        <f t="shared" si="33"/>
        <v>2779.92</v>
      </c>
      <c r="AA149">
        <v>1744.05</v>
      </c>
      <c r="AB149">
        <v>1035.8699999999999</v>
      </c>
      <c r="AC149">
        <f t="shared" si="34"/>
        <v>2393.8200000000002</v>
      </c>
      <c r="AD149" s="6">
        <f t="shared" si="35"/>
        <v>0.86111111111111116</v>
      </c>
      <c r="AE149" t="s">
        <v>32</v>
      </c>
      <c r="AF149" t="s">
        <v>33</v>
      </c>
      <c r="AG149">
        <f t="shared" si="36"/>
        <v>12</v>
      </c>
      <c r="AH149">
        <f t="shared" si="37"/>
        <v>2024</v>
      </c>
      <c r="AI149" t="str">
        <f t="shared" si="38"/>
        <v>CLEAN</v>
      </c>
    </row>
    <row r="150" spans="1:35">
      <c r="A150" t="s">
        <v>553</v>
      </c>
      <c r="B150">
        <f t="shared" si="26"/>
        <v>1</v>
      </c>
      <c r="C150" t="str">
        <f>IF(COUNTIF($A$2:A150, A150)&gt;1, "DUPLICATE_FLAGGED_FOR_REVIEW", "")</f>
        <v/>
      </c>
      <c r="D150" s="3">
        <v>45697</v>
      </c>
      <c r="E150" s="2">
        <v>45701</v>
      </c>
      <c r="F150" s="2" t="str">
        <f t="shared" si="27"/>
        <v>OK</v>
      </c>
      <c r="G150" s="4">
        <f t="shared" si="28"/>
        <v>4</v>
      </c>
      <c r="H150" t="s">
        <v>554</v>
      </c>
      <c r="I150" t="s">
        <v>36</v>
      </c>
      <c r="J150" t="s">
        <v>95</v>
      </c>
      <c r="K150" t="s">
        <v>63</v>
      </c>
      <c r="L150" t="str">
        <f t="shared" si="29"/>
        <v>West</v>
      </c>
      <c r="M150" t="s">
        <v>72</v>
      </c>
      <c r="N150" t="s">
        <v>73</v>
      </c>
      <c r="O150" t="s">
        <v>74</v>
      </c>
      <c r="P150" t="s">
        <v>171</v>
      </c>
      <c r="Q150" t="s">
        <v>555</v>
      </c>
      <c r="R150" t="s">
        <v>2760</v>
      </c>
      <c r="S150" t="str">
        <f t="shared" si="30"/>
        <v>Unknown</v>
      </c>
      <c r="T150">
        <v>8</v>
      </c>
      <c r="U150">
        <v>1696.07</v>
      </c>
      <c r="V150">
        <v>0.25</v>
      </c>
      <c r="W150">
        <f t="shared" si="31"/>
        <v>0.25</v>
      </c>
      <c r="X150" t="str">
        <f t="shared" si="32"/>
        <v/>
      </c>
      <c r="Y150">
        <v>10176.42</v>
      </c>
      <c r="Z150">
        <f t="shared" si="33"/>
        <v>10176.42</v>
      </c>
      <c r="AA150">
        <v>7604.47</v>
      </c>
      <c r="AB150">
        <v>2571.9499999999998</v>
      </c>
      <c r="AC150">
        <f t="shared" si="34"/>
        <v>8480.35</v>
      </c>
      <c r="AD150" s="6">
        <f t="shared" si="35"/>
        <v>0.83333333333333337</v>
      </c>
      <c r="AE150" t="s">
        <v>32</v>
      </c>
      <c r="AF150" t="s">
        <v>33</v>
      </c>
      <c r="AG150">
        <f t="shared" si="36"/>
        <v>2</v>
      </c>
      <c r="AH150">
        <f t="shared" si="37"/>
        <v>2025</v>
      </c>
      <c r="AI150" t="str">
        <f t="shared" si="38"/>
        <v>WARNING</v>
      </c>
    </row>
    <row r="151" spans="1:35">
      <c r="A151" t="s">
        <v>556</v>
      </c>
      <c r="B151">
        <f t="shared" si="26"/>
        <v>1</v>
      </c>
      <c r="C151" t="str">
        <f>IF(COUNTIF($A$2:A151, A151)&gt;1, "DUPLICATE_FLAGGED_FOR_REVIEW", "")</f>
        <v/>
      </c>
      <c r="D151" s="3">
        <v>45321</v>
      </c>
      <c r="E151" s="2">
        <v>45321</v>
      </c>
      <c r="F151" s="2" t="str">
        <f t="shared" si="27"/>
        <v>OK</v>
      </c>
      <c r="G151" s="4">
        <f t="shared" si="28"/>
        <v>0</v>
      </c>
      <c r="H151" t="s">
        <v>557</v>
      </c>
      <c r="I151" t="s">
        <v>128</v>
      </c>
      <c r="J151" t="s">
        <v>37</v>
      </c>
      <c r="K151" t="s">
        <v>63</v>
      </c>
      <c r="L151" t="str">
        <f t="shared" si="29"/>
        <v>West</v>
      </c>
      <c r="M151" t="s">
        <v>26</v>
      </c>
      <c r="N151" t="s">
        <v>109</v>
      </c>
      <c r="O151" t="s">
        <v>74</v>
      </c>
      <c r="P151" t="s">
        <v>80</v>
      </c>
      <c r="Q151" t="s">
        <v>558</v>
      </c>
      <c r="R151" t="s">
        <v>44</v>
      </c>
      <c r="S151" t="str">
        <f t="shared" si="30"/>
        <v>Same Day</v>
      </c>
      <c r="T151">
        <v>7</v>
      </c>
      <c r="U151">
        <v>2527.61</v>
      </c>
      <c r="V151">
        <v>0.25</v>
      </c>
      <c r="W151">
        <f t="shared" si="31"/>
        <v>0.25</v>
      </c>
      <c r="X151" t="str">
        <f t="shared" si="32"/>
        <v/>
      </c>
      <c r="Y151">
        <v>13269.95</v>
      </c>
      <c r="Z151">
        <f t="shared" si="33"/>
        <v>13269.952499999999</v>
      </c>
      <c r="AA151">
        <v>8977.1</v>
      </c>
      <c r="AB151">
        <v>4292.8500000000004</v>
      </c>
      <c r="AC151">
        <f t="shared" si="34"/>
        <v>10742.342499999999</v>
      </c>
      <c r="AD151" s="6">
        <f t="shared" si="35"/>
        <v>0.80952380952380942</v>
      </c>
      <c r="AE151" t="s">
        <v>32</v>
      </c>
      <c r="AF151" t="s">
        <v>33</v>
      </c>
      <c r="AG151">
        <f t="shared" si="36"/>
        <v>1</v>
      </c>
      <c r="AH151">
        <f t="shared" si="37"/>
        <v>2024</v>
      </c>
      <c r="AI151" t="str">
        <f t="shared" si="38"/>
        <v>CLEAN</v>
      </c>
    </row>
    <row r="152" spans="1:35">
      <c r="A152" t="s">
        <v>559</v>
      </c>
      <c r="B152">
        <f t="shared" si="26"/>
        <v>1</v>
      </c>
      <c r="C152" t="str">
        <f>IF(COUNTIF($A$2:A152, A152)&gt;1, "DUPLICATE_FLAGGED_FOR_REVIEW", "")</f>
        <v/>
      </c>
      <c r="D152" s="3">
        <v>45355</v>
      </c>
      <c r="E152" s="2">
        <v>45363</v>
      </c>
      <c r="F152" s="2" t="str">
        <f t="shared" si="27"/>
        <v>OK</v>
      </c>
      <c r="G152" s="4">
        <f t="shared" si="28"/>
        <v>8</v>
      </c>
      <c r="H152" t="s">
        <v>560</v>
      </c>
      <c r="I152" t="s">
        <v>53</v>
      </c>
      <c r="J152" t="s">
        <v>24</v>
      </c>
      <c r="K152" t="s">
        <v>2760</v>
      </c>
      <c r="L152" t="str">
        <f t="shared" si="29"/>
        <v>Unknown</v>
      </c>
      <c r="M152" t="s">
        <v>180</v>
      </c>
      <c r="N152" t="s">
        <v>181</v>
      </c>
      <c r="O152" t="s">
        <v>41</v>
      </c>
      <c r="P152" t="s">
        <v>158</v>
      </c>
      <c r="Q152" t="s">
        <v>561</v>
      </c>
      <c r="R152" t="s">
        <v>50</v>
      </c>
      <c r="S152" t="str">
        <f t="shared" si="30"/>
        <v>First Class</v>
      </c>
      <c r="T152">
        <v>1</v>
      </c>
      <c r="U152">
        <v>1554.12</v>
      </c>
      <c r="V152">
        <v>0.1</v>
      </c>
      <c r="W152">
        <f t="shared" si="31"/>
        <v>0.1</v>
      </c>
      <c r="X152" t="str">
        <f t="shared" si="32"/>
        <v/>
      </c>
      <c r="Y152">
        <v>1398.71</v>
      </c>
      <c r="Z152">
        <f t="shared" si="33"/>
        <v>1398.7079999999999</v>
      </c>
      <c r="AA152">
        <v>1056.92</v>
      </c>
      <c r="AB152">
        <v>341.79</v>
      </c>
      <c r="AC152">
        <f t="shared" si="34"/>
        <v>-155.41200000000003</v>
      </c>
      <c r="AD152" s="6">
        <f t="shared" si="35"/>
        <v>-0.11111111111111115</v>
      </c>
      <c r="AE152" t="s">
        <v>32</v>
      </c>
      <c r="AF152" t="s">
        <v>33</v>
      </c>
      <c r="AG152">
        <f t="shared" si="36"/>
        <v>3</v>
      </c>
      <c r="AH152">
        <f t="shared" si="37"/>
        <v>2024</v>
      </c>
      <c r="AI152" t="str">
        <f t="shared" si="38"/>
        <v>WARNING</v>
      </c>
    </row>
    <row r="153" spans="1:35">
      <c r="A153" t="s">
        <v>562</v>
      </c>
      <c r="B153">
        <f t="shared" si="26"/>
        <v>1</v>
      </c>
      <c r="C153" t="str">
        <f>IF(COUNTIF($A$2:A153, A153)&gt;1, "DUPLICATE_FLAGGED_FOR_REVIEW", "")</f>
        <v/>
      </c>
      <c r="D153" s="3">
        <v>45470</v>
      </c>
      <c r="E153" s="2">
        <v>45470</v>
      </c>
      <c r="F153" s="2" t="str">
        <f t="shared" si="27"/>
        <v>OK</v>
      </c>
      <c r="G153" s="4">
        <f t="shared" si="28"/>
        <v>0</v>
      </c>
      <c r="H153" t="s">
        <v>563</v>
      </c>
      <c r="I153" t="s">
        <v>79</v>
      </c>
      <c r="J153" t="s">
        <v>95</v>
      </c>
      <c r="K153" t="s">
        <v>2760</v>
      </c>
      <c r="L153" t="str">
        <f t="shared" si="29"/>
        <v>Unknown</v>
      </c>
      <c r="M153" t="s">
        <v>72</v>
      </c>
      <c r="N153" t="s">
        <v>73</v>
      </c>
      <c r="O153" t="s">
        <v>74</v>
      </c>
      <c r="P153" t="s">
        <v>80</v>
      </c>
      <c r="Q153" t="s">
        <v>564</v>
      </c>
      <c r="R153" t="s">
        <v>59</v>
      </c>
      <c r="S153" t="str">
        <f t="shared" si="30"/>
        <v>Standard Class</v>
      </c>
      <c r="T153">
        <v>2</v>
      </c>
      <c r="U153">
        <v>3859.11</v>
      </c>
      <c r="V153">
        <v>0</v>
      </c>
      <c r="W153">
        <f t="shared" si="31"/>
        <v>0</v>
      </c>
      <c r="X153" t="str">
        <f t="shared" si="32"/>
        <v/>
      </c>
      <c r="Y153">
        <v>7718.22</v>
      </c>
      <c r="Z153">
        <f t="shared" si="33"/>
        <v>7718.22</v>
      </c>
      <c r="AA153">
        <v>5355.93</v>
      </c>
      <c r="AB153">
        <v>2362.29</v>
      </c>
      <c r="AC153">
        <f t="shared" si="34"/>
        <v>3859.11</v>
      </c>
      <c r="AD153" s="6">
        <f t="shared" si="35"/>
        <v>0.5</v>
      </c>
      <c r="AE153" t="s">
        <v>111</v>
      </c>
      <c r="AF153" t="s">
        <v>103</v>
      </c>
      <c r="AG153">
        <f t="shared" si="36"/>
        <v>6</v>
      </c>
      <c r="AH153">
        <f t="shared" si="37"/>
        <v>2024</v>
      </c>
      <c r="AI153" t="str">
        <f t="shared" si="38"/>
        <v>WARNING</v>
      </c>
    </row>
    <row r="154" spans="1:35">
      <c r="A154" t="s">
        <v>565</v>
      </c>
      <c r="B154">
        <f t="shared" si="26"/>
        <v>1</v>
      </c>
      <c r="C154" t="str">
        <f>IF(COUNTIF($A$2:A154, A154)&gt;1, "DUPLICATE_FLAGGED_FOR_REVIEW", "")</f>
        <v/>
      </c>
      <c r="D154" s="3">
        <v>45457</v>
      </c>
      <c r="E154" s="2">
        <v>45460</v>
      </c>
      <c r="F154" s="2" t="str">
        <f t="shared" si="27"/>
        <v>OK</v>
      </c>
      <c r="G154" s="4">
        <f t="shared" si="28"/>
        <v>3</v>
      </c>
      <c r="H154" t="s">
        <v>566</v>
      </c>
      <c r="I154" t="s">
        <v>264</v>
      </c>
      <c r="J154" t="s">
        <v>37</v>
      </c>
      <c r="K154" t="s">
        <v>54</v>
      </c>
      <c r="L154" t="str">
        <f t="shared" si="29"/>
        <v>South</v>
      </c>
      <c r="M154" t="s">
        <v>185</v>
      </c>
      <c r="N154" t="s">
        <v>186</v>
      </c>
      <c r="O154" t="s">
        <v>41</v>
      </c>
      <c r="P154" t="s">
        <v>42</v>
      </c>
      <c r="Q154" t="s">
        <v>567</v>
      </c>
      <c r="R154" t="s">
        <v>31</v>
      </c>
      <c r="S154" t="str">
        <f t="shared" si="30"/>
        <v>Second Class</v>
      </c>
      <c r="T154">
        <v>6</v>
      </c>
      <c r="U154">
        <v>1088.04</v>
      </c>
      <c r="V154">
        <v>0.1</v>
      </c>
      <c r="W154">
        <f t="shared" si="31"/>
        <v>0.1</v>
      </c>
      <c r="X154" t="str">
        <f t="shared" si="32"/>
        <v/>
      </c>
      <c r="Y154">
        <v>5875.42</v>
      </c>
      <c r="Z154">
        <f t="shared" si="33"/>
        <v>5875.4160000000002</v>
      </c>
      <c r="AA154">
        <v>4380.55</v>
      </c>
      <c r="AB154">
        <v>1494.87</v>
      </c>
      <c r="AC154">
        <f t="shared" si="34"/>
        <v>4787.3760000000002</v>
      </c>
      <c r="AD154" s="6">
        <f t="shared" si="35"/>
        <v>0.81481481481481488</v>
      </c>
      <c r="AE154" t="s">
        <v>111</v>
      </c>
      <c r="AF154" t="s">
        <v>103</v>
      </c>
      <c r="AG154">
        <f t="shared" si="36"/>
        <v>6</v>
      </c>
      <c r="AH154">
        <f t="shared" si="37"/>
        <v>2024</v>
      </c>
      <c r="AI154" t="str">
        <f t="shared" si="38"/>
        <v>CLEAN</v>
      </c>
    </row>
    <row r="155" spans="1:35">
      <c r="A155" t="s">
        <v>568</v>
      </c>
      <c r="B155">
        <f t="shared" si="26"/>
        <v>1</v>
      </c>
      <c r="C155" t="str">
        <f>IF(COUNTIF($A$2:A155, A155)&gt;1, "DUPLICATE_FLAGGED_FOR_REVIEW", "")</f>
        <v/>
      </c>
      <c r="D155" s="3">
        <v>45923</v>
      </c>
      <c r="E155" s="2">
        <v>45925</v>
      </c>
      <c r="F155" s="2" t="str">
        <f t="shared" si="27"/>
        <v>OK</v>
      </c>
      <c r="G155" s="4">
        <f t="shared" si="28"/>
        <v>2</v>
      </c>
      <c r="H155" t="s">
        <v>569</v>
      </c>
      <c r="I155" t="s">
        <v>89</v>
      </c>
      <c r="J155" t="s">
        <v>24</v>
      </c>
      <c r="K155" t="s">
        <v>38</v>
      </c>
      <c r="L155" t="str">
        <f t="shared" si="29"/>
        <v>East</v>
      </c>
      <c r="M155" t="s">
        <v>39</v>
      </c>
      <c r="N155" t="s">
        <v>40</v>
      </c>
      <c r="O155" t="s">
        <v>28</v>
      </c>
      <c r="P155" t="s">
        <v>91</v>
      </c>
      <c r="Q155" t="s">
        <v>570</v>
      </c>
      <c r="R155" t="s">
        <v>59</v>
      </c>
      <c r="S155" t="str">
        <f t="shared" si="30"/>
        <v>Standard Class</v>
      </c>
      <c r="T155">
        <v>7</v>
      </c>
      <c r="U155">
        <v>3280.31</v>
      </c>
      <c r="V155">
        <v>0</v>
      </c>
      <c r="W155">
        <f t="shared" si="31"/>
        <v>0</v>
      </c>
      <c r="X155" t="str">
        <f t="shared" si="32"/>
        <v/>
      </c>
      <c r="Y155">
        <v>22962.17</v>
      </c>
      <c r="Z155">
        <f t="shared" si="33"/>
        <v>22962.17</v>
      </c>
      <c r="AA155">
        <v>15716.5</v>
      </c>
      <c r="AB155">
        <v>7245.67</v>
      </c>
      <c r="AC155">
        <f t="shared" si="34"/>
        <v>19681.859999999997</v>
      </c>
      <c r="AD155" s="6">
        <f t="shared" si="35"/>
        <v>0.8571428571428571</v>
      </c>
      <c r="AE155" t="s">
        <v>102</v>
      </c>
      <c r="AF155" t="s">
        <v>103</v>
      </c>
      <c r="AG155">
        <f t="shared" si="36"/>
        <v>9</v>
      </c>
      <c r="AH155">
        <f t="shared" si="37"/>
        <v>2025</v>
      </c>
      <c r="AI155" t="str">
        <f t="shared" si="38"/>
        <v>CLEAN</v>
      </c>
    </row>
    <row r="156" spans="1:35">
      <c r="A156" t="s">
        <v>571</v>
      </c>
      <c r="B156">
        <f t="shared" si="26"/>
        <v>1</v>
      </c>
      <c r="C156" t="str">
        <f>IF(COUNTIF($A$2:A156, A156)&gt;1, "DUPLICATE_FLAGGED_FOR_REVIEW", "")</f>
        <v/>
      </c>
      <c r="D156" s="3">
        <v>45334</v>
      </c>
      <c r="E156" s="2">
        <v>45598</v>
      </c>
      <c r="F156" s="2" t="str">
        <f t="shared" si="27"/>
        <v>OK</v>
      </c>
      <c r="G156" s="4">
        <f t="shared" si="28"/>
        <v>264</v>
      </c>
      <c r="H156" t="s">
        <v>455</v>
      </c>
      <c r="I156" t="s">
        <v>114</v>
      </c>
      <c r="J156" t="s">
        <v>24</v>
      </c>
      <c r="K156" t="s">
        <v>54</v>
      </c>
      <c r="L156" t="str">
        <f t="shared" si="29"/>
        <v>South</v>
      </c>
      <c r="M156" t="s">
        <v>247</v>
      </c>
      <c r="N156" t="s">
        <v>248</v>
      </c>
      <c r="O156" t="s">
        <v>41</v>
      </c>
      <c r="P156" t="s">
        <v>158</v>
      </c>
      <c r="Q156" t="s">
        <v>572</v>
      </c>
      <c r="R156" t="s">
        <v>44</v>
      </c>
      <c r="S156" t="str">
        <f t="shared" si="30"/>
        <v>Same Day</v>
      </c>
      <c r="T156">
        <v>1</v>
      </c>
      <c r="U156">
        <v>2599.12</v>
      </c>
      <c r="V156">
        <v>0.15</v>
      </c>
      <c r="W156">
        <f t="shared" si="31"/>
        <v>0.15</v>
      </c>
      <c r="X156" t="str">
        <f t="shared" si="32"/>
        <v/>
      </c>
      <c r="Y156">
        <v>2209.25</v>
      </c>
      <c r="Z156">
        <f t="shared" si="33"/>
        <v>2209.252</v>
      </c>
      <c r="AA156">
        <v>1523.78</v>
      </c>
      <c r="AB156">
        <v>685.47</v>
      </c>
      <c r="AC156">
        <f t="shared" si="34"/>
        <v>-389.86799999999994</v>
      </c>
      <c r="AD156" s="6">
        <f t="shared" si="35"/>
        <v>-0.1764705882352941</v>
      </c>
      <c r="AE156" t="s">
        <v>32</v>
      </c>
      <c r="AF156" t="s">
        <v>33</v>
      </c>
      <c r="AG156">
        <f t="shared" si="36"/>
        <v>2</v>
      </c>
      <c r="AH156">
        <f t="shared" si="37"/>
        <v>2024</v>
      </c>
      <c r="AI156" t="str">
        <f t="shared" si="38"/>
        <v>CLEAN</v>
      </c>
    </row>
    <row r="157" spans="1:35">
      <c r="A157" t="s">
        <v>573</v>
      </c>
      <c r="B157">
        <f t="shared" si="26"/>
        <v>1</v>
      </c>
      <c r="C157" t="str">
        <f>IF(COUNTIF($A$2:A157, A157)&gt;1, "DUPLICATE_FLAGGED_FOR_REVIEW", "")</f>
        <v/>
      </c>
      <c r="D157" s="3">
        <v>45683</v>
      </c>
      <c r="E157" s="2">
        <v>45691</v>
      </c>
      <c r="F157" s="2" t="str">
        <f t="shared" si="27"/>
        <v>OK</v>
      </c>
      <c r="G157" s="4">
        <f t="shared" si="28"/>
        <v>8</v>
      </c>
      <c r="H157" t="s">
        <v>574</v>
      </c>
      <c r="I157" t="s">
        <v>23</v>
      </c>
      <c r="J157" t="s">
        <v>90</v>
      </c>
      <c r="K157" t="s">
        <v>63</v>
      </c>
      <c r="L157" t="str">
        <f t="shared" si="29"/>
        <v>West</v>
      </c>
      <c r="M157" t="s">
        <v>26</v>
      </c>
      <c r="N157" t="s">
        <v>109</v>
      </c>
      <c r="O157" t="s">
        <v>41</v>
      </c>
      <c r="P157" t="s">
        <v>57</v>
      </c>
      <c r="Q157" t="s">
        <v>575</v>
      </c>
      <c r="R157" t="s">
        <v>44</v>
      </c>
      <c r="S157" t="str">
        <f t="shared" si="30"/>
        <v>Same Day</v>
      </c>
      <c r="T157">
        <v>3</v>
      </c>
      <c r="U157">
        <v>2859.32</v>
      </c>
      <c r="V157">
        <v>0.1</v>
      </c>
      <c r="W157">
        <f t="shared" si="31"/>
        <v>0.1</v>
      </c>
      <c r="X157" t="str">
        <f t="shared" si="32"/>
        <v/>
      </c>
      <c r="Y157">
        <v>7720.16</v>
      </c>
      <c r="Z157">
        <f t="shared" si="33"/>
        <v>7720.1640000000007</v>
      </c>
      <c r="AA157">
        <v>5881</v>
      </c>
      <c r="AB157">
        <v>1839.16</v>
      </c>
      <c r="AC157">
        <f t="shared" si="34"/>
        <v>4860.844000000001</v>
      </c>
      <c r="AD157" s="6">
        <f t="shared" si="35"/>
        <v>0.62962962962962965</v>
      </c>
      <c r="AE157" t="s">
        <v>102</v>
      </c>
      <c r="AF157" t="s">
        <v>103</v>
      </c>
      <c r="AG157">
        <f t="shared" si="36"/>
        <v>1</v>
      </c>
      <c r="AH157">
        <f t="shared" si="37"/>
        <v>2025</v>
      </c>
      <c r="AI157" t="str">
        <f t="shared" si="38"/>
        <v>CLEAN</v>
      </c>
    </row>
    <row r="158" spans="1:35">
      <c r="A158" t="s">
        <v>576</v>
      </c>
      <c r="B158">
        <f t="shared" si="26"/>
        <v>1</v>
      </c>
      <c r="C158" t="str">
        <f>IF(COUNTIF($A$2:A158, A158)&gt;1, "DUPLICATE_FLAGGED_FOR_REVIEW", "")</f>
        <v/>
      </c>
      <c r="D158" s="3">
        <v>45743</v>
      </c>
      <c r="E158" s="2">
        <v>45743</v>
      </c>
      <c r="F158" s="2" t="str">
        <f t="shared" si="27"/>
        <v>OK</v>
      </c>
      <c r="G158" s="4">
        <f t="shared" si="28"/>
        <v>0</v>
      </c>
      <c r="H158" t="s">
        <v>577</v>
      </c>
      <c r="I158" t="s">
        <v>71</v>
      </c>
      <c r="J158" t="s">
        <v>37</v>
      </c>
      <c r="K158" t="s">
        <v>38</v>
      </c>
      <c r="L158" t="str">
        <f t="shared" si="29"/>
        <v>East</v>
      </c>
      <c r="M158" t="s">
        <v>145</v>
      </c>
      <c r="N158" t="s">
        <v>146</v>
      </c>
      <c r="O158" t="s">
        <v>74</v>
      </c>
      <c r="P158" t="s">
        <v>274</v>
      </c>
      <c r="Q158" t="s">
        <v>578</v>
      </c>
      <c r="R158" t="s">
        <v>31</v>
      </c>
      <c r="S158" t="str">
        <f t="shared" si="30"/>
        <v>Second Class</v>
      </c>
      <c r="T158">
        <v>7</v>
      </c>
      <c r="U158">
        <v>2305.37</v>
      </c>
      <c r="V158">
        <v>0.25</v>
      </c>
      <c r="W158">
        <f t="shared" si="31"/>
        <v>0.25</v>
      </c>
      <c r="X158" t="str">
        <f t="shared" si="32"/>
        <v/>
      </c>
      <c r="Y158">
        <v>12103.19</v>
      </c>
      <c r="Z158">
        <f t="shared" si="33"/>
        <v>12103.192500000001</v>
      </c>
      <c r="AA158">
        <v>6717.87</v>
      </c>
      <c r="AB158">
        <v>5385.32</v>
      </c>
      <c r="AC158">
        <f t="shared" si="34"/>
        <v>9797.822500000002</v>
      </c>
      <c r="AD158" s="6">
        <f t="shared" si="35"/>
        <v>0.80952380952380965</v>
      </c>
      <c r="AE158" t="s">
        <v>32</v>
      </c>
      <c r="AF158" t="s">
        <v>33</v>
      </c>
      <c r="AG158">
        <f t="shared" si="36"/>
        <v>3</v>
      </c>
      <c r="AH158">
        <f t="shared" si="37"/>
        <v>2025</v>
      </c>
      <c r="AI158" t="str">
        <f t="shared" si="38"/>
        <v>CLEAN</v>
      </c>
    </row>
    <row r="159" spans="1:35">
      <c r="A159" t="s">
        <v>579</v>
      </c>
      <c r="B159">
        <f t="shared" si="26"/>
        <v>1</v>
      </c>
      <c r="C159" t="str">
        <f>IF(COUNTIF($A$2:A159, A159)&gt;1, "DUPLICATE_FLAGGED_FOR_REVIEW", "")</f>
        <v/>
      </c>
      <c r="D159" s="3">
        <v>45587</v>
      </c>
      <c r="E159" s="2">
        <v>45589</v>
      </c>
      <c r="F159" s="2" t="str">
        <f t="shared" si="27"/>
        <v>OK</v>
      </c>
      <c r="G159" s="4">
        <f t="shared" si="28"/>
        <v>2</v>
      </c>
      <c r="H159" t="s">
        <v>580</v>
      </c>
      <c r="I159" t="s">
        <v>141</v>
      </c>
      <c r="J159" t="s">
        <v>37</v>
      </c>
      <c r="K159" t="s">
        <v>54</v>
      </c>
      <c r="L159" t="str">
        <f t="shared" si="29"/>
        <v>South</v>
      </c>
      <c r="M159" t="s">
        <v>84</v>
      </c>
      <c r="N159" t="s">
        <v>85</v>
      </c>
      <c r="O159" t="s">
        <v>41</v>
      </c>
      <c r="P159" t="s">
        <v>158</v>
      </c>
      <c r="Q159" t="s">
        <v>581</v>
      </c>
      <c r="R159" t="s">
        <v>59</v>
      </c>
      <c r="S159" t="str">
        <f t="shared" si="30"/>
        <v>Standard Class</v>
      </c>
      <c r="T159">
        <v>3</v>
      </c>
      <c r="U159">
        <v>915.84</v>
      </c>
      <c r="V159">
        <v>0.15</v>
      </c>
      <c r="W159">
        <f t="shared" si="31"/>
        <v>0.15</v>
      </c>
      <c r="X159" t="str">
        <f t="shared" si="32"/>
        <v/>
      </c>
      <c r="Y159">
        <v>2335.39</v>
      </c>
      <c r="Z159">
        <f t="shared" si="33"/>
        <v>2335.3919999999998</v>
      </c>
      <c r="AA159">
        <v>1466.15</v>
      </c>
      <c r="AB159">
        <v>869.24</v>
      </c>
      <c r="AC159">
        <f t="shared" si="34"/>
        <v>1419.5519999999997</v>
      </c>
      <c r="AD159" s="6">
        <f t="shared" si="35"/>
        <v>0.60784313725490191</v>
      </c>
      <c r="AE159" t="s">
        <v>32</v>
      </c>
      <c r="AF159" t="s">
        <v>33</v>
      </c>
      <c r="AG159">
        <f t="shared" si="36"/>
        <v>10</v>
      </c>
      <c r="AH159">
        <f t="shared" si="37"/>
        <v>2024</v>
      </c>
      <c r="AI159" t="str">
        <f t="shared" si="38"/>
        <v>CLEAN</v>
      </c>
    </row>
    <row r="160" spans="1:35">
      <c r="A160" t="s">
        <v>582</v>
      </c>
      <c r="B160">
        <f t="shared" si="26"/>
        <v>1</v>
      </c>
      <c r="C160" t="str">
        <f>IF(COUNTIF($A$2:A160, A160)&gt;1, "DUPLICATE_FLAGGED_FOR_REVIEW", "")</f>
        <v/>
      </c>
      <c r="D160" s="3">
        <v>45544</v>
      </c>
      <c r="E160" s="2">
        <v>45605</v>
      </c>
      <c r="F160" s="2" t="str">
        <f t="shared" si="27"/>
        <v>OK</v>
      </c>
      <c r="G160" s="4">
        <f t="shared" si="28"/>
        <v>61</v>
      </c>
      <c r="H160" t="s">
        <v>583</v>
      </c>
      <c r="I160" t="s">
        <v>79</v>
      </c>
      <c r="J160" t="s">
        <v>95</v>
      </c>
      <c r="K160" t="s">
        <v>54</v>
      </c>
      <c r="L160" t="str">
        <f t="shared" si="29"/>
        <v>South</v>
      </c>
      <c r="M160" t="s">
        <v>55</v>
      </c>
      <c r="N160" t="s">
        <v>56</v>
      </c>
      <c r="O160" t="s">
        <v>41</v>
      </c>
      <c r="P160" t="s">
        <v>158</v>
      </c>
      <c r="Q160" t="s">
        <v>584</v>
      </c>
      <c r="R160" t="s">
        <v>50</v>
      </c>
      <c r="S160" t="str">
        <f t="shared" si="30"/>
        <v>First Class</v>
      </c>
      <c r="T160">
        <v>1</v>
      </c>
      <c r="U160">
        <v>4199.54</v>
      </c>
      <c r="V160">
        <v>0.05</v>
      </c>
      <c r="W160">
        <f t="shared" si="31"/>
        <v>0.05</v>
      </c>
      <c r="X160" t="str">
        <f t="shared" si="32"/>
        <v/>
      </c>
      <c r="Y160">
        <v>3989.56</v>
      </c>
      <c r="Z160">
        <f t="shared" si="33"/>
        <v>3989.5629999999996</v>
      </c>
      <c r="AA160">
        <v>2381.38</v>
      </c>
      <c r="AB160">
        <v>1608.18</v>
      </c>
      <c r="AC160">
        <f t="shared" si="34"/>
        <v>-209.97700000000032</v>
      </c>
      <c r="AD160" s="6">
        <f t="shared" si="35"/>
        <v>-5.2631578947368508E-2</v>
      </c>
      <c r="AE160" t="s">
        <v>32</v>
      </c>
      <c r="AF160" t="s">
        <v>33</v>
      </c>
      <c r="AG160">
        <f t="shared" si="36"/>
        <v>9</v>
      </c>
      <c r="AH160">
        <f t="shared" si="37"/>
        <v>2024</v>
      </c>
      <c r="AI160" t="str">
        <f t="shared" si="38"/>
        <v>CLEAN</v>
      </c>
    </row>
    <row r="161" spans="1:35">
      <c r="A161" t="s">
        <v>585</v>
      </c>
      <c r="B161">
        <f t="shared" si="26"/>
        <v>1</v>
      </c>
      <c r="C161" t="str">
        <f>IF(COUNTIF($A$2:A161, A161)&gt;1, "DUPLICATE_FLAGGED_FOR_REVIEW", "")</f>
        <v/>
      </c>
      <c r="D161" s="3">
        <v>45687</v>
      </c>
      <c r="E161" s="2">
        <v>45692</v>
      </c>
      <c r="F161" s="2" t="str">
        <f t="shared" si="27"/>
        <v>OK</v>
      </c>
      <c r="G161" s="4">
        <f t="shared" si="28"/>
        <v>5</v>
      </c>
      <c r="H161" t="s">
        <v>586</v>
      </c>
      <c r="I161" t="s">
        <v>114</v>
      </c>
      <c r="J161" t="s">
        <v>90</v>
      </c>
      <c r="K161" t="s">
        <v>25</v>
      </c>
      <c r="L161" t="str">
        <f t="shared" si="29"/>
        <v>North</v>
      </c>
      <c r="M161" t="s">
        <v>236</v>
      </c>
      <c r="N161" t="s">
        <v>237</v>
      </c>
      <c r="O161" t="s">
        <v>41</v>
      </c>
      <c r="P161" t="s">
        <v>66</v>
      </c>
      <c r="Q161" t="s">
        <v>587</v>
      </c>
      <c r="R161" t="s">
        <v>44</v>
      </c>
      <c r="S161" t="str">
        <f t="shared" si="30"/>
        <v>Same Day</v>
      </c>
      <c r="T161">
        <v>9</v>
      </c>
      <c r="U161">
        <v>4430.5</v>
      </c>
      <c r="V161">
        <v>0.15</v>
      </c>
      <c r="W161">
        <f t="shared" si="31"/>
        <v>0.15</v>
      </c>
      <c r="X161" t="str">
        <f t="shared" si="32"/>
        <v/>
      </c>
      <c r="Y161">
        <v>33893.32</v>
      </c>
      <c r="Z161">
        <f t="shared" si="33"/>
        <v>33893.324999999997</v>
      </c>
      <c r="AA161">
        <v>25750.35</v>
      </c>
      <c r="AB161">
        <v>8142.97</v>
      </c>
      <c r="AC161">
        <f t="shared" si="34"/>
        <v>29462.824999999997</v>
      </c>
      <c r="AD161" s="6">
        <f t="shared" si="35"/>
        <v>0.86928104575163401</v>
      </c>
      <c r="AE161" t="s">
        <v>111</v>
      </c>
      <c r="AF161" t="s">
        <v>68</v>
      </c>
      <c r="AG161">
        <f t="shared" si="36"/>
        <v>1</v>
      </c>
      <c r="AH161">
        <f t="shared" si="37"/>
        <v>2025</v>
      </c>
      <c r="AI161" t="str">
        <f t="shared" si="38"/>
        <v>CLEAN</v>
      </c>
    </row>
    <row r="162" spans="1:35">
      <c r="A162" t="s">
        <v>588</v>
      </c>
      <c r="B162">
        <f t="shared" si="26"/>
        <v>1</v>
      </c>
      <c r="C162" t="str">
        <f>IF(COUNTIF($A$2:A162, A162)&gt;1, "DUPLICATE_FLAGGED_FOR_REVIEW", "")</f>
        <v/>
      </c>
      <c r="D162" s="3">
        <v>45938</v>
      </c>
      <c r="E162" s="2">
        <v>45818</v>
      </c>
      <c r="F162" s="2" t="str">
        <f t="shared" si="27"/>
        <v>ERROR: Ship before order</v>
      </c>
      <c r="G162" s="4">
        <f t="shared" si="28"/>
        <v>-120</v>
      </c>
      <c r="H162" t="s">
        <v>589</v>
      </c>
      <c r="I162" t="s">
        <v>71</v>
      </c>
      <c r="J162" t="s">
        <v>37</v>
      </c>
      <c r="K162" t="s">
        <v>63</v>
      </c>
      <c r="L162" t="str">
        <f t="shared" si="29"/>
        <v>West</v>
      </c>
      <c r="M162" t="s">
        <v>64</v>
      </c>
      <c r="N162" t="s">
        <v>65</v>
      </c>
      <c r="O162" t="s">
        <v>28</v>
      </c>
      <c r="P162" t="s">
        <v>29</v>
      </c>
      <c r="Q162" t="s">
        <v>590</v>
      </c>
      <c r="R162" t="s">
        <v>31</v>
      </c>
      <c r="S162" t="str">
        <f t="shared" si="30"/>
        <v>Second Class</v>
      </c>
      <c r="T162">
        <v>4</v>
      </c>
      <c r="U162">
        <v>1260.42</v>
      </c>
      <c r="V162">
        <v>0.05</v>
      </c>
      <c r="W162">
        <f t="shared" si="31"/>
        <v>0.05</v>
      </c>
      <c r="X162" t="str">
        <f t="shared" si="32"/>
        <v/>
      </c>
      <c r="Y162">
        <v>4789.6000000000004</v>
      </c>
      <c r="Z162">
        <f t="shared" si="33"/>
        <v>4789.5960000000005</v>
      </c>
      <c r="AA162">
        <v>4037.64</v>
      </c>
      <c r="AB162">
        <v>751.96</v>
      </c>
      <c r="AC162">
        <f t="shared" si="34"/>
        <v>3529.1760000000004</v>
      </c>
      <c r="AD162" s="6">
        <f t="shared" si="35"/>
        <v>0.73684210526315785</v>
      </c>
      <c r="AE162" t="s">
        <v>111</v>
      </c>
      <c r="AF162" t="s">
        <v>68</v>
      </c>
      <c r="AG162">
        <f t="shared" si="36"/>
        <v>10</v>
      </c>
      <c r="AH162">
        <f t="shared" si="37"/>
        <v>2025</v>
      </c>
      <c r="AI162" t="str">
        <f t="shared" si="38"/>
        <v>INVALID</v>
      </c>
    </row>
    <row r="163" spans="1:35">
      <c r="A163" t="s">
        <v>591</v>
      </c>
      <c r="B163">
        <f t="shared" si="26"/>
        <v>1</v>
      </c>
      <c r="C163" t="str">
        <f>IF(COUNTIF($A$2:A163, A163)&gt;1, "DUPLICATE_FLAGGED_FOR_REVIEW", "")</f>
        <v/>
      </c>
      <c r="D163" s="3">
        <v>45862</v>
      </c>
      <c r="E163" s="2">
        <v>45868</v>
      </c>
      <c r="F163" s="2" t="str">
        <f t="shared" si="27"/>
        <v>OK</v>
      </c>
      <c r="G163" s="4">
        <f t="shared" si="28"/>
        <v>6</v>
      </c>
      <c r="H163" t="s">
        <v>592</v>
      </c>
      <c r="I163" t="s">
        <v>53</v>
      </c>
      <c r="J163" t="s">
        <v>24</v>
      </c>
      <c r="K163" t="s">
        <v>63</v>
      </c>
      <c r="L163" t="str">
        <f t="shared" si="29"/>
        <v>West</v>
      </c>
      <c r="M163" t="s">
        <v>26</v>
      </c>
      <c r="N163" t="s">
        <v>109</v>
      </c>
      <c r="O163" t="s">
        <v>28</v>
      </c>
      <c r="P163" t="s">
        <v>153</v>
      </c>
      <c r="Q163" t="s">
        <v>593</v>
      </c>
      <c r="R163" t="s">
        <v>59</v>
      </c>
      <c r="S163" t="str">
        <f t="shared" si="30"/>
        <v>Standard Class</v>
      </c>
      <c r="T163">
        <v>1</v>
      </c>
      <c r="U163">
        <v>1643.41</v>
      </c>
      <c r="V163">
        <v>0</v>
      </c>
      <c r="W163">
        <f t="shared" si="31"/>
        <v>0</v>
      </c>
      <c r="X163" t="str">
        <f t="shared" si="32"/>
        <v/>
      </c>
      <c r="Y163">
        <v>1643.41</v>
      </c>
      <c r="Z163">
        <f t="shared" si="33"/>
        <v>1643.41</v>
      </c>
      <c r="AA163">
        <v>907.4</v>
      </c>
      <c r="AB163">
        <v>736.01</v>
      </c>
      <c r="AC163">
        <f t="shared" si="34"/>
        <v>0</v>
      </c>
      <c r="AD163" s="6">
        <f t="shared" si="35"/>
        <v>0</v>
      </c>
      <c r="AE163" t="s">
        <v>111</v>
      </c>
      <c r="AF163" t="s">
        <v>68</v>
      </c>
      <c r="AG163">
        <f t="shared" si="36"/>
        <v>7</v>
      </c>
      <c r="AH163">
        <f t="shared" si="37"/>
        <v>2025</v>
      </c>
      <c r="AI163" t="str">
        <f t="shared" si="38"/>
        <v>CLEAN</v>
      </c>
    </row>
    <row r="164" spans="1:35">
      <c r="A164" t="s">
        <v>594</v>
      </c>
      <c r="B164">
        <f t="shared" si="26"/>
        <v>1</v>
      </c>
      <c r="C164" t="str">
        <f>IF(COUNTIF($A$2:A164, A164)&gt;1, "DUPLICATE_FLAGGED_FOR_REVIEW", "")</f>
        <v/>
      </c>
      <c r="D164" s="3">
        <v>45360</v>
      </c>
      <c r="E164" s="2">
        <v>45365</v>
      </c>
      <c r="F164" s="2" t="str">
        <f t="shared" si="27"/>
        <v>OK</v>
      </c>
      <c r="G164" s="4">
        <f t="shared" si="28"/>
        <v>5</v>
      </c>
      <c r="H164" t="s">
        <v>595</v>
      </c>
      <c r="I164" t="s">
        <v>79</v>
      </c>
      <c r="J164" t="s">
        <v>37</v>
      </c>
      <c r="K164" t="s">
        <v>63</v>
      </c>
      <c r="L164" t="str">
        <f t="shared" si="29"/>
        <v>West</v>
      </c>
      <c r="M164" t="s">
        <v>190</v>
      </c>
      <c r="N164" t="s">
        <v>191</v>
      </c>
      <c r="O164" t="s">
        <v>41</v>
      </c>
      <c r="P164" t="s">
        <v>57</v>
      </c>
      <c r="Q164" t="s">
        <v>596</v>
      </c>
      <c r="R164" t="s">
        <v>31</v>
      </c>
      <c r="S164" t="str">
        <f t="shared" si="30"/>
        <v>Second Class</v>
      </c>
      <c r="T164">
        <v>8</v>
      </c>
      <c r="U164">
        <v>4472.84</v>
      </c>
      <c r="V164">
        <v>0</v>
      </c>
      <c r="W164">
        <f t="shared" si="31"/>
        <v>0</v>
      </c>
      <c r="X164" t="str">
        <f t="shared" si="32"/>
        <v/>
      </c>
      <c r="Y164">
        <v>35997.620000000003</v>
      </c>
      <c r="Z164">
        <f t="shared" si="33"/>
        <v>35782.720000000001</v>
      </c>
      <c r="AA164">
        <v>26424.41</v>
      </c>
      <c r="AB164">
        <v>9358.31</v>
      </c>
      <c r="AC164">
        <f t="shared" si="34"/>
        <v>31309.88</v>
      </c>
      <c r="AD164" s="6">
        <f t="shared" si="35"/>
        <v>0.875</v>
      </c>
      <c r="AE164" t="s">
        <v>111</v>
      </c>
      <c r="AF164" t="s">
        <v>103</v>
      </c>
      <c r="AG164">
        <f t="shared" si="36"/>
        <v>3</v>
      </c>
      <c r="AH164">
        <f t="shared" si="37"/>
        <v>2024</v>
      </c>
      <c r="AI164" t="str">
        <f t="shared" si="38"/>
        <v>CLEAN</v>
      </c>
    </row>
    <row r="165" spans="1:35">
      <c r="A165" t="s">
        <v>597</v>
      </c>
      <c r="B165">
        <f t="shared" si="26"/>
        <v>1</v>
      </c>
      <c r="C165" t="str">
        <f>IF(COUNTIF($A$2:A165, A165)&gt;1, "DUPLICATE_FLAGGED_FOR_REVIEW", "")</f>
        <v/>
      </c>
      <c r="D165" s="3">
        <v>45921</v>
      </c>
      <c r="E165" s="2">
        <v>45926</v>
      </c>
      <c r="F165" s="2" t="str">
        <f t="shared" si="27"/>
        <v>OK</v>
      </c>
      <c r="G165" s="4">
        <f t="shared" si="28"/>
        <v>5</v>
      </c>
      <c r="H165" t="s">
        <v>598</v>
      </c>
      <c r="I165" t="s">
        <v>141</v>
      </c>
      <c r="J165" t="s">
        <v>95</v>
      </c>
      <c r="K165" t="s">
        <v>63</v>
      </c>
      <c r="L165" t="str">
        <f t="shared" si="29"/>
        <v>West</v>
      </c>
      <c r="M165" t="s">
        <v>180</v>
      </c>
      <c r="N165" t="s">
        <v>181</v>
      </c>
      <c r="O165" t="s">
        <v>41</v>
      </c>
      <c r="P165" t="s">
        <v>42</v>
      </c>
      <c r="Q165" t="s">
        <v>599</v>
      </c>
      <c r="R165" t="s">
        <v>2760</v>
      </c>
      <c r="S165" t="str">
        <f t="shared" si="30"/>
        <v>Unknown</v>
      </c>
      <c r="T165">
        <v>6</v>
      </c>
      <c r="U165">
        <v>2903.58</v>
      </c>
      <c r="V165">
        <v>0.1</v>
      </c>
      <c r="W165">
        <f t="shared" si="31"/>
        <v>0.1</v>
      </c>
      <c r="X165" t="str">
        <f t="shared" si="32"/>
        <v/>
      </c>
      <c r="Y165">
        <v>15679.33</v>
      </c>
      <c r="Z165">
        <f t="shared" si="33"/>
        <v>15679.332</v>
      </c>
      <c r="AA165">
        <v>12477.82</v>
      </c>
      <c r="AB165">
        <v>3201.51</v>
      </c>
      <c r="AC165">
        <f t="shared" si="34"/>
        <v>12775.752</v>
      </c>
      <c r="AD165" s="6">
        <f t="shared" si="35"/>
        <v>0.81481481481481477</v>
      </c>
      <c r="AE165" t="s">
        <v>111</v>
      </c>
      <c r="AF165" t="s">
        <v>103</v>
      </c>
      <c r="AG165">
        <f t="shared" si="36"/>
        <v>9</v>
      </c>
      <c r="AH165">
        <f t="shared" si="37"/>
        <v>2025</v>
      </c>
      <c r="AI165" t="str">
        <f t="shared" si="38"/>
        <v>WARNING</v>
      </c>
    </row>
    <row r="166" spans="1:35">
      <c r="A166" t="s">
        <v>600</v>
      </c>
      <c r="B166">
        <f t="shared" si="26"/>
        <v>1</v>
      </c>
      <c r="C166" t="str">
        <f>IF(COUNTIF($A$2:A166, A166)&gt;1, "DUPLICATE_FLAGGED_FOR_REVIEW", "")</f>
        <v/>
      </c>
      <c r="D166" s="3">
        <v>45909</v>
      </c>
      <c r="E166" s="2">
        <v>45914</v>
      </c>
      <c r="F166" s="2" t="str">
        <f t="shared" si="27"/>
        <v>OK</v>
      </c>
      <c r="G166" s="4">
        <f t="shared" si="28"/>
        <v>5</v>
      </c>
      <c r="H166" t="s">
        <v>601</v>
      </c>
      <c r="I166" t="s">
        <v>118</v>
      </c>
      <c r="J166" t="s">
        <v>37</v>
      </c>
      <c r="K166" t="s">
        <v>38</v>
      </c>
      <c r="L166" t="str">
        <f t="shared" si="29"/>
        <v>East</v>
      </c>
      <c r="M166" t="s">
        <v>99</v>
      </c>
      <c r="N166" t="s">
        <v>100</v>
      </c>
      <c r="O166" t="s">
        <v>41</v>
      </c>
      <c r="P166" t="s">
        <v>158</v>
      </c>
      <c r="Q166" t="s">
        <v>602</v>
      </c>
      <c r="R166" t="s">
        <v>31</v>
      </c>
      <c r="S166" t="str">
        <f t="shared" si="30"/>
        <v>Second Class</v>
      </c>
      <c r="T166">
        <v>1</v>
      </c>
      <c r="U166">
        <v>3154.42</v>
      </c>
      <c r="V166">
        <v>0.25</v>
      </c>
      <c r="W166">
        <f t="shared" si="31"/>
        <v>0.25</v>
      </c>
      <c r="X166" t="str">
        <f t="shared" si="32"/>
        <v/>
      </c>
      <c r="Y166">
        <v>2365.8200000000002</v>
      </c>
      <c r="Z166">
        <f t="shared" si="33"/>
        <v>2365.8150000000001</v>
      </c>
      <c r="AA166">
        <v>1547.99</v>
      </c>
      <c r="AB166">
        <v>817.83</v>
      </c>
      <c r="AC166">
        <f t="shared" si="34"/>
        <v>-788.60500000000002</v>
      </c>
      <c r="AD166" s="6">
        <f t="shared" si="35"/>
        <v>-0.33333333333333331</v>
      </c>
      <c r="AE166" t="s">
        <v>32</v>
      </c>
      <c r="AF166" t="s">
        <v>33</v>
      </c>
      <c r="AG166">
        <f t="shared" si="36"/>
        <v>9</v>
      </c>
      <c r="AH166">
        <f t="shared" si="37"/>
        <v>2025</v>
      </c>
      <c r="AI166" t="str">
        <f t="shared" si="38"/>
        <v>CLEAN</v>
      </c>
    </row>
    <row r="167" spans="1:35">
      <c r="A167" t="s">
        <v>603</v>
      </c>
      <c r="B167">
        <f t="shared" si="26"/>
        <v>1</v>
      </c>
      <c r="C167" t="str">
        <f>IF(COUNTIF($A$2:A167, A167)&gt;1, "DUPLICATE_FLAGGED_FOR_REVIEW", "")</f>
        <v/>
      </c>
      <c r="D167" s="3">
        <v>45618</v>
      </c>
      <c r="E167" s="2">
        <v>45625</v>
      </c>
      <c r="F167" s="2" t="str">
        <f t="shared" si="27"/>
        <v>OK</v>
      </c>
      <c r="G167" s="4">
        <f t="shared" si="28"/>
        <v>7</v>
      </c>
      <c r="H167" t="s">
        <v>604</v>
      </c>
      <c r="I167" t="s">
        <v>36</v>
      </c>
      <c r="J167" t="s">
        <v>95</v>
      </c>
      <c r="K167" t="s">
        <v>38</v>
      </c>
      <c r="L167" t="str">
        <f t="shared" si="29"/>
        <v>East</v>
      </c>
      <c r="M167" t="s">
        <v>145</v>
      </c>
      <c r="N167" t="s">
        <v>146</v>
      </c>
      <c r="O167" t="s">
        <v>41</v>
      </c>
      <c r="P167" t="s">
        <v>66</v>
      </c>
      <c r="Q167" t="s">
        <v>605</v>
      </c>
      <c r="R167" t="s">
        <v>59</v>
      </c>
      <c r="S167" t="str">
        <f t="shared" si="30"/>
        <v>Standard Class</v>
      </c>
      <c r="T167">
        <v>4</v>
      </c>
      <c r="U167">
        <v>3422.99</v>
      </c>
      <c r="V167">
        <v>0.25</v>
      </c>
      <c r="W167">
        <f t="shared" si="31"/>
        <v>0.25</v>
      </c>
      <c r="X167" t="str">
        <f t="shared" si="32"/>
        <v/>
      </c>
      <c r="Y167">
        <v>10268.969999999999</v>
      </c>
      <c r="Z167">
        <f t="shared" si="33"/>
        <v>10268.969999999999</v>
      </c>
      <c r="AA167">
        <v>6470.92</v>
      </c>
      <c r="AB167">
        <v>3798.05</v>
      </c>
      <c r="AC167">
        <f t="shared" si="34"/>
        <v>6845.98</v>
      </c>
      <c r="AD167" s="6">
        <f t="shared" si="35"/>
        <v>0.66666666666666663</v>
      </c>
      <c r="AE167" t="s">
        <v>32</v>
      </c>
      <c r="AF167" t="s">
        <v>33</v>
      </c>
      <c r="AG167">
        <f t="shared" si="36"/>
        <v>11</v>
      </c>
      <c r="AH167">
        <f t="shared" si="37"/>
        <v>2024</v>
      </c>
      <c r="AI167" t="str">
        <f t="shared" si="38"/>
        <v>CLEAN</v>
      </c>
    </row>
    <row r="168" spans="1:35">
      <c r="A168" t="s">
        <v>606</v>
      </c>
      <c r="B168">
        <f t="shared" si="26"/>
        <v>1</v>
      </c>
      <c r="C168" t="str">
        <f>IF(COUNTIF($A$2:A168, A168)&gt;1, "DUPLICATE_FLAGGED_FOR_REVIEW", "")</f>
        <v/>
      </c>
      <c r="D168" s="3">
        <v>45708</v>
      </c>
      <c r="E168" s="2">
        <v>45714</v>
      </c>
      <c r="F168" s="2" t="str">
        <f t="shared" si="27"/>
        <v>OK</v>
      </c>
      <c r="G168" s="4">
        <f t="shared" si="28"/>
        <v>6</v>
      </c>
      <c r="H168" t="s">
        <v>607</v>
      </c>
      <c r="I168" t="s">
        <v>23</v>
      </c>
      <c r="J168" t="s">
        <v>37</v>
      </c>
      <c r="K168" t="s">
        <v>63</v>
      </c>
      <c r="L168" t="str">
        <f t="shared" si="29"/>
        <v>West</v>
      </c>
      <c r="M168" t="s">
        <v>180</v>
      </c>
      <c r="N168" t="s">
        <v>181</v>
      </c>
      <c r="O168" t="s">
        <v>28</v>
      </c>
      <c r="P168" t="s">
        <v>91</v>
      </c>
      <c r="Q168" t="s">
        <v>608</v>
      </c>
      <c r="R168" t="s">
        <v>50</v>
      </c>
      <c r="S168" t="str">
        <f t="shared" si="30"/>
        <v>First Class</v>
      </c>
      <c r="T168">
        <v>1</v>
      </c>
      <c r="U168">
        <v>2557.85</v>
      </c>
      <c r="V168">
        <v>0.2</v>
      </c>
      <c r="W168">
        <f t="shared" si="31"/>
        <v>0.2</v>
      </c>
      <c r="X168" t="str">
        <f t="shared" si="32"/>
        <v/>
      </c>
      <c r="Y168">
        <v>2046.28</v>
      </c>
      <c r="Z168">
        <f t="shared" si="33"/>
        <v>2046.28</v>
      </c>
      <c r="AA168">
        <v>1449.54</v>
      </c>
      <c r="AB168">
        <v>596.74</v>
      </c>
      <c r="AC168">
        <f t="shared" si="34"/>
        <v>-511.56999999999994</v>
      </c>
      <c r="AD168" s="6">
        <f t="shared" si="35"/>
        <v>-0.24999999999999997</v>
      </c>
      <c r="AE168" t="s">
        <v>32</v>
      </c>
      <c r="AF168" t="s">
        <v>33</v>
      </c>
      <c r="AG168">
        <f t="shared" si="36"/>
        <v>2</v>
      </c>
      <c r="AH168">
        <f t="shared" si="37"/>
        <v>2025</v>
      </c>
      <c r="AI168" t="str">
        <f t="shared" si="38"/>
        <v>CLEAN</v>
      </c>
    </row>
    <row r="169" spans="1:35">
      <c r="A169" t="s">
        <v>609</v>
      </c>
      <c r="B169">
        <f t="shared" si="26"/>
        <v>1</v>
      </c>
      <c r="C169" t="str">
        <f>IF(COUNTIF($A$2:A169, A169)&gt;1, "DUPLICATE_FLAGGED_FOR_REVIEW", "")</f>
        <v/>
      </c>
      <c r="D169" s="3">
        <v>45887</v>
      </c>
      <c r="E169" s="2">
        <v>45887</v>
      </c>
      <c r="F169" s="2" t="str">
        <f t="shared" si="27"/>
        <v>OK</v>
      </c>
      <c r="G169" s="4">
        <f t="shared" si="28"/>
        <v>0</v>
      </c>
      <c r="H169" t="s">
        <v>610</v>
      </c>
      <c r="I169" t="s">
        <v>53</v>
      </c>
      <c r="J169" t="s">
        <v>95</v>
      </c>
      <c r="K169" t="s">
        <v>54</v>
      </c>
      <c r="L169" t="str">
        <f t="shared" si="29"/>
        <v>South</v>
      </c>
      <c r="M169" t="s">
        <v>175</v>
      </c>
      <c r="N169" t="s">
        <v>176</v>
      </c>
      <c r="O169" t="s">
        <v>28</v>
      </c>
      <c r="P169" t="s">
        <v>124</v>
      </c>
      <c r="Q169" t="s">
        <v>611</v>
      </c>
      <c r="R169" t="s">
        <v>50</v>
      </c>
      <c r="S169" t="str">
        <f t="shared" si="30"/>
        <v>First Class</v>
      </c>
      <c r="T169">
        <v>9</v>
      </c>
      <c r="U169">
        <v>3030.93</v>
      </c>
      <c r="V169">
        <v>0.15</v>
      </c>
      <c r="W169">
        <f t="shared" si="31"/>
        <v>0.15</v>
      </c>
      <c r="X169" t="str">
        <f t="shared" si="32"/>
        <v/>
      </c>
      <c r="Y169">
        <v>23186.61</v>
      </c>
      <c r="Z169">
        <f t="shared" si="33"/>
        <v>23186.6145</v>
      </c>
      <c r="AA169">
        <v>17906.54</v>
      </c>
      <c r="AB169">
        <v>5280.07</v>
      </c>
      <c r="AC169">
        <f t="shared" si="34"/>
        <v>20155.684499999999</v>
      </c>
      <c r="AD169" s="6">
        <f t="shared" si="35"/>
        <v>0.86928104575163401</v>
      </c>
      <c r="AE169" t="s">
        <v>32</v>
      </c>
      <c r="AF169" t="s">
        <v>103</v>
      </c>
      <c r="AG169">
        <f t="shared" si="36"/>
        <v>8</v>
      </c>
      <c r="AH169">
        <f t="shared" si="37"/>
        <v>2025</v>
      </c>
      <c r="AI169" t="str">
        <f t="shared" si="38"/>
        <v>CLEAN</v>
      </c>
    </row>
    <row r="170" spans="1:35">
      <c r="A170" t="s">
        <v>612</v>
      </c>
      <c r="B170">
        <f t="shared" si="26"/>
        <v>1</v>
      </c>
      <c r="C170" t="str">
        <f>IF(COUNTIF($A$2:A170, A170)&gt;1, "DUPLICATE_FLAGGED_FOR_REVIEW", "")</f>
        <v/>
      </c>
      <c r="D170" s="3">
        <v>45677</v>
      </c>
      <c r="E170" s="2">
        <v>45680</v>
      </c>
      <c r="F170" s="2" t="str">
        <f t="shared" si="27"/>
        <v>OK</v>
      </c>
      <c r="G170" s="4">
        <f t="shared" si="28"/>
        <v>3</v>
      </c>
      <c r="H170" t="s">
        <v>613</v>
      </c>
      <c r="I170" t="s">
        <v>264</v>
      </c>
      <c r="J170" t="s">
        <v>24</v>
      </c>
      <c r="K170" t="s">
        <v>63</v>
      </c>
      <c r="L170" t="str">
        <f t="shared" si="29"/>
        <v>West</v>
      </c>
      <c r="M170" t="s">
        <v>64</v>
      </c>
      <c r="N170" t="s">
        <v>65</v>
      </c>
      <c r="O170" t="s">
        <v>74</v>
      </c>
      <c r="P170" t="s">
        <v>75</v>
      </c>
      <c r="Q170" t="s">
        <v>614</v>
      </c>
      <c r="R170" t="s">
        <v>44</v>
      </c>
      <c r="S170" t="str">
        <f t="shared" si="30"/>
        <v>Same Day</v>
      </c>
      <c r="T170">
        <v>5</v>
      </c>
      <c r="U170">
        <v>639.27</v>
      </c>
      <c r="V170">
        <v>0.2</v>
      </c>
      <c r="W170">
        <f t="shared" si="31"/>
        <v>0.2</v>
      </c>
      <c r="X170" t="str">
        <f t="shared" si="32"/>
        <v/>
      </c>
      <c r="Y170">
        <v>2557.08</v>
      </c>
      <c r="Z170">
        <f t="shared" si="33"/>
        <v>2557.08</v>
      </c>
      <c r="AA170">
        <v>2025.69</v>
      </c>
      <c r="AB170">
        <v>531.39</v>
      </c>
      <c r="AC170">
        <f t="shared" si="34"/>
        <v>1917.81</v>
      </c>
      <c r="AD170" s="6">
        <f t="shared" si="35"/>
        <v>0.75</v>
      </c>
      <c r="AE170" t="s">
        <v>32</v>
      </c>
      <c r="AF170" t="s">
        <v>68</v>
      </c>
      <c r="AG170">
        <f t="shared" si="36"/>
        <v>1</v>
      </c>
      <c r="AH170">
        <f t="shared" si="37"/>
        <v>2025</v>
      </c>
      <c r="AI170" t="str">
        <f t="shared" si="38"/>
        <v>CLEAN</v>
      </c>
    </row>
    <row r="171" spans="1:35">
      <c r="A171" t="s">
        <v>615</v>
      </c>
      <c r="B171">
        <f t="shared" si="26"/>
        <v>1</v>
      </c>
      <c r="C171" t="str">
        <f>IF(COUNTIF($A$2:A171, A171)&gt;1, "DUPLICATE_FLAGGED_FOR_REVIEW", "")</f>
        <v/>
      </c>
      <c r="D171" s="3">
        <v>45913</v>
      </c>
      <c r="E171" s="2">
        <v>45913</v>
      </c>
      <c r="F171" s="2" t="str">
        <f t="shared" si="27"/>
        <v>OK</v>
      </c>
      <c r="G171" s="4">
        <f t="shared" si="28"/>
        <v>0</v>
      </c>
      <c r="H171" t="s">
        <v>616</v>
      </c>
      <c r="I171" t="s">
        <v>162</v>
      </c>
      <c r="J171" t="s">
        <v>24</v>
      </c>
      <c r="K171" t="s">
        <v>38</v>
      </c>
      <c r="L171" t="str">
        <f t="shared" si="29"/>
        <v>East</v>
      </c>
      <c r="M171" t="s">
        <v>166</v>
      </c>
      <c r="N171" t="s">
        <v>167</v>
      </c>
      <c r="O171" t="s">
        <v>28</v>
      </c>
      <c r="P171" t="s">
        <v>48</v>
      </c>
      <c r="Q171" t="s">
        <v>617</v>
      </c>
      <c r="R171" t="s">
        <v>59</v>
      </c>
      <c r="S171" t="str">
        <f t="shared" si="30"/>
        <v>Standard Class</v>
      </c>
      <c r="T171">
        <v>8</v>
      </c>
      <c r="U171">
        <v>733.9</v>
      </c>
      <c r="V171">
        <v>0.05</v>
      </c>
      <c r="W171">
        <f t="shared" si="31"/>
        <v>0.05</v>
      </c>
      <c r="X171" t="str">
        <f t="shared" si="32"/>
        <v/>
      </c>
      <c r="Y171">
        <v>5577.64</v>
      </c>
      <c r="Z171">
        <f t="shared" si="33"/>
        <v>5577.6399999999994</v>
      </c>
      <c r="AA171">
        <v>3541.29</v>
      </c>
      <c r="AB171">
        <v>2036.35</v>
      </c>
      <c r="AC171">
        <f t="shared" si="34"/>
        <v>4843.74</v>
      </c>
      <c r="AD171" s="6">
        <f t="shared" si="35"/>
        <v>0.86842105263157898</v>
      </c>
      <c r="AE171" t="s">
        <v>111</v>
      </c>
      <c r="AF171" t="s">
        <v>103</v>
      </c>
      <c r="AG171">
        <f t="shared" si="36"/>
        <v>9</v>
      </c>
      <c r="AH171">
        <f t="shared" si="37"/>
        <v>2025</v>
      </c>
      <c r="AI171" t="str">
        <f t="shared" si="38"/>
        <v>CLEAN</v>
      </c>
    </row>
    <row r="172" spans="1:35">
      <c r="A172" t="s">
        <v>618</v>
      </c>
      <c r="B172">
        <f t="shared" si="26"/>
        <v>2</v>
      </c>
      <c r="C172" t="str">
        <f>IF(COUNTIF($A$2:A172, A172)&gt;1, "DUPLICATE_FLAGGED_FOR_REVIEW", "")</f>
        <v/>
      </c>
      <c r="D172" s="3">
        <v>45907</v>
      </c>
      <c r="E172" s="2">
        <v>45915</v>
      </c>
      <c r="F172" s="2" t="str">
        <f t="shared" si="27"/>
        <v>OK</v>
      </c>
      <c r="G172" s="4">
        <f t="shared" si="28"/>
        <v>8</v>
      </c>
      <c r="H172" t="s">
        <v>619</v>
      </c>
      <c r="I172" t="s">
        <v>141</v>
      </c>
      <c r="J172" t="s">
        <v>90</v>
      </c>
      <c r="K172" t="s">
        <v>38</v>
      </c>
      <c r="L172" t="str">
        <f t="shared" si="29"/>
        <v>East</v>
      </c>
      <c r="M172" t="s">
        <v>145</v>
      </c>
      <c r="N172" t="s">
        <v>146</v>
      </c>
      <c r="O172" t="s">
        <v>74</v>
      </c>
      <c r="P172" t="s">
        <v>80</v>
      </c>
      <c r="Q172" t="s">
        <v>620</v>
      </c>
      <c r="R172" t="s">
        <v>59</v>
      </c>
      <c r="S172" t="str">
        <f t="shared" si="30"/>
        <v>Standard Class</v>
      </c>
      <c r="T172">
        <v>3</v>
      </c>
      <c r="U172">
        <v>1711.32</v>
      </c>
      <c r="V172">
        <v>0</v>
      </c>
      <c r="W172">
        <f t="shared" si="31"/>
        <v>0</v>
      </c>
      <c r="X172" t="str">
        <f t="shared" si="32"/>
        <v/>
      </c>
      <c r="Y172">
        <v>5133.96</v>
      </c>
      <c r="Z172">
        <f t="shared" si="33"/>
        <v>5133.96</v>
      </c>
      <c r="AA172">
        <v>3930</v>
      </c>
      <c r="AB172">
        <v>1203.96</v>
      </c>
      <c r="AC172">
        <f t="shared" si="34"/>
        <v>3422.6400000000003</v>
      </c>
      <c r="AD172" s="6">
        <f t="shared" si="35"/>
        <v>0.66666666666666674</v>
      </c>
      <c r="AE172" t="s">
        <v>32</v>
      </c>
      <c r="AF172" t="s">
        <v>33</v>
      </c>
      <c r="AG172">
        <f t="shared" si="36"/>
        <v>9</v>
      </c>
      <c r="AH172">
        <f t="shared" si="37"/>
        <v>2025</v>
      </c>
      <c r="AI172" t="str">
        <f t="shared" si="38"/>
        <v>CLEAN</v>
      </c>
    </row>
    <row r="173" spans="1:35">
      <c r="A173" t="s">
        <v>621</v>
      </c>
      <c r="B173">
        <f t="shared" si="26"/>
        <v>1</v>
      </c>
      <c r="C173" t="str">
        <f>IF(COUNTIF($A$2:A173, A173)&gt;1, "DUPLICATE_FLAGGED_FOR_REVIEW", "")</f>
        <v/>
      </c>
      <c r="D173" s="3">
        <v>45711</v>
      </c>
      <c r="E173" s="2">
        <v>45713</v>
      </c>
      <c r="F173" s="2" t="str">
        <f t="shared" si="27"/>
        <v>OK</v>
      </c>
      <c r="G173" s="4">
        <f t="shared" si="28"/>
        <v>2</v>
      </c>
      <c r="H173" t="s">
        <v>622</v>
      </c>
      <c r="I173" t="s">
        <v>23</v>
      </c>
      <c r="J173" t="s">
        <v>90</v>
      </c>
      <c r="K173" t="s">
        <v>38</v>
      </c>
      <c r="L173" t="str">
        <f t="shared" si="29"/>
        <v>East</v>
      </c>
      <c r="M173" t="s">
        <v>145</v>
      </c>
      <c r="N173" t="s">
        <v>146</v>
      </c>
      <c r="O173" t="s">
        <v>28</v>
      </c>
      <c r="P173" t="s">
        <v>91</v>
      </c>
      <c r="Q173" t="s">
        <v>623</v>
      </c>
      <c r="R173" t="s">
        <v>44</v>
      </c>
      <c r="S173" t="str">
        <f t="shared" si="30"/>
        <v>Same Day</v>
      </c>
      <c r="T173">
        <v>5</v>
      </c>
      <c r="U173">
        <v>4246.2700000000004</v>
      </c>
      <c r="V173">
        <v>0.25</v>
      </c>
      <c r="W173">
        <f t="shared" si="31"/>
        <v>0.25</v>
      </c>
      <c r="X173" t="str">
        <f t="shared" si="32"/>
        <v/>
      </c>
      <c r="Y173">
        <v>15923.51</v>
      </c>
      <c r="Z173">
        <f t="shared" si="33"/>
        <v>15923.512500000001</v>
      </c>
      <c r="AA173">
        <v>11291.8</v>
      </c>
      <c r="AB173">
        <v>4631.71</v>
      </c>
      <c r="AC173">
        <f t="shared" si="34"/>
        <v>11677.2425</v>
      </c>
      <c r="AD173" s="6">
        <f t="shared" si="35"/>
        <v>0.73333333333333328</v>
      </c>
      <c r="AE173" t="s">
        <v>32</v>
      </c>
      <c r="AF173" t="s">
        <v>33</v>
      </c>
      <c r="AG173">
        <f t="shared" si="36"/>
        <v>2</v>
      </c>
      <c r="AH173">
        <f t="shared" si="37"/>
        <v>2025</v>
      </c>
      <c r="AI173" t="str">
        <f t="shared" si="38"/>
        <v>CLEAN</v>
      </c>
    </row>
    <row r="174" spans="1:35">
      <c r="A174" t="s">
        <v>624</v>
      </c>
      <c r="B174">
        <f t="shared" si="26"/>
        <v>1</v>
      </c>
      <c r="C174" t="str">
        <f>IF(COUNTIF($A$2:A174, A174)&gt;1, "DUPLICATE_FLAGGED_FOR_REVIEW", "")</f>
        <v/>
      </c>
      <c r="D174" s="3">
        <v>45871</v>
      </c>
      <c r="E174" s="2">
        <v>45879</v>
      </c>
      <c r="F174" s="2" t="str">
        <f t="shared" si="27"/>
        <v>OK</v>
      </c>
      <c r="G174" s="4">
        <f t="shared" si="28"/>
        <v>8</v>
      </c>
      <c r="H174" t="s">
        <v>625</v>
      </c>
      <c r="I174" t="s">
        <v>23</v>
      </c>
      <c r="J174" t="s">
        <v>90</v>
      </c>
      <c r="K174" t="s">
        <v>25</v>
      </c>
      <c r="L174" t="str">
        <f t="shared" si="29"/>
        <v>North</v>
      </c>
      <c r="M174" t="s">
        <v>350</v>
      </c>
      <c r="N174" t="s">
        <v>351</v>
      </c>
      <c r="O174" t="s">
        <v>41</v>
      </c>
      <c r="P174" t="s">
        <v>57</v>
      </c>
      <c r="Q174" t="s">
        <v>626</v>
      </c>
      <c r="R174" t="s">
        <v>44</v>
      </c>
      <c r="S174" t="str">
        <f t="shared" si="30"/>
        <v>Same Day</v>
      </c>
      <c r="T174">
        <v>9</v>
      </c>
      <c r="U174">
        <v>2962.62</v>
      </c>
      <c r="V174">
        <v>0.1</v>
      </c>
      <c r="W174">
        <f t="shared" si="31"/>
        <v>0.1</v>
      </c>
      <c r="X174" t="str">
        <f t="shared" si="32"/>
        <v/>
      </c>
      <c r="Y174">
        <v>23997.22</v>
      </c>
      <c r="Z174">
        <f t="shared" si="33"/>
        <v>23997.221999999998</v>
      </c>
      <c r="AA174">
        <v>16134.63</v>
      </c>
      <c r="AB174">
        <v>7862.59</v>
      </c>
      <c r="AC174">
        <f t="shared" si="34"/>
        <v>21034.601999999999</v>
      </c>
      <c r="AD174" s="6">
        <f t="shared" si="35"/>
        <v>0.87654320987654322</v>
      </c>
      <c r="AE174" t="s">
        <v>102</v>
      </c>
      <c r="AF174" t="s">
        <v>103</v>
      </c>
      <c r="AG174">
        <f t="shared" si="36"/>
        <v>8</v>
      </c>
      <c r="AH174">
        <f t="shared" si="37"/>
        <v>2025</v>
      </c>
      <c r="AI174" t="str">
        <f t="shared" si="38"/>
        <v>CLEAN</v>
      </c>
    </row>
    <row r="175" spans="1:35">
      <c r="A175" t="s">
        <v>627</v>
      </c>
      <c r="B175">
        <f t="shared" si="26"/>
        <v>1</v>
      </c>
      <c r="C175" t="str">
        <f>IF(COUNTIF($A$2:A175, A175)&gt;1, "DUPLICATE_FLAGGED_FOR_REVIEW", "")</f>
        <v/>
      </c>
      <c r="D175" s="3">
        <v>45414</v>
      </c>
      <c r="E175" s="2">
        <v>45420</v>
      </c>
      <c r="F175" s="2" t="str">
        <f t="shared" si="27"/>
        <v>OK</v>
      </c>
      <c r="G175" s="4">
        <f t="shared" si="28"/>
        <v>6</v>
      </c>
      <c r="H175" t="s">
        <v>628</v>
      </c>
      <c r="I175" t="s">
        <v>114</v>
      </c>
      <c r="J175" t="s">
        <v>95</v>
      </c>
      <c r="K175" t="s">
        <v>25</v>
      </c>
      <c r="L175" t="str">
        <f t="shared" si="29"/>
        <v>North</v>
      </c>
      <c r="M175" t="s">
        <v>122</v>
      </c>
      <c r="N175" t="s">
        <v>123</v>
      </c>
      <c r="O175" t="s">
        <v>74</v>
      </c>
      <c r="P175" t="s">
        <v>80</v>
      </c>
      <c r="Q175" t="s">
        <v>629</v>
      </c>
      <c r="R175" t="s">
        <v>31</v>
      </c>
      <c r="S175" t="str">
        <f t="shared" si="30"/>
        <v>Second Class</v>
      </c>
      <c r="T175">
        <v>1</v>
      </c>
      <c r="U175">
        <v>2312.25</v>
      </c>
      <c r="V175">
        <v>0.25</v>
      </c>
      <c r="W175">
        <f t="shared" si="31"/>
        <v>0.25</v>
      </c>
      <c r="X175" t="str">
        <f t="shared" si="32"/>
        <v/>
      </c>
      <c r="Y175">
        <v>1734.19</v>
      </c>
      <c r="Z175">
        <f t="shared" si="33"/>
        <v>1734.1875</v>
      </c>
      <c r="AA175">
        <v>1386.07</v>
      </c>
      <c r="AB175">
        <v>348.12</v>
      </c>
      <c r="AC175">
        <f t="shared" si="34"/>
        <v>-578.0625</v>
      </c>
      <c r="AD175" s="6">
        <f t="shared" si="35"/>
        <v>-0.33333333333333331</v>
      </c>
      <c r="AE175" t="s">
        <v>32</v>
      </c>
      <c r="AF175" t="s">
        <v>33</v>
      </c>
      <c r="AG175">
        <f t="shared" si="36"/>
        <v>5</v>
      </c>
      <c r="AH175">
        <f t="shared" si="37"/>
        <v>2024</v>
      </c>
      <c r="AI175" t="str">
        <f t="shared" si="38"/>
        <v>CLEAN</v>
      </c>
    </row>
    <row r="176" spans="1:35">
      <c r="A176" t="s">
        <v>630</v>
      </c>
      <c r="B176">
        <f t="shared" si="26"/>
        <v>1</v>
      </c>
      <c r="C176" t="str">
        <f>IF(COUNTIF($A$2:A176, A176)&gt;1, "DUPLICATE_FLAGGED_FOR_REVIEW", "")</f>
        <v/>
      </c>
      <c r="D176" s="3">
        <v>45928</v>
      </c>
      <c r="E176" s="2">
        <v>45934</v>
      </c>
      <c r="F176" s="2" t="str">
        <f t="shared" si="27"/>
        <v>OK</v>
      </c>
      <c r="G176" s="4">
        <f t="shared" si="28"/>
        <v>6</v>
      </c>
      <c r="H176" t="s">
        <v>631</v>
      </c>
      <c r="I176" t="s">
        <v>23</v>
      </c>
      <c r="J176" t="s">
        <v>37</v>
      </c>
      <c r="K176" t="s">
        <v>54</v>
      </c>
      <c r="L176" t="str">
        <f t="shared" si="29"/>
        <v>South</v>
      </c>
      <c r="M176" t="s">
        <v>175</v>
      </c>
      <c r="N176" t="s">
        <v>176</v>
      </c>
      <c r="O176" t="s">
        <v>41</v>
      </c>
      <c r="P176" t="s">
        <v>158</v>
      </c>
      <c r="Q176" t="s">
        <v>632</v>
      </c>
      <c r="R176" t="s">
        <v>50</v>
      </c>
      <c r="S176" t="str">
        <f t="shared" si="30"/>
        <v>First Class</v>
      </c>
      <c r="T176">
        <v>6</v>
      </c>
      <c r="U176">
        <v>1620.53</v>
      </c>
      <c r="V176">
        <v>0.15</v>
      </c>
      <c r="W176">
        <f t="shared" si="31"/>
        <v>0.15</v>
      </c>
      <c r="X176" t="str">
        <f t="shared" si="32"/>
        <v/>
      </c>
      <c r="Y176">
        <v>8264.7000000000007</v>
      </c>
      <c r="Z176">
        <f t="shared" si="33"/>
        <v>8264.7029999999995</v>
      </c>
      <c r="AA176">
        <v>4768.75</v>
      </c>
      <c r="AB176">
        <v>3495.95</v>
      </c>
      <c r="AC176">
        <f t="shared" si="34"/>
        <v>6644.1729999999998</v>
      </c>
      <c r="AD176" s="6">
        <f t="shared" si="35"/>
        <v>0.80392156862745101</v>
      </c>
      <c r="AE176" t="s">
        <v>111</v>
      </c>
      <c r="AF176" t="s">
        <v>103</v>
      </c>
      <c r="AG176">
        <f t="shared" si="36"/>
        <v>9</v>
      </c>
      <c r="AH176">
        <f t="shared" si="37"/>
        <v>2025</v>
      </c>
      <c r="AI176" t="str">
        <f t="shared" si="38"/>
        <v>CLEAN</v>
      </c>
    </row>
    <row r="177" spans="1:35">
      <c r="A177" t="s">
        <v>633</v>
      </c>
      <c r="B177">
        <f t="shared" si="26"/>
        <v>1</v>
      </c>
      <c r="C177" t="str">
        <f>IF(COUNTIF($A$2:A177, A177)&gt;1, "DUPLICATE_FLAGGED_FOR_REVIEW", "")</f>
        <v/>
      </c>
      <c r="D177" s="3">
        <v>45318</v>
      </c>
      <c r="E177" s="2">
        <v>45325</v>
      </c>
      <c r="F177" s="2" t="str">
        <f t="shared" si="27"/>
        <v>OK</v>
      </c>
      <c r="G177" s="4">
        <f t="shared" si="28"/>
        <v>7</v>
      </c>
      <c r="H177" t="s">
        <v>634</v>
      </c>
      <c r="I177" t="s">
        <v>53</v>
      </c>
      <c r="J177" t="s">
        <v>37</v>
      </c>
      <c r="K177" t="s">
        <v>38</v>
      </c>
      <c r="L177" t="str">
        <f t="shared" si="29"/>
        <v>East</v>
      </c>
      <c r="M177" t="s">
        <v>145</v>
      </c>
      <c r="N177" t="s">
        <v>146</v>
      </c>
      <c r="O177" t="s">
        <v>74</v>
      </c>
      <c r="P177" t="s">
        <v>274</v>
      </c>
      <c r="Q177" t="s">
        <v>635</v>
      </c>
      <c r="R177" t="s">
        <v>44</v>
      </c>
      <c r="S177" t="str">
        <f t="shared" si="30"/>
        <v>Same Day</v>
      </c>
      <c r="T177">
        <v>7</v>
      </c>
      <c r="U177">
        <v>2673.42</v>
      </c>
      <c r="V177">
        <v>0.15</v>
      </c>
      <c r="W177">
        <f t="shared" si="31"/>
        <v>0.15</v>
      </c>
      <c r="X177" t="str">
        <f t="shared" si="32"/>
        <v/>
      </c>
      <c r="Y177">
        <v>15906.85</v>
      </c>
      <c r="Z177">
        <f t="shared" si="33"/>
        <v>15906.849000000002</v>
      </c>
      <c r="AA177">
        <v>11014.46</v>
      </c>
      <c r="AB177">
        <v>4892.3900000000003</v>
      </c>
      <c r="AC177">
        <f t="shared" si="34"/>
        <v>13233.429000000002</v>
      </c>
      <c r="AD177" s="6">
        <f t="shared" si="35"/>
        <v>0.83193277310924374</v>
      </c>
      <c r="AE177" t="s">
        <v>32</v>
      </c>
      <c r="AF177" t="s">
        <v>103</v>
      </c>
      <c r="AG177">
        <f t="shared" si="36"/>
        <v>1</v>
      </c>
      <c r="AH177">
        <f t="shared" si="37"/>
        <v>2024</v>
      </c>
      <c r="AI177" t="str">
        <f t="shared" si="38"/>
        <v>CLEAN</v>
      </c>
    </row>
    <row r="178" spans="1:35">
      <c r="A178" t="s">
        <v>636</v>
      </c>
      <c r="B178">
        <f t="shared" si="26"/>
        <v>1</v>
      </c>
      <c r="C178" t="str">
        <f>IF(COUNTIF($A$2:A178, A178)&gt;1, "DUPLICATE_FLAGGED_FOR_REVIEW", "")</f>
        <v/>
      </c>
      <c r="D178" s="3">
        <v>45734</v>
      </c>
      <c r="E178" s="2">
        <v>45742</v>
      </c>
      <c r="F178" s="2" t="str">
        <f t="shared" si="27"/>
        <v>OK</v>
      </c>
      <c r="G178" s="4">
        <f t="shared" si="28"/>
        <v>8</v>
      </c>
      <c r="H178" t="s">
        <v>637</v>
      </c>
      <c r="I178" t="s">
        <v>71</v>
      </c>
      <c r="J178" t="s">
        <v>90</v>
      </c>
      <c r="K178" t="s">
        <v>38</v>
      </c>
      <c r="L178" t="str">
        <f t="shared" si="29"/>
        <v>East</v>
      </c>
      <c r="M178" t="s">
        <v>228</v>
      </c>
      <c r="N178" t="s">
        <v>229</v>
      </c>
      <c r="O178" t="s">
        <v>41</v>
      </c>
      <c r="P178" t="s">
        <v>158</v>
      </c>
      <c r="Q178" t="s">
        <v>638</v>
      </c>
      <c r="R178" t="s">
        <v>59</v>
      </c>
      <c r="S178" t="str">
        <f t="shared" si="30"/>
        <v>Standard Class</v>
      </c>
      <c r="T178">
        <v>8</v>
      </c>
      <c r="U178">
        <v>3563.09</v>
      </c>
      <c r="V178">
        <v>0.15</v>
      </c>
      <c r="W178">
        <f t="shared" si="31"/>
        <v>0.15</v>
      </c>
      <c r="X178" t="str">
        <f t="shared" si="32"/>
        <v/>
      </c>
      <c r="Y178">
        <v>24229.01</v>
      </c>
      <c r="Z178">
        <f t="shared" si="33"/>
        <v>24229.011999999999</v>
      </c>
      <c r="AA178">
        <v>13910.64</v>
      </c>
      <c r="AB178">
        <v>10318.370000000001</v>
      </c>
      <c r="AC178">
        <f t="shared" si="34"/>
        <v>20665.921999999999</v>
      </c>
      <c r="AD178" s="6">
        <f t="shared" si="35"/>
        <v>0.8529411764705882</v>
      </c>
      <c r="AE178" t="s">
        <v>32</v>
      </c>
      <c r="AF178" t="s">
        <v>33</v>
      </c>
      <c r="AG178">
        <f t="shared" si="36"/>
        <v>3</v>
      </c>
      <c r="AH178">
        <f t="shared" si="37"/>
        <v>2025</v>
      </c>
      <c r="AI178" t="str">
        <f t="shared" si="38"/>
        <v>CLEAN</v>
      </c>
    </row>
    <row r="179" spans="1:35">
      <c r="A179" t="s">
        <v>639</v>
      </c>
      <c r="B179">
        <f t="shared" si="26"/>
        <v>1</v>
      </c>
      <c r="C179" t="str">
        <f>IF(COUNTIF($A$2:A179, A179)&gt;1, "DUPLICATE_FLAGGED_FOR_REVIEW", "")</f>
        <v/>
      </c>
      <c r="D179" s="3">
        <v>45444</v>
      </c>
      <c r="E179" s="2">
        <v>45357</v>
      </c>
      <c r="F179" s="2" t="str">
        <f t="shared" si="27"/>
        <v>ERROR: Ship before order</v>
      </c>
      <c r="G179" s="4">
        <f t="shared" si="28"/>
        <v>-87</v>
      </c>
      <c r="H179" t="s">
        <v>640</v>
      </c>
      <c r="I179" t="s">
        <v>132</v>
      </c>
      <c r="J179" t="s">
        <v>95</v>
      </c>
      <c r="K179" t="s">
        <v>2760</v>
      </c>
      <c r="L179" t="str">
        <f t="shared" si="29"/>
        <v>Unknown</v>
      </c>
      <c r="M179" t="s">
        <v>145</v>
      </c>
      <c r="N179" t="s">
        <v>146</v>
      </c>
      <c r="O179" t="s">
        <v>28</v>
      </c>
      <c r="P179" t="s">
        <v>48</v>
      </c>
      <c r="Q179" t="s">
        <v>641</v>
      </c>
      <c r="R179" t="s">
        <v>44</v>
      </c>
      <c r="S179" t="str">
        <f t="shared" si="30"/>
        <v>Same Day</v>
      </c>
      <c r="T179">
        <v>8</v>
      </c>
      <c r="U179">
        <v>3879.95</v>
      </c>
      <c r="V179">
        <v>0</v>
      </c>
      <c r="W179">
        <f t="shared" si="31"/>
        <v>0</v>
      </c>
      <c r="X179" t="str">
        <f t="shared" si="32"/>
        <v/>
      </c>
      <c r="Y179">
        <v>31039.599999999999</v>
      </c>
      <c r="Z179">
        <f t="shared" si="33"/>
        <v>31039.599999999999</v>
      </c>
      <c r="AA179">
        <v>20866.72</v>
      </c>
      <c r="AB179">
        <v>10172.879999999999</v>
      </c>
      <c r="AC179">
        <f t="shared" si="34"/>
        <v>27159.649999999998</v>
      </c>
      <c r="AD179" s="6">
        <f t="shared" si="35"/>
        <v>0.875</v>
      </c>
      <c r="AE179" t="s">
        <v>32</v>
      </c>
      <c r="AF179" t="s">
        <v>33</v>
      </c>
      <c r="AG179">
        <f t="shared" si="36"/>
        <v>6</v>
      </c>
      <c r="AH179">
        <f t="shared" si="37"/>
        <v>2024</v>
      </c>
      <c r="AI179" t="str">
        <f t="shared" si="38"/>
        <v>INVALID</v>
      </c>
    </row>
    <row r="180" spans="1:35">
      <c r="A180" t="s">
        <v>642</v>
      </c>
      <c r="B180">
        <f t="shared" si="26"/>
        <v>1</v>
      </c>
      <c r="C180" t="str">
        <f>IF(COUNTIF($A$2:A180, A180)&gt;1, "DUPLICATE_FLAGGED_FOR_REVIEW", "")</f>
        <v/>
      </c>
      <c r="D180" s="3">
        <v>45565</v>
      </c>
      <c r="E180" s="2">
        <v>45565</v>
      </c>
      <c r="F180" s="2" t="str">
        <f t="shared" si="27"/>
        <v>OK</v>
      </c>
      <c r="G180" s="4">
        <f t="shared" si="28"/>
        <v>0</v>
      </c>
      <c r="H180" t="s">
        <v>643</v>
      </c>
      <c r="I180" t="s">
        <v>47</v>
      </c>
      <c r="J180" t="s">
        <v>90</v>
      </c>
      <c r="K180" t="s">
        <v>54</v>
      </c>
      <c r="L180" t="str">
        <f t="shared" si="29"/>
        <v>South</v>
      </c>
      <c r="M180" t="s">
        <v>55</v>
      </c>
      <c r="N180" t="s">
        <v>56</v>
      </c>
      <c r="O180" t="s">
        <v>28</v>
      </c>
      <c r="P180" t="s">
        <v>48</v>
      </c>
      <c r="Q180" t="s">
        <v>644</v>
      </c>
      <c r="R180" t="s">
        <v>59</v>
      </c>
      <c r="S180" t="str">
        <f t="shared" si="30"/>
        <v>Standard Class</v>
      </c>
      <c r="T180">
        <v>4</v>
      </c>
      <c r="U180">
        <v>3281.74</v>
      </c>
      <c r="V180">
        <v>0</v>
      </c>
      <c r="W180">
        <f t="shared" si="31"/>
        <v>0</v>
      </c>
      <c r="X180" t="str">
        <f t="shared" si="32"/>
        <v/>
      </c>
      <c r="Y180">
        <v>13126.96</v>
      </c>
      <c r="Z180">
        <f t="shared" si="33"/>
        <v>13126.96</v>
      </c>
      <c r="AA180">
        <v>10732.44</v>
      </c>
      <c r="AB180">
        <v>2394.52</v>
      </c>
      <c r="AC180">
        <f t="shared" si="34"/>
        <v>9845.2199999999993</v>
      </c>
      <c r="AD180" s="6">
        <f t="shared" si="35"/>
        <v>0.75</v>
      </c>
      <c r="AE180" t="s">
        <v>32</v>
      </c>
      <c r="AF180" t="s">
        <v>33</v>
      </c>
      <c r="AG180">
        <f t="shared" si="36"/>
        <v>9</v>
      </c>
      <c r="AH180">
        <f t="shared" si="37"/>
        <v>2024</v>
      </c>
      <c r="AI180" t="str">
        <f t="shared" si="38"/>
        <v>CLEAN</v>
      </c>
    </row>
    <row r="181" spans="1:35">
      <c r="A181" t="s">
        <v>645</v>
      </c>
      <c r="B181">
        <f t="shared" si="26"/>
        <v>1</v>
      </c>
      <c r="C181" t="str">
        <f>IF(COUNTIF($A$2:A181, A181)&gt;1, "DUPLICATE_FLAGGED_FOR_REVIEW", "")</f>
        <v/>
      </c>
      <c r="D181" s="3">
        <v>45366</v>
      </c>
      <c r="E181" s="2">
        <v>45370</v>
      </c>
      <c r="F181" s="2" t="str">
        <f t="shared" si="27"/>
        <v>OK</v>
      </c>
      <c r="G181" s="4">
        <f t="shared" si="28"/>
        <v>4</v>
      </c>
      <c r="H181" t="s">
        <v>646</v>
      </c>
      <c r="I181" t="s">
        <v>62</v>
      </c>
      <c r="J181" t="s">
        <v>37</v>
      </c>
      <c r="K181" t="s">
        <v>54</v>
      </c>
      <c r="L181" t="str">
        <f t="shared" si="29"/>
        <v>South</v>
      </c>
      <c r="M181" t="s">
        <v>247</v>
      </c>
      <c r="N181" t="s">
        <v>248</v>
      </c>
      <c r="O181" t="s">
        <v>41</v>
      </c>
      <c r="P181" t="s">
        <v>57</v>
      </c>
      <c r="Q181" t="s">
        <v>647</v>
      </c>
      <c r="R181" t="s">
        <v>59</v>
      </c>
      <c r="S181" t="str">
        <f t="shared" si="30"/>
        <v>Standard Class</v>
      </c>
      <c r="T181">
        <v>4</v>
      </c>
      <c r="U181">
        <v>3186.3</v>
      </c>
      <c r="V181">
        <v>0.25</v>
      </c>
      <c r="W181">
        <f t="shared" si="31"/>
        <v>0.25</v>
      </c>
      <c r="X181" t="str">
        <f t="shared" si="32"/>
        <v/>
      </c>
      <c r="Y181">
        <v>9558.9</v>
      </c>
      <c r="Z181">
        <f t="shared" si="33"/>
        <v>9558.9000000000015</v>
      </c>
      <c r="AA181">
        <v>5516.76</v>
      </c>
      <c r="AB181">
        <v>4042.14</v>
      </c>
      <c r="AC181">
        <f t="shared" si="34"/>
        <v>6372.6000000000013</v>
      </c>
      <c r="AD181" s="6">
        <f t="shared" si="35"/>
        <v>0.66666666666666674</v>
      </c>
      <c r="AE181" t="s">
        <v>102</v>
      </c>
      <c r="AF181" t="s">
        <v>103</v>
      </c>
      <c r="AG181">
        <f t="shared" si="36"/>
        <v>3</v>
      </c>
      <c r="AH181">
        <f t="shared" si="37"/>
        <v>2024</v>
      </c>
      <c r="AI181" t="str">
        <f t="shared" si="38"/>
        <v>CLEAN</v>
      </c>
    </row>
    <row r="182" spans="1:35">
      <c r="A182" t="s">
        <v>648</v>
      </c>
      <c r="B182">
        <f t="shared" si="26"/>
        <v>1</v>
      </c>
      <c r="C182" t="str">
        <f>IF(COUNTIF($A$2:A182, A182)&gt;1, "DUPLICATE_FLAGGED_FOR_REVIEW", "")</f>
        <v/>
      </c>
      <c r="D182" s="3">
        <v>45530</v>
      </c>
      <c r="E182" s="2">
        <v>45530</v>
      </c>
      <c r="F182" s="2" t="str">
        <f t="shared" si="27"/>
        <v>OK</v>
      </c>
      <c r="G182" s="4">
        <f t="shared" si="28"/>
        <v>0</v>
      </c>
      <c r="H182" t="s">
        <v>649</v>
      </c>
      <c r="I182" t="s">
        <v>36</v>
      </c>
      <c r="J182" t="s">
        <v>95</v>
      </c>
      <c r="K182" t="s">
        <v>25</v>
      </c>
      <c r="L182" t="str">
        <f t="shared" si="29"/>
        <v>North</v>
      </c>
      <c r="M182" t="s">
        <v>136</v>
      </c>
      <c r="N182" t="s">
        <v>137</v>
      </c>
      <c r="O182" t="s">
        <v>28</v>
      </c>
      <c r="P182" t="s">
        <v>153</v>
      </c>
      <c r="Q182" t="s">
        <v>650</v>
      </c>
      <c r="R182" t="s">
        <v>50</v>
      </c>
      <c r="S182" t="str">
        <f t="shared" si="30"/>
        <v>First Class</v>
      </c>
      <c r="T182">
        <v>7</v>
      </c>
      <c r="U182">
        <v>844.59</v>
      </c>
      <c r="V182">
        <v>0.1</v>
      </c>
      <c r="W182">
        <f t="shared" si="31"/>
        <v>0.1</v>
      </c>
      <c r="X182" t="str">
        <f t="shared" si="32"/>
        <v/>
      </c>
      <c r="Y182">
        <v>5320.92</v>
      </c>
      <c r="Z182">
        <f t="shared" si="33"/>
        <v>5320.9170000000004</v>
      </c>
      <c r="AA182">
        <v>3041.5</v>
      </c>
      <c r="AB182">
        <v>2279.42</v>
      </c>
      <c r="AC182">
        <f t="shared" si="34"/>
        <v>4476.3270000000002</v>
      </c>
      <c r="AD182" s="6">
        <f t="shared" si="35"/>
        <v>0.84126984126984128</v>
      </c>
      <c r="AE182" t="s">
        <v>32</v>
      </c>
      <c r="AF182" t="s">
        <v>33</v>
      </c>
      <c r="AG182">
        <f t="shared" si="36"/>
        <v>8</v>
      </c>
      <c r="AH182">
        <f t="shared" si="37"/>
        <v>2024</v>
      </c>
      <c r="AI182" t="str">
        <f t="shared" si="38"/>
        <v>CLEAN</v>
      </c>
    </row>
    <row r="183" spans="1:35">
      <c r="A183" t="s">
        <v>651</v>
      </c>
      <c r="B183">
        <f t="shared" si="26"/>
        <v>1</v>
      </c>
      <c r="C183" t="str">
        <f>IF(COUNTIF($A$2:A183, A183)&gt;1, "DUPLICATE_FLAGGED_FOR_REVIEW", "")</f>
        <v/>
      </c>
      <c r="D183" s="3">
        <v>45909</v>
      </c>
      <c r="E183" s="2">
        <v>45910</v>
      </c>
      <c r="F183" s="2" t="str">
        <f t="shared" si="27"/>
        <v>OK</v>
      </c>
      <c r="G183" s="4">
        <f t="shared" si="28"/>
        <v>1</v>
      </c>
      <c r="H183" t="s">
        <v>652</v>
      </c>
      <c r="I183" t="s">
        <v>114</v>
      </c>
      <c r="J183" t="s">
        <v>95</v>
      </c>
      <c r="K183" t="s">
        <v>54</v>
      </c>
      <c r="L183" t="str">
        <f t="shared" si="29"/>
        <v>South</v>
      </c>
      <c r="M183" t="s">
        <v>247</v>
      </c>
      <c r="N183" t="s">
        <v>248</v>
      </c>
      <c r="O183" t="s">
        <v>28</v>
      </c>
      <c r="P183" t="s">
        <v>48</v>
      </c>
      <c r="Q183" t="s">
        <v>653</v>
      </c>
      <c r="R183" t="s">
        <v>31</v>
      </c>
      <c r="S183" t="str">
        <f t="shared" si="30"/>
        <v>Second Class</v>
      </c>
      <c r="T183">
        <v>4</v>
      </c>
      <c r="U183">
        <v>2551.4499999999998</v>
      </c>
      <c r="V183">
        <v>0</v>
      </c>
      <c r="W183">
        <f t="shared" si="31"/>
        <v>0</v>
      </c>
      <c r="X183" t="str">
        <f t="shared" si="32"/>
        <v/>
      </c>
      <c r="Y183">
        <v>10205.799999999999</v>
      </c>
      <c r="Z183">
        <f t="shared" si="33"/>
        <v>10205.799999999999</v>
      </c>
      <c r="AA183">
        <v>5986.31</v>
      </c>
      <c r="AB183">
        <v>4219.49</v>
      </c>
      <c r="AC183">
        <f t="shared" si="34"/>
        <v>7654.3499999999995</v>
      </c>
      <c r="AD183" s="6">
        <f t="shared" si="35"/>
        <v>0.75</v>
      </c>
      <c r="AE183" t="s">
        <v>32</v>
      </c>
      <c r="AF183" t="s">
        <v>33</v>
      </c>
      <c r="AG183">
        <f t="shared" si="36"/>
        <v>9</v>
      </c>
      <c r="AH183">
        <f t="shared" si="37"/>
        <v>2025</v>
      </c>
      <c r="AI183" t="str">
        <f t="shared" si="38"/>
        <v>CLEAN</v>
      </c>
    </row>
    <row r="184" spans="1:35">
      <c r="A184" t="s">
        <v>654</v>
      </c>
      <c r="B184">
        <f t="shared" si="26"/>
        <v>1</v>
      </c>
      <c r="C184" t="str">
        <f>IF(COUNTIF($A$2:A184, A184)&gt;1, "DUPLICATE_FLAGGED_FOR_REVIEW", "")</f>
        <v/>
      </c>
      <c r="D184" s="3">
        <v>45581</v>
      </c>
      <c r="E184" s="2">
        <v>45581</v>
      </c>
      <c r="F184" s="2" t="str">
        <f t="shared" si="27"/>
        <v>OK</v>
      </c>
      <c r="G184" s="4">
        <f t="shared" si="28"/>
        <v>0</v>
      </c>
      <c r="H184" t="s">
        <v>655</v>
      </c>
      <c r="I184" t="s">
        <v>62</v>
      </c>
      <c r="J184" t="s">
        <v>95</v>
      </c>
      <c r="K184" t="s">
        <v>38</v>
      </c>
      <c r="L184" t="str">
        <f t="shared" si="29"/>
        <v>East</v>
      </c>
      <c r="M184" t="s">
        <v>145</v>
      </c>
      <c r="N184" t="s">
        <v>146</v>
      </c>
      <c r="O184" t="s">
        <v>74</v>
      </c>
      <c r="P184" t="s">
        <v>274</v>
      </c>
      <c r="Q184" t="s">
        <v>656</v>
      </c>
      <c r="R184" t="s">
        <v>59</v>
      </c>
      <c r="S184" t="str">
        <f t="shared" si="30"/>
        <v>Standard Class</v>
      </c>
      <c r="T184">
        <v>7</v>
      </c>
      <c r="U184">
        <v>775.77</v>
      </c>
      <c r="V184">
        <v>0</v>
      </c>
      <c r="W184">
        <f t="shared" si="31"/>
        <v>0</v>
      </c>
      <c r="X184" t="str">
        <f t="shared" si="32"/>
        <v/>
      </c>
      <c r="Y184">
        <v>5430.39</v>
      </c>
      <c r="Z184">
        <f t="shared" si="33"/>
        <v>5430.3899999999994</v>
      </c>
      <c r="AA184">
        <v>3707.66</v>
      </c>
      <c r="AB184">
        <v>1722.73</v>
      </c>
      <c r="AC184">
        <f t="shared" si="34"/>
        <v>4654.619999999999</v>
      </c>
      <c r="AD184" s="6">
        <f t="shared" si="35"/>
        <v>0.8571428571428571</v>
      </c>
      <c r="AE184" t="s">
        <v>32</v>
      </c>
      <c r="AF184" t="s">
        <v>33</v>
      </c>
      <c r="AG184">
        <f t="shared" si="36"/>
        <v>10</v>
      </c>
      <c r="AH184">
        <f t="shared" si="37"/>
        <v>2024</v>
      </c>
      <c r="AI184" t="str">
        <f t="shared" si="38"/>
        <v>CLEAN</v>
      </c>
    </row>
    <row r="185" spans="1:35">
      <c r="A185" t="s">
        <v>657</v>
      </c>
      <c r="B185">
        <f t="shared" si="26"/>
        <v>1</v>
      </c>
      <c r="C185" t="str">
        <f>IF(COUNTIF($A$2:A185, A185)&gt;1, "DUPLICATE_FLAGGED_FOR_REVIEW", "")</f>
        <v/>
      </c>
      <c r="D185" s="3">
        <v>45832</v>
      </c>
      <c r="E185" s="2">
        <v>45835</v>
      </c>
      <c r="F185" s="2" t="str">
        <f t="shared" si="27"/>
        <v>OK</v>
      </c>
      <c r="G185" s="4">
        <f t="shared" si="28"/>
        <v>3</v>
      </c>
      <c r="H185" t="s">
        <v>658</v>
      </c>
      <c r="I185" t="s">
        <v>71</v>
      </c>
      <c r="J185" t="s">
        <v>95</v>
      </c>
      <c r="K185" t="s">
        <v>54</v>
      </c>
      <c r="L185" t="str">
        <f t="shared" si="29"/>
        <v>South</v>
      </c>
      <c r="M185" t="s">
        <v>55</v>
      </c>
      <c r="N185" t="s">
        <v>56</v>
      </c>
      <c r="O185" t="s">
        <v>74</v>
      </c>
      <c r="P185" t="s">
        <v>80</v>
      </c>
      <c r="Q185" t="s">
        <v>659</v>
      </c>
      <c r="R185" t="s">
        <v>59</v>
      </c>
      <c r="S185" t="str">
        <f t="shared" si="30"/>
        <v>Standard Class</v>
      </c>
      <c r="T185">
        <v>7</v>
      </c>
      <c r="U185">
        <v>2304.86</v>
      </c>
      <c r="V185">
        <v>0.2</v>
      </c>
      <c r="W185">
        <f t="shared" si="31"/>
        <v>0.2</v>
      </c>
      <c r="X185" t="str">
        <f t="shared" si="32"/>
        <v/>
      </c>
      <c r="Y185">
        <v>12907.22</v>
      </c>
      <c r="Z185">
        <f t="shared" si="33"/>
        <v>12907.216</v>
      </c>
      <c r="AA185">
        <v>8327.89</v>
      </c>
      <c r="AB185">
        <v>4579.33</v>
      </c>
      <c r="AC185">
        <f t="shared" si="34"/>
        <v>10602.356</v>
      </c>
      <c r="AD185" s="6">
        <f t="shared" si="35"/>
        <v>0.8214285714285714</v>
      </c>
      <c r="AE185" t="s">
        <v>32</v>
      </c>
      <c r="AF185" t="s">
        <v>103</v>
      </c>
      <c r="AG185">
        <f t="shared" si="36"/>
        <v>6</v>
      </c>
      <c r="AH185">
        <f t="shared" si="37"/>
        <v>2025</v>
      </c>
      <c r="AI185" t="str">
        <f t="shared" si="38"/>
        <v>CLEAN</v>
      </c>
    </row>
    <row r="186" spans="1:35">
      <c r="A186" t="s">
        <v>660</v>
      </c>
      <c r="B186">
        <f t="shared" si="26"/>
        <v>1</v>
      </c>
      <c r="C186" t="str">
        <f>IF(COUNTIF($A$2:A186, A186)&gt;1, "DUPLICATE_FLAGGED_FOR_REVIEW", "")</f>
        <v/>
      </c>
      <c r="D186" s="3">
        <v>45384</v>
      </c>
      <c r="E186" s="2">
        <v>45388</v>
      </c>
      <c r="F186" s="2" t="str">
        <f t="shared" si="27"/>
        <v>OK</v>
      </c>
      <c r="G186" s="4">
        <f t="shared" si="28"/>
        <v>4</v>
      </c>
      <c r="H186" t="s">
        <v>661</v>
      </c>
      <c r="I186" t="s">
        <v>71</v>
      </c>
      <c r="J186" t="s">
        <v>90</v>
      </c>
      <c r="K186" t="s">
        <v>63</v>
      </c>
      <c r="L186" t="str">
        <f t="shared" si="29"/>
        <v>West</v>
      </c>
      <c r="M186" t="s">
        <v>72</v>
      </c>
      <c r="N186" t="s">
        <v>73</v>
      </c>
      <c r="O186" t="s">
        <v>41</v>
      </c>
      <c r="P186" t="s">
        <v>158</v>
      </c>
      <c r="Q186" t="s">
        <v>662</v>
      </c>
      <c r="R186" t="s">
        <v>59</v>
      </c>
      <c r="S186" t="str">
        <f t="shared" si="30"/>
        <v>Standard Class</v>
      </c>
      <c r="T186">
        <v>2</v>
      </c>
      <c r="U186">
        <v>888.98</v>
      </c>
      <c r="V186">
        <v>0</v>
      </c>
      <c r="W186">
        <f t="shared" si="31"/>
        <v>0</v>
      </c>
      <c r="X186" t="str">
        <f t="shared" si="32"/>
        <v/>
      </c>
      <c r="Y186">
        <v>1777.96</v>
      </c>
      <c r="Z186">
        <f t="shared" si="33"/>
        <v>1777.96</v>
      </c>
      <c r="AA186">
        <v>1021.16</v>
      </c>
      <c r="AB186">
        <v>756.8</v>
      </c>
      <c r="AC186">
        <f t="shared" si="34"/>
        <v>888.98</v>
      </c>
      <c r="AD186" s="6">
        <f t="shared" si="35"/>
        <v>0.5</v>
      </c>
      <c r="AE186" t="s">
        <v>102</v>
      </c>
      <c r="AF186" t="s">
        <v>103</v>
      </c>
      <c r="AG186">
        <f t="shared" si="36"/>
        <v>4</v>
      </c>
      <c r="AH186">
        <f t="shared" si="37"/>
        <v>2024</v>
      </c>
      <c r="AI186" t="str">
        <f t="shared" si="38"/>
        <v>CLEAN</v>
      </c>
    </row>
    <row r="187" spans="1:35">
      <c r="A187" t="s">
        <v>663</v>
      </c>
      <c r="B187">
        <f t="shared" si="26"/>
        <v>1</v>
      </c>
      <c r="C187" t="str">
        <f>IF(COUNTIF($A$2:A187, A187)&gt;1, "DUPLICATE_FLAGGED_FOR_REVIEW", "")</f>
        <v/>
      </c>
      <c r="D187" s="3">
        <v>45423</v>
      </c>
      <c r="E187" s="2">
        <v>45609</v>
      </c>
      <c r="F187" s="2" t="str">
        <f t="shared" si="27"/>
        <v>OK</v>
      </c>
      <c r="G187" s="4">
        <f t="shared" si="28"/>
        <v>186</v>
      </c>
      <c r="H187" t="s">
        <v>664</v>
      </c>
      <c r="I187" t="s">
        <v>53</v>
      </c>
      <c r="J187" t="s">
        <v>24</v>
      </c>
      <c r="K187" t="s">
        <v>2760</v>
      </c>
      <c r="L187" t="str">
        <f t="shared" si="29"/>
        <v>Unknown</v>
      </c>
      <c r="M187" t="s">
        <v>122</v>
      </c>
      <c r="N187" t="s">
        <v>123</v>
      </c>
      <c r="O187" t="s">
        <v>28</v>
      </c>
      <c r="P187" t="s">
        <v>91</v>
      </c>
      <c r="Q187" t="s">
        <v>665</v>
      </c>
      <c r="R187" t="s">
        <v>31</v>
      </c>
      <c r="S187" t="str">
        <f t="shared" si="30"/>
        <v>Second Class</v>
      </c>
      <c r="T187">
        <v>2</v>
      </c>
      <c r="U187">
        <v>1003.17</v>
      </c>
      <c r="V187">
        <v>0.2</v>
      </c>
      <c r="W187">
        <f t="shared" si="31"/>
        <v>0.2</v>
      </c>
      <c r="X187" t="str">
        <f t="shared" si="32"/>
        <v/>
      </c>
      <c r="Y187">
        <v>1605.07</v>
      </c>
      <c r="Z187">
        <f t="shared" si="33"/>
        <v>1605.0720000000001</v>
      </c>
      <c r="AA187">
        <v>1337.28</v>
      </c>
      <c r="AB187">
        <v>267.79000000000002</v>
      </c>
      <c r="AC187">
        <f t="shared" si="34"/>
        <v>601.90200000000016</v>
      </c>
      <c r="AD187" s="6">
        <f t="shared" si="35"/>
        <v>0.37500000000000006</v>
      </c>
      <c r="AE187" t="s">
        <v>32</v>
      </c>
      <c r="AF187" t="s">
        <v>33</v>
      </c>
      <c r="AG187">
        <f t="shared" si="36"/>
        <v>5</v>
      </c>
      <c r="AH187">
        <f t="shared" si="37"/>
        <v>2024</v>
      </c>
      <c r="AI187" t="str">
        <f t="shared" si="38"/>
        <v>WARNING</v>
      </c>
    </row>
    <row r="188" spans="1:35">
      <c r="A188" t="s">
        <v>666</v>
      </c>
      <c r="B188">
        <f t="shared" si="26"/>
        <v>1</v>
      </c>
      <c r="C188" t="str">
        <f>IF(COUNTIF($A$2:A188, A188)&gt;1, "DUPLICATE_FLAGGED_FOR_REVIEW", "")</f>
        <v/>
      </c>
      <c r="D188" s="3">
        <v>45492</v>
      </c>
      <c r="E188" s="2">
        <v>45493</v>
      </c>
      <c r="F188" s="2" t="str">
        <f t="shared" si="27"/>
        <v>OK</v>
      </c>
      <c r="G188" s="4">
        <f t="shared" si="28"/>
        <v>1</v>
      </c>
      <c r="H188" t="s">
        <v>263</v>
      </c>
      <c r="I188" t="s">
        <v>71</v>
      </c>
      <c r="J188" t="s">
        <v>24</v>
      </c>
      <c r="K188" t="s">
        <v>54</v>
      </c>
      <c r="L188" t="str">
        <f t="shared" si="29"/>
        <v>South</v>
      </c>
      <c r="M188" t="s">
        <v>247</v>
      </c>
      <c r="N188" t="s">
        <v>248</v>
      </c>
      <c r="O188" t="s">
        <v>41</v>
      </c>
      <c r="P188" t="s">
        <v>42</v>
      </c>
      <c r="Q188" t="s">
        <v>667</v>
      </c>
      <c r="R188" t="s">
        <v>50</v>
      </c>
      <c r="S188" t="str">
        <f t="shared" si="30"/>
        <v>First Class</v>
      </c>
      <c r="T188">
        <v>7</v>
      </c>
      <c r="U188">
        <v>3608.43</v>
      </c>
      <c r="V188">
        <v>0.05</v>
      </c>
      <c r="W188">
        <f t="shared" si="31"/>
        <v>0.05</v>
      </c>
      <c r="X188" t="str">
        <f t="shared" si="32"/>
        <v/>
      </c>
      <c r="Y188">
        <v>23996.06</v>
      </c>
      <c r="Z188">
        <f t="shared" si="33"/>
        <v>23996.059499999996</v>
      </c>
      <c r="AA188">
        <v>20167.28</v>
      </c>
      <c r="AB188">
        <v>3828.78</v>
      </c>
      <c r="AC188">
        <f t="shared" si="34"/>
        <v>20387.629499999995</v>
      </c>
      <c r="AD188" s="6">
        <f t="shared" si="35"/>
        <v>0.84962406015037595</v>
      </c>
      <c r="AE188" t="s">
        <v>32</v>
      </c>
      <c r="AF188" t="s">
        <v>33</v>
      </c>
      <c r="AG188">
        <f t="shared" si="36"/>
        <v>7</v>
      </c>
      <c r="AH188">
        <f t="shared" si="37"/>
        <v>2024</v>
      </c>
      <c r="AI188" t="str">
        <f t="shared" si="38"/>
        <v>CLEAN</v>
      </c>
    </row>
    <row r="189" spans="1:35">
      <c r="A189" t="s">
        <v>668</v>
      </c>
      <c r="B189">
        <f t="shared" si="26"/>
        <v>1</v>
      </c>
      <c r="C189" t="str">
        <f>IF(COUNTIF($A$2:A189, A189)&gt;1, "DUPLICATE_FLAGGED_FOR_REVIEW", "")</f>
        <v/>
      </c>
      <c r="D189" s="3">
        <v>45778</v>
      </c>
      <c r="E189" s="2">
        <v>45779</v>
      </c>
      <c r="F189" s="2" t="str">
        <f t="shared" si="27"/>
        <v>OK</v>
      </c>
      <c r="G189" s="4">
        <f t="shared" si="28"/>
        <v>1</v>
      </c>
      <c r="H189" t="s">
        <v>669</v>
      </c>
      <c r="I189" t="s">
        <v>36</v>
      </c>
      <c r="J189" t="s">
        <v>24</v>
      </c>
      <c r="K189" t="s">
        <v>63</v>
      </c>
      <c r="L189" t="str">
        <f t="shared" si="29"/>
        <v>West</v>
      </c>
      <c r="M189" t="s">
        <v>72</v>
      </c>
      <c r="N189" t="s">
        <v>73</v>
      </c>
      <c r="O189" t="s">
        <v>41</v>
      </c>
      <c r="P189" t="s">
        <v>66</v>
      </c>
      <c r="Q189" t="s">
        <v>670</v>
      </c>
      <c r="R189" t="s">
        <v>44</v>
      </c>
      <c r="S189" t="str">
        <f t="shared" si="30"/>
        <v>Same Day</v>
      </c>
      <c r="T189">
        <v>3</v>
      </c>
      <c r="U189">
        <v>2905.74</v>
      </c>
      <c r="V189">
        <v>0</v>
      </c>
      <c r="W189">
        <f t="shared" si="31"/>
        <v>0</v>
      </c>
      <c r="X189" t="str">
        <f t="shared" si="32"/>
        <v/>
      </c>
      <c r="Y189">
        <v>8717.2199999999993</v>
      </c>
      <c r="Z189">
        <f t="shared" si="33"/>
        <v>8717.2199999999993</v>
      </c>
      <c r="AA189">
        <v>6215.96</v>
      </c>
      <c r="AB189">
        <v>2501.2600000000002</v>
      </c>
      <c r="AC189">
        <f t="shared" si="34"/>
        <v>5811.48</v>
      </c>
      <c r="AD189" s="6">
        <f t="shared" si="35"/>
        <v>0.66666666666666663</v>
      </c>
      <c r="AE189" t="s">
        <v>32</v>
      </c>
      <c r="AF189" t="s">
        <v>103</v>
      </c>
      <c r="AG189">
        <f t="shared" si="36"/>
        <v>5</v>
      </c>
      <c r="AH189">
        <f t="shared" si="37"/>
        <v>2025</v>
      </c>
      <c r="AI189" t="str">
        <f t="shared" si="38"/>
        <v>CLEAN</v>
      </c>
    </row>
    <row r="190" spans="1:35">
      <c r="A190" t="s">
        <v>671</v>
      </c>
      <c r="B190">
        <f t="shared" si="26"/>
        <v>1</v>
      </c>
      <c r="C190" t="str">
        <f>IF(COUNTIF($A$2:A190, A190)&gt;1, "DUPLICATE_FLAGGED_FOR_REVIEW", "")</f>
        <v/>
      </c>
      <c r="D190" s="3">
        <v>45798</v>
      </c>
      <c r="E190" s="2">
        <v>45805</v>
      </c>
      <c r="F190" s="2" t="str">
        <f t="shared" si="27"/>
        <v>OK</v>
      </c>
      <c r="G190" s="4">
        <f t="shared" si="28"/>
        <v>7</v>
      </c>
      <c r="H190" t="s">
        <v>672</v>
      </c>
      <c r="I190" t="s">
        <v>114</v>
      </c>
      <c r="J190" t="s">
        <v>90</v>
      </c>
      <c r="K190" t="s">
        <v>38</v>
      </c>
      <c r="L190" t="str">
        <f t="shared" si="29"/>
        <v>East</v>
      </c>
      <c r="M190" t="s">
        <v>99</v>
      </c>
      <c r="N190" t="s">
        <v>100</v>
      </c>
      <c r="O190" t="s">
        <v>41</v>
      </c>
      <c r="P190" t="s">
        <v>158</v>
      </c>
      <c r="Q190" t="s">
        <v>673</v>
      </c>
      <c r="R190" t="s">
        <v>44</v>
      </c>
      <c r="S190" t="str">
        <f t="shared" si="30"/>
        <v>Same Day</v>
      </c>
      <c r="T190">
        <v>2</v>
      </c>
      <c r="U190">
        <v>3559.57</v>
      </c>
      <c r="V190">
        <v>0.1</v>
      </c>
      <c r="W190">
        <f t="shared" si="31"/>
        <v>0.1</v>
      </c>
      <c r="X190" t="str">
        <f t="shared" si="32"/>
        <v/>
      </c>
      <c r="Y190">
        <v>6553.95</v>
      </c>
      <c r="Z190">
        <f t="shared" si="33"/>
        <v>6407.2260000000006</v>
      </c>
      <c r="AA190">
        <v>4923.09</v>
      </c>
      <c r="AB190">
        <v>1484.14</v>
      </c>
      <c r="AC190">
        <f t="shared" si="34"/>
        <v>2847.6560000000004</v>
      </c>
      <c r="AD190" s="6">
        <f t="shared" si="35"/>
        <v>0.44444444444444448</v>
      </c>
      <c r="AE190" t="s">
        <v>32</v>
      </c>
      <c r="AF190" t="s">
        <v>33</v>
      </c>
      <c r="AG190">
        <f t="shared" si="36"/>
        <v>5</v>
      </c>
      <c r="AH190">
        <f t="shared" si="37"/>
        <v>2025</v>
      </c>
      <c r="AI190" t="str">
        <f t="shared" si="38"/>
        <v>CLEAN</v>
      </c>
    </row>
    <row r="191" spans="1:35">
      <c r="A191" t="s">
        <v>674</v>
      </c>
      <c r="B191">
        <f t="shared" si="26"/>
        <v>1</v>
      </c>
      <c r="C191" t="str">
        <f>IF(COUNTIF($A$2:A191, A191)&gt;1, "DUPLICATE_FLAGGED_FOR_REVIEW", "")</f>
        <v/>
      </c>
      <c r="D191" s="3">
        <v>45783</v>
      </c>
      <c r="E191" s="2">
        <v>45784</v>
      </c>
      <c r="F191" s="2" t="str">
        <f t="shared" si="27"/>
        <v>OK</v>
      </c>
      <c r="G191" s="4">
        <f t="shared" si="28"/>
        <v>1</v>
      </c>
      <c r="H191" t="s">
        <v>675</v>
      </c>
      <c r="I191" t="s">
        <v>53</v>
      </c>
      <c r="J191" t="s">
        <v>24</v>
      </c>
      <c r="K191" t="s">
        <v>63</v>
      </c>
      <c r="L191" t="str">
        <f t="shared" si="29"/>
        <v>West</v>
      </c>
      <c r="M191" t="s">
        <v>26</v>
      </c>
      <c r="N191" t="s">
        <v>109</v>
      </c>
      <c r="O191" t="s">
        <v>41</v>
      </c>
      <c r="P191" t="s">
        <v>158</v>
      </c>
      <c r="Q191" t="s">
        <v>676</v>
      </c>
      <c r="R191" t="s">
        <v>50</v>
      </c>
      <c r="S191" t="str">
        <f t="shared" si="30"/>
        <v>First Class</v>
      </c>
      <c r="T191">
        <v>9</v>
      </c>
      <c r="U191">
        <v>3318.24</v>
      </c>
      <c r="W191">
        <f t="shared" si="31"/>
        <v>0</v>
      </c>
      <c r="X191" t="str">
        <f t="shared" si="32"/>
        <v>DISCOUNT_MISSING_SET_TO_0</v>
      </c>
      <c r="Y191">
        <v>25384.54</v>
      </c>
      <c r="Z191">
        <f t="shared" si="33"/>
        <v>29864.159999999996</v>
      </c>
      <c r="AA191">
        <v>16872.39</v>
      </c>
      <c r="AB191">
        <v>8512.15</v>
      </c>
      <c r="AC191">
        <f t="shared" si="34"/>
        <v>26545.919999999998</v>
      </c>
      <c r="AD191" s="6">
        <f t="shared" si="35"/>
        <v>0.88888888888888895</v>
      </c>
      <c r="AE191" t="s">
        <v>32</v>
      </c>
      <c r="AF191" t="s">
        <v>33</v>
      </c>
      <c r="AG191">
        <f t="shared" si="36"/>
        <v>5</v>
      </c>
      <c r="AH191">
        <f t="shared" si="37"/>
        <v>2025</v>
      </c>
      <c r="AI191" t="str">
        <f t="shared" si="38"/>
        <v>WARNING</v>
      </c>
    </row>
    <row r="192" spans="1:35">
      <c r="A192" t="s">
        <v>677</v>
      </c>
      <c r="B192">
        <f t="shared" si="26"/>
        <v>1</v>
      </c>
      <c r="C192" t="str">
        <f>IF(COUNTIF($A$2:A192, A192)&gt;1, "DUPLICATE_FLAGGED_FOR_REVIEW", "")</f>
        <v/>
      </c>
      <c r="D192" s="3">
        <v>45767</v>
      </c>
      <c r="E192" s="2">
        <v>45768</v>
      </c>
      <c r="F192" s="2" t="str">
        <f t="shared" si="27"/>
        <v>OK</v>
      </c>
      <c r="G192" s="4">
        <f t="shared" si="28"/>
        <v>1</v>
      </c>
      <c r="H192" t="s">
        <v>678</v>
      </c>
      <c r="I192" t="s">
        <v>89</v>
      </c>
      <c r="J192" t="s">
        <v>24</v>
      </c>
      <c r="K192" t="s">
        <v>54</v>
      </c>
      <c r="L192" t="str">
        <f t="shared" si="29"/>
        <v>South</v>
      </c>
      <c r="M192" t="s">
        <v>247</v>
      </c>
      <c r="N192" t="s">
        <v>248</v>
      </c>
      <c r="O192" t="s">
        <v>28</v>
      </c>
      <c r="P192" t="s">
        <v>124</v>
      </c>
      <c r="Q192" t="s">
        <v>679</v>
      </c>
      <c r="R192" t="s">
        <v>50</v>
      </c>
      <c r="S192" t="str">
        <f t="shared" si="30"/>
        <v>First Class</v>
      </c>
      <c r="T192">
        <v>3</v>
      </c>
      <c r="U192">
        <v>540.09</v>
      </c>
      <c r="V192">
        <v>0.1</v>
      </c>
      <c r="W192">
        <f t="shared" si="31"/>
        <v>0.1</v>
      </c>
      <c r="X192" t="str">
        <f t="shared" si="32"/>
        <v/>
      </c>
      <c r="Y192">
        <v>1458.24</v>
      </c>
      <c r="Z192">
        <f t="shared" si="33"/>
        <v>1458.2429999999999</v>
      </c>
      <c r="AA192">
        <v>943.32</v>
      </c>
      <c r="AB192">
        <v>514.91999999999996</v>
      </c>
      <c r="AC192">
        <f t="shared" si="34"/>
        <v>918.15299999999991</v>
      </c>
      <c r="AD192" s="6">
        <f t="shared" si="35"/>
        <v>0.62962962962962954</v>
      </c>
      <c r="AE192" t="s">
        <v>32</v>
      </c>
      <c r="AF192" t="s">
        <v>33</v>
      </c>
      <c r="AG192">
        <f t="shared" si="36"/>
        <v>4</v>
      </c>
      <c r="AH192">
        <f t="shared" si="37"/>
        <v>2025</v>
      </c>
      <c r="AI192" t="str">
        <f t="shared" si="38"/>
        <v>CLEAN</v>
      </c>
    </row>
    <row r="193" spans="1:35">
      <c r="A193" t="s">
        <v>680</v>
      </c>
      <c r="B193">
        <f t="shared" si="26"/>
        <v>1</v>
      </c>
      <c r="C193" t="str">
        <f>IF(COUNTIF($A$2:A193, A193)&gt;1, "DUPLICATE_FLAGGED_FOR_REVIEW", "")</f>
        <v/>
      </c>
      <c r="D193" s="3">
        <v>45584</v>
      </c>
      <c r="E193" s="2">
        <v>45589</v>
      </c>
      <c r="F193" s="2" t="str">
        <f t="shared" si="27"/>
        <v>OK</v>
      </c>
      <c r="G193" s="4">
        <f t="shared" si="28"/>
        <v>5</v>
      </c>
      <c r="H193" t="s">
        <v>681</v>
      </c>
      <c r="I193" t="s">
        <v>132</v>
      </c>
      <c r="J193" t="s">
        <v>37</v>
      </c>
      <c r="K193" t="s">
        <v>54</v>
      </c>
      <c r="L193" t="str">
        <f t="shared" si="29"/>
        <v>South</v>
      </c>
      <c r="M193" t="s">
        <v>247</v>
      </c>
      <c r="N193" t="s">
        <v>248</v>
      </c>
      <c r="O193" t="s">
        <v>41</v>
      </c>
      <c r="P193" t="s">
        <v>158</v>
      </c>
      <c r="Q193" t="s">
        <v>682</v>
      </c>
      <c r="R193" t="s">
        <v>31</v>
      </c>
      <c r="S193" t="str">
        <f t="shared" si="30"/>
        <v>Second Class</v>
      </c>
      <c r="T193">
        <v>6</v>
      </c>
      <c r="U193">
        <v>4308.3999999999996</v>
      </c>
      <c r="V193">
        <v>0.65</v>
      </c>
      <c r="W193">
        <f t="shared" si="31"/>
        <v>0.65</v>
      </c>
      <c r="X193" t="str">
        <f t="shared" si="32"/>
        <v>INVALID_DISCOUNT_ABOVE_50PCT</v>
      </c>
      <c r="Y193">
        <v>25850.400000000001</v>
      </c>
      <c r="Z193">
        <f t="shared" si="33"/>
        <v>9047.64</v>
      </c>
      <c r="AA193">
        <v>19397.68</v>
      </c>
      <c r="AB193">
        <v>6452.72</v>
      </c>
      <c r="AC193">
        <f t="shared" si="34"/>
        <v>4739.24</v>
      </c>
      <c r="AD193" s="6">
        <f t="shared" si="35"/>
        <v>0.52380952380952384</v>
      </c>
      <c r="AE193" t="s">
        <v>32</v>
      </c>
      <c r="AF193" t="s">
        <v>33</v>
      </c>
      <c r="AG193">
        <f t="shared" si="36"/>
        <v>10</v>
      </c>
      <c r="AH193">
        <f t="shared" si="37"/>
        <v>2024</v>
      </c>
      <c r="AI193" t="str">
        <f t="shared" si="38"/>
        <v>INVALID</v>
      </c>
    </row>
    <row r="194" spans="1:35">
      <c r="A194" t="s">
        <v>683</v>
      </c>
      <c r="B194">
        <f t="shared" si="26"/>
        <v>1</v>
      </c>
      <c r="C194" t="str">
        <f>IF(COUNTIF($A$2:A194, A194)&gt;1, "DUPLICATE_FLAGGED_FOR_REVIEW", "")</f>
        <v/>
      </c>
      <c r="D194" s="3">
        <v>45635</v>
      </c>
      <c r="E194" s="2">
        <v>45642</v>
      </c>
      <c r="F194" s="2" t="str">
        <f t="shared" si="27"/>
        <v>OK</v>
      </c>
      <c r="G194" s="4">
        <f t="shared" si="28"/>
        <v>7</v>
      </c>
      <c r="H194" t="s">
        <v>684</v>
      </c>
      <c r="I194" t="s">
        <v>47</v>
      </c>
      <c r="J194" t="s">
        <v>95</v>
      </c>
      <c r="K194" t="s">
        <v>63</v>
      </c>
      <c r="L194" t="str">
        <f t="shared" si="29"/>
        <v>West</v>
      </c>
      <c r="M194" t="s">
        <v>180</v>
      </c>
      <c r="N194" t="s">
        <v>181</v>
      </c>
      <c r="O194" t="s">
        <v>41</v>
      </c>
      <c r="P194" t="s">
        <v>66</v>
      </c>
      <c r="Q194" t="s">
        <v>685</v>
      </c>
      <c r="R194" t="s">
        <v>50</v>
      </c>
      <c r="S194" t="str">
        <f t="shared" si="30"/>
        <v>First Class</v>
      </c>
      <c r="T194">
        <v>4</v>
      </c>
      <c r="U194">
        <v>2191.0300000000002</v>
      </c>
      <c r="V194">
        <v>0</v>
      </c>
      <c r="W194">
        <f t="shared" si="31"/>
        <v>0</v>
      </c>
      <c r="X194" t="str">
        <f t="shared" si="32"/>
        <v/>
      </c>
      <c r="Y194">
        <v>8764.1200000000008</v>
      </c>
      <c r="Z194">
        <f t="shared" si="33"/>
        <v>8764.1200000000008</v>
      </c>
      <c r="AA194">
        <v>7220.05</v>
      </c>
      <c r="AB194">
        <v>1544.07</v>
      </c>
      <c r="AC194">
        <f t="shared" si="34"/>
        <v>6573.09</v>
      </c>
      <c r="AD194" s="6">
        <f t="shared" si="35"/>
        <v>0.75</v>
      </c>
      <c r="AE194" t="s">
        <v>32</v>
      </c>
      <c r="AF194" t="s">
        <v>33</v>
      </c>
      <c r="AG194">
        <f t="shared" si="36"/>
        <v>12</v>
      </c>
      <c r="AH194">
        <f t="shared" si="37"/>
        <v>2024</v>
      </c>
      <c r="AI194" t="str">
        <f t="shared" si="38"/>
        <v>CLEAN</v>
      </c>
    </row>
    <row r="195" spans="1:35">
      <c r="A195" t="s">
        <v>686</v>
      </c>
      <c r="B195">
        <f t="shared" ref="B195:B258" si="39">COUNTIF($A$2:$A$932, A195)</f>
        <v>1</v>
      </c>
      <c r="C195" t="str">
        <f>IF(COUNTIF($A$2:A195, A195)&gt;1, "DUPLICATE_FLAGGED_FOR_REVIEW", "")</f>
        <v/>
      </c>
      <c r="D195" s="3">
        <v>45466</v>
      </c>
      <c r="E195" s="2">
        <v>45471</v>
      </c>
      <c r="F195" s="2" t="str">
        <f t="shared" ref="F195:F258" si="40">IF(E195&lt;D195, "ERROR: Ship before order", "OK")</f>
        <v>OK</v>
      </c>
      <c r="G195" s="4">
        <f t="shared" ref="G195:G258" si="41">IF(AND(ISNUMBER(E195),ISNUMBER(D195)), E195-D195, "")</f>
        <v>5</v>
      </c>
      <c r="H195" t="s">
        <v>687</v>
      </c>
      <c r="I195" t="s">
        <v>114</v>
      </c>
      <c r="J195" t="s">
        <v>37</v>
      </c>
      <c r="K195" t="s">
        <v>25</v>
      </c>
      <c r="L195" t="str">
        <f t="shared" ref="L195:L258" si="42">IF(OR(K195="",ISBLANK(K195)), "Unknown", K195)</f>
        <v>North</v>
      </c>
      <c r="M195" t="s">
        <v>122</v>
      </c>
      <c r="N195" t="s">
        <v>123</v>
      </c>
      <c r="O195" t="s">
        <v>74</v>
      </c>
      <c r="P195" t="s">
        <v>80</v>
      </c>
      <c r="Q195" t="s">
        <v>688</v>
      </c>
      <c r="R195" t="s">
        <v>44</v>
      </c>
      <c r="S195" t="str">
        <f t="shared" ref="S195:S258" si="43">IF(OR(R195="",ISBLANK(R195)), "Unknown", R195)</f>
        <v>Same Day</v>
      </c>
      <c r="T195">
        <v>6</v>
      </c>
      <c r="U195">
        <v>1956.63</v>
      </c>
      <c r="V195">
        <v>0.2</v>
      </c>
      <c r="W195">
        <f t="shared" ref="W195:W258" si="44">IF(ISBLANK(V195), IF(AND(ISNUMBER(T195), ISNUMBER(U195)), 0, ""), IF(V195&lt;0, V195, IF(V195&gt;0.5, V195, V195)))</f>
        <v>0.2</v>
      </c>
      <c r="X195" t="str">
        <f t="shared" ref="X195:X258" si="45">IF(V195&lt;0,"INVALID_NEGATIVE_DISCOUNT",IF(V195&gt;0.5,"INVALID_DISCOUNT_ABOVE_50PCT",IF(AND(ISBLANK(V195), ISNUMBER(T195), ISNUMBER(U195)),"DISCOUNT_MISSING_SET_TO_0","")))</f>
        <v/>
      </c>
      <c r="Y195">
        <v>9391.82</v>
      </c>
      <c r="Z195">
        <f t="shared" ref="Z195:Z258" si="46">T195 * U195 * (1 - W195)</f>
        <v>9391.8240000000005</v>
      </c>
      <c r="AA195">
        <v>6013.22</v>
      </c>
      <c r="AB195">
        <v>3378.6</v>
      </c>
      <c r="AC195">
        <f t="shared" ref="AC195:AC258" si="47">Z195-U195</f>
        <v>7435.1940000000004</v>
      </c>
      <c r="AD195" s="6">
        <f t="shared" ref="AD195:AD258" si="48">IF(Z195&lt;&gt;0, AC195 / Z195, 0)</f>
        <v>0.79166666666666663</v>
      </c>
      <c r="AE195" t="s">
        <v>102</v>
      </c>
      <c r="AF195" t="s">
        <v>103</v>
      </c>
      <c r="AG195">
        <f t="shared" ref="AG195:AG258" si="49">MONTH(D195)</f>
        <v>6</v>
      </c>
      <c r="AH195">
        <f t="shared" ref="AH195:AH258" si="50">YEAR(D195)</f>
        <v>2024</v>
      </c>
      <c r="AI195" t="str">
        <f t="shared" ref="AI195:AI258" si="51">IF(OR(X195="INVALID_NEGATIVE_DISCOUNT",X195="INVALID_DISCOUNT_ABOVE_50PCT",F195="ERROR: Ship before order"),"INVALID",IF(OR(L195="Unknown",S195="Unknown",X195="DISCOUNT_MISSING_SET_TO_0"),"WARNING","CLEAN"))</f>
        <v>CLEAN</v>
      </c>
    </row>
    <row r="196" spans="1:35">
      <c r="A196" t="s">
        <v>689</v>
      </c>
      <c r="B196">
        <f t="shared" si="39"/>
        <v>1</v>
      </c>
      <c r="C196" t="str">
        <f>IF(COUNTIF($A$2:A196, A196)&gt;1, "DUPLICATE_FLAGGED_FOR_REVIEW", "")</f>
        <v/>
      </c>
      <c r="D196" s="3">
        <v>45685</v>
      </c>
      <c r="E196" s="2">
        <v>45688</v>
      </c>
      <c r="F196" s="2" t="str">
        <f t="shared" si="40"/>
        <v>OK</v>
      </c>
      <c r="G196" s="4">
        <f t="shared" si="41"/>
        <v>3</v>
      </c>
      <c r="H196" t="s">
        <v>690</v>
      </c>
      <c r="I196" t="s">
        <v>114</v>
      </c>
      <c r="J196" t="s">
        <v>24</v>
      </c>
      <c r="K196" t="s">
        <v>63</v>
      </c>
      <c r="L196" t="str">
        <f t="shared" si="42"/>
        <v>West</v>
      </c>
      <c r="M196" t="s">
        <v>64</v>
      </c>
      <c r="N196" t="s">
        <v>65</v>
      </c>
      <c r="O196" t="s">
        <v>41</v>
      </c>
      <c r="P196" t="s">
        <v>57</v>
      </c>
      <c r="Q196" t="s">
        <v>691</v>
      </c>
      <c r="R196" t="s">
        <v>50</v>
      </c>
      <c r="S196" t="str">
        <f t="shared" si="43"/>
        <v>First Class</v>
      </c>
      <c r="T196">
        <v>9</v>
      </c>
      <c r="U196">
        <v>858.39</v>
      </c>
      <c r="V196">
        <v>0.05</v>
      </c>
      <c r="W196">
        <f t="shared" si="44"/>
        <v>0.05</v>
      </c>
      <c r="X196" t="str">
        <f t="shared" si="45"/>
        <v/>
      </c>
      <c r="Y196">
        <v>7339.23</v>
      </c>
      <c r="Z196">
        <f t="shared" si="46"/>
        <v>7339.2344999999996</v>
      </c>
      <c r="AA196">
        <v>5434.12</v>
      </c>
      <c r="AB196">
        <v>1905.11</v>
      </c>
      <c r="AC196">
        <f t="shared" si="47"/>
        <v>6480.8444999999992</v>
      </c>
      <c r="AD196" s="6">
        <f t="shared" si="48"/>
        <v>0.88304093567251452</v>
      </c>
      <c r="AE196" t="s">
        <v>111</v>
      </c>
      <c r="AF196" t="s">
        <v>103</v>
      </c>
      <c r="AG196">
        <f t="shared" si="49"/>
        <v>1</v>
      </c>
      <c r="AH196">
        <f t="shared" si="50"/>
        <v>2025</v>
      </c>
      <c r="AI196" t="str">
        <f t="shared" si="51"/>
        <v>CLEAN</v>
      </c>
    </row>
    <row r="197" spans="1:35">
      <c r="A197" t="s">
        <v>692</v>
      </c>
      <c r="B197">
        <f t="shared" si="39"/>
        <v>1</v>
      </c>
      <c r="C197" t="str">
        <f>IF(COUNTIF($A$2:A197, A197)&gt;1, "DUPLICATE_FLAGGED_FOR_REVIEW", "")</f>
        <v/>
      </c>
      <c r="D197" s="3">
        <v>45860</v>
      </c>
      <c r="E197" s="2">
        <v>45862</v>
      </c>
      <c r="F197" s="2" t="str">
        <f t="shared" si="40"/>
        <v>OK</v>
      </c>
      <c r="G197" s="4">
        <f t="shared" si="41"/>
        <v>2</v>
      </c>
      <c r="H197" t="s">
        <v>693</v>
      </c>
      <c r="I197" t="s">
        <v>79</v>
      </c>
      <c r="J197" t="s">
        <v>95</v>
      </c>
      <c r="K197" t="s">
        <v>54</v>
      </c>
      <c r="L197" t="str">
        <f t="shared" si="42"/>
        <v>South</v>
      </c>
      <c r="M197" t="s">
        <v>84</v>
      </c>
      <c r="N197" t="s">
        <v>85</v>
      </c>
      <c r="O197" t="s">
        <v>41</v>
      </c>
      <c r="P197" t="s">
        <v>57</v>
      </c>
      <c r="Q197" t="s">
        <v>694</v>
      </c>
      <c r="R197" t="s">
        <v>44</v>
      </c>
      <c r="S197" t="str">
        <f t="shared" si="43"/>
        <v>Same Day</v>
      </c>
      <c r="T197">
        <v>5</v>
      </c>
      <c r="U197">
        <v>1922.83</v>
      </c>
      <c r="V197">
        <v>0</v>
      </c>
      <c r="W197">
        <f t="shared" si="44"/>
        <v>0</v>
      </c>
      <c r="X197" t="str">
        <f t="shared" si="45"/>
        <v/>
      </c>
      <c r="Y197">
        <v>9614.15</v>
      </c>
      <c r="Z197">
        <f t="shared" si="46"/>
        <v>9614.15</v>
      </c>
      <c r="AA197">
        <v>7576.84</v>
      </c>
      <c r="AB197">
        <v>2037.31</v>
      </c>
      <c r="AC197">
        <f t="shared" si="47"/>
        <v>7691.32</v>
      </c>
      <c r="AD197" s="6">
        <f t="shared" si="48"/>
        <v>0.8</v>
      </c>
      <c r="AE197" t="s">
        <v>32</v>
      </c>
      <c r="AF197" t="s">
        <v>33</v>
      </c>
      <c r="AG197">
        <f t="shared" si="49"/>
        <v>7</v>
      </c>
      <c r="AH197">
        <f t="shared" si="50"/>
        <v>2025</v>
      </c>
      <c r="AI197" t="str">
        <f t="shared" si="51"/>
        <v>CLEAN</v>
      </c>
    </row>
    <row r="198" spans="1:35">
      <c r="A198" t="s">
        <v>695</v>
      </c>
      <c r="B198">
        <f t="shared" si="39"/>
        <v>1</v>
      </c>
      <c r="C198" t="str">
        <f>IF(COUNTIF($A$2:A198, A198)&gt;1, "DUPLICATE_FLAGGED_FOR_REVIEW", "")</f>
        <v/>
      </c>
      <c r="D198" s="3">
        <v>45313</v>
      </c>
      <c r="E198" s="2">
        <v>45316</v>
      </c>
      <c r="F198" s="2" t="str">
        <f t="shared" si="40"/>
        <v>OK</v>
      </c>
      <c r="G198" s="4">
        <f t="shared" si="41"/>
        <v>3</v>
      </c>
      <c r="H198" t="s">
        <v>696</v>
      </c>
      <c r="I198" t="s">
        <v>264</v>
      </c>
      <c r="J198" t="s">
        <v>95</v>
      </c>
      <c r="K198" t="s">
        <v>25</v>
      </c>
      <c r="L198" t="str">
        <f t="shared" si="42"/>
        <v>North</v>
      </c>
      <c r="M198" t="s">
        <v>136</v>
      </c>
      <c r="N198" t="s">
        <v>137</v>
      </c>
      <c r="O198" t="s">
        <v>28</v>
      </c>
      <c r="P198" t="s">
        <v>124</v>
      </c>
      <c r="Q198" t="s">
        <v>697</v>
      </c>
      <c r="R198" t="s">
        <v>50</v>
      </c>
      <c r="S198" t="str">
        <f t="shared" si="43"/>
        <v>First Class</v>
      </c>
      <c r="T198">
        <v>3</v>
      </c>
      <c r="U198">
        <v>1212.03</v>
      </c>
      <c r="V198">
        <v>0.1</v>
      </c>
      <c r="W198">
        <f t="shared" si="44"/>
        <v>0.1</v>
      </c>
      <c r="X198" t="str">
        <f t="shared" si="45"/>
        <v/>
      </c>
      <c r="Y198">
        <v>3272.48</v>
      </c>
      <c r="Z198">
        <f t="shared" si="46"/>
        <v>3272.4810000000002</v>
      </c>
      <c r="AA198">
        <v>2517.44</v>
      </c>
      <c r="AB198">
        <v>755.04</v>
      </c>
      <c r="AC198">
        <f t="shared" si="47"/>
        <v>2060.451</v>
      </c>
      <c r="AD198" s="6">
        <f t="shared" si="48"/>
        <v>0.62962962962962954</v>
      </c>
      <c r="AE198" t="s">
        <v>32</v>
      </c>
      <c r="AF198" t="s">
        <v>33</v>
      </c>
      <c r="AG198">
        <f t="shared" si="49"/>
        <v>1</v>
      </c>
      <c r="AH198">
        <f t="shared" si="50"/>
        <v>2024</v>
      </c>
      <c r="AI198" t="str">
        <f t="shared" si="51"/>
        <v>CLEAN</v>
      </c>
    </row>
    <row r="199" spans="1:35">
      <c r="A199" t="s">
        <v>698</v>
      </c>
      <c r="B199">
        <f t="shared" si="39"/>
        <v>1</v>
      </c>
      <c r="C199" t="str">
        <f>IF(COUNTIF($A$2:A199, A199)&gt;1, "DUPLICATE_FLAGGED_FOR_REVIEW", "")</f>
        <v/>
      </c>
      <c r="D199" s="3">
        <v>45747</v>
      </c>
      <c r="E199" s="2">
        <v>45754</v>
      </c>
      <c r="F199" s="2" t="str">
        <f t="shared" si="40"/>
        <v>OK</v>
      </c>
      <c r="G199" s="4">
        <f t="shared" si="41"/>
        <v>7</v>
      </c>
      <c r="H199" t="s">
        <v>390</v>
      </c>
      <c r="I199" t="s">
        <v>118</v>
      </c>
      <c r="J199" t="s">
        <v>37</v>
      </c>
      <c r="K199" t="s">
        <v>38</v>
      </c>
      <c r="L199" t="str">
        <f t="shared" si="42"/>
        <v>East</v>
      </c>
      <c r="M199" t="s">
        <v>145</v>
      </c>
      <c r="N199" t="s">
        <v>146</v>
      </c>
      <c r="O199" t="s">
        <v>28</v>
      </c>
      <c r="P199" t="s">
        <v>124</v>
      </c>
      <c r="Q199" t="s">
        <v>699</v>
      </c>
      <c r="R199" t="s">
        <v>31</v>
      </c>
      <c r="S199" t="str">
        <f t="shared" si="43"/>
        <v>Second Class</v>
      </c>
      <c r="T199">
        <v>5</v>
      </c>
      <c r="U199">
        <v>4096.4399999999996</v>
      </c>
      <c r="V199">
        <v>0.15</v>
      </c>
      <c r="W199">
        <f t="shared" si="44"/>
        <v>0.15</v>
      </c>
      <c r="X199" t="str">
        <f t="shared" si="45"/>
        <v/>
      </c>
      <c r="Y199">
        <v>17409.87</v>
      </c>
      <c r="Z199">
        <f t="shared" si="46"/>
        <v>17409.869999999995</v>
      </c>
      <c r="AA199">
        <v>14076.25</v>
      </c>
      <c r="AB199">
        <v>3333.62</v>
      </c>
      <c r="AC199">
        <f t="shared" si="47"/>
        <v>13313.429999999997</v>
      </c>
      <c r="AD199" s="6">
        <f t="shared" si="48"/>
        <v>0.76470588235294124</v>
      </c>
      <c r="AE199" t="s">
        <v>32</v>
      </c>
      <c r="AF199" t="s">
        <v>33</v>
      </c>
      <c r="AG199">
        <f t="shared" si="49"/>
        <v>3</v>
      </c>
      <c r="AH199">
        <f t="shared" si="50"/>
        <v>2025</v>
      </c>
      <c r="AI199" t="str">
        <f t="shared" si="51"/>
        <v>CLEAN</v>
      </c>
    </row>
    <row r="200" spans="1:35">
      <c r="A200" t="s">
        <v>700</v>
      </c>
      <c r="B200">
        <f t="shared" si="39"/>
        <v>1</v>
      </c>
      <c r="C200" t="str">
        <f>IF(COUNTIF($A$2:A200, A200)&gt;1, "DUPLICATE_FLAGGED_FOR_REVIEW", "")</f>
        <v/>
      </c>
      <c r="D200" s="3">
        <v>45448</v>
      </c>
      <c r="E200" s="2">
        <v>45449</v>
      </c>
      <c r="F200" s="2" t="str">
        <f t="shared" si="40"/>
        <v>OK</v>
      </c>
      <c r="G200" s="4">
        <f t="shared" si="41"/>
        <v>1</v>
      </c>
      <c r="H200" t="s">
        <v>701</v>
      </c>
      <c r="I200" t="s">
        <v>132</v>
      </c>
      <c r="J200" t="s">
        <v>24</v>
      </c>
      <c r="K200" t="s">
        <v>63</v>
      </c>
      <c r="L200" t="str">
        <f t="shared" si="42"/>
        <v>West</v>
      </c>
      <c r="M200" t="s">
        <v>180</v>
      </c>
      <c r="N200" t="s">
        <v>181</v>
      </c>
      <c r="O200" t="s">
        <v>28</v>
      </c>
      <c r="P200" t="s">
        <v>48</v>
      </c>
      <c r="Q200" t="s">
        <v>702</v>
      </c>
      <c r="R200" t="s">
        <v>31</v>
      </c>
      <c r="S200" t="str">
        <f t="shared" si="43"/>
        <v>Second Class</v>
      </c>
      <c r="T200">
        <v>1</v>
      </c>
      <c r="U200">
        <v>1184.58</v>
      </c>
      <c r="V200">
        <v>0.05</v>
      </c>
      <c r="W200">
        <f t="shared" si="44"/>
        <v>0.05</v>
      </c>
      <c r="X200" t="str">
        <f t="shared" si="45"/>
        <v/>
      </c>
      <c r="Y200">
        <v>1125.3499999999999</v>
      </c>
      <c r="Z200">
        <f t="shared" si="46"/>
        <v>1125.3509999999999</v>
      </c>
      <c r="AA200">
        <v>676.97</v>
      </c>
      <c r="AB200">
        <v>448.38</v>
      </c>
      <c r="AC200">
        <f t="shared" si="47"/>
        <v>-59.229000000000042</v>
      </c>
      <c r="AD200" s="6">
        <f t="shared" si="48"/>
        <v>-5.2631578947368467E-2</v>
      </c>
      <c r="AE200" t="s">
        <v>155</v>
      </c>
      <c r="AF200" t="s">
        <v>68</v>
      </c>
      <c r="AG200">
        <f t="shared" si="49"/>
        <v>6</v>
      </c>
      <c r="AH200">
        <f t="shared" si="50"/>
        <v>2024</v>
      </c>
      <c r="AI200" t="str">
        <f t="shared" si="51"/>
        <v>CLEAN</v>
      </c>
    </row>
    <row r="201" spans="1:35">
      <c r="A201" t="s">
        <v>703</v>
      </c>
      <c r="B201">
        <f t="shared" si="39"/>
        <v>1</v>
      </c>
      <c r="C201" t="str">
        <f>IF(COUNTIF($A$2:A201, A201)&gt;1, "DUPLICATE_FLAGGED_FOR_REVIEW", "")</f>
        <v/>
      </c>
      <c r="D201" s="3">
        <v>45629</v>
      </c>
      <c r="E201" s="2">
        <v>45363</v>
      </c>
      <c r="F201" s="2" t="str">
        <f t="shared" si="40"/>
        <v>ERROR: Ship before order</v>
      </c>
      <c r="G201" s="4">
        <f t="shared" si="41"/>
        <v>-266</v>
      </c>
      <c r="H201" t="s">
        <v>704</v>
      </c>
      <c r="I201" t="s">
        <v>118</v>
      </c>
      <c r="J201" t="s">
        <v>95</v>
      </c>
      <c r="K201" t="s">
        <v>38</v>
      </c>
      <c r="L201" t="str">
        <f t="shared" si="42"/>
        <v>East</v>
      </c>
      <c r="M201" t="s">
        <v>145</v>
      </c>
      <c r="N201" t="s">
        <v>146</v>
      </c>
      <c r="O201" t="s">
        <v>74</v>
      </c>
      <c r="P201" t="s">
        <v>274</v>
      </c>
      <c r="Q201" t="s">
        <v>705</v>
      </c>
      <c r="R201" t="s">
        <v>2760</v>
      </c>
      <c r="S201" t="str">
        <f t="shared" si="43"/>
        <v>Unknown</v>
      </c>
      <c r="T201">
        <v>6</v>
      </c>
      <c r="U201">
        <v>2185.58</v>
      </c>
      <c r="V201">
        <v>0.25</v>
      </c>
      <c r="W201">
        <f t="shared" si="44"/>
        <v>0.25</v>
      </c>
      <c r="X201" t="str">
        <f t="shared" si="45"/>
        <v/>
      </c>
      <c r="Y201">
        <v>9835.11</v>
      </c>
      <c r="Z201">
        <f t="shared" si="46"/>
        <v>9835.11</v>
      </c>
      <c r="AA201">
        <v>5437.64</v>
      </c>
      <c r="AB201">
        <v>4397.47</v>
      </c>
      <c r="AC201">
        <f t="shared" si="47"/>
        <v>7649.5300000000007</v>
      </c>
      <c r="AD201" s="6">
        <f t="shared" si="48"/>
        <v>0.77777777777777779</v>
      </c>
      <c r="AE201" t="s">
        <v>32</v>
      </c>
      <c r="AF201" t="s">
        <v>33</v>
      </c>
      <c r="AG201">
        <f t="shared" si="49"/>
        <v>12</v>
      </c>
      <c r="AH201">
        <f t="shared" si="50"/>
        <v>2024</v>
      </c>
      <c r="AI201" t="str">
        <f t="shared" si="51"/>
        <v>INVALID</v>
      </c>
    </row>
    <row r="202" spans="1:35">
      <c r="A202" t="s">
        <v>706</v>
      </c>
      <c r="B202">
        <f t="shared" si="39"/>
        <v>1</v>
      </c>
      <c r="C202" t="str">
        <f>IF(COUNTIF($A$2:A202, A202)&gt;1, "DUPLICATE_FLAGGED_FOR_REVIEW", "")</f>
        <v/>
      </c>
      <c r="D202" s="3">
        <v>45835</v>
      </c>
      <c r="E202" s="2">
        <v>45843</v>
      </c>
      <c r="F202" s="2" t="str">
        <f t="shared" si="40"/>
        <v>OK</v>
      </c>
      <c r="G202" s="4">
        <f t="shared" si="41"/>
        <v>8</v>
      </c>
      <c r="H202" t="s">
        <v>707</v>
      </c>
      <c r="I202" t="s">
        <v>114</v>
      </c>
      <c r="J202" t="s">
        <v>37</v>
      </c>
      <c r="K202" t="s">
        <v>25</v>
      </c>
      <c r="L202" t="str">
        <f t="shared" si="42"/>
        <v>North</v>
      </c>
      <c r="M202" t="s">
        <v>26</v>
      </c>
      <c r="N202" t="s">
        <v>27</v>
      </c>
      <c r="O202" t="s">
        <v>74</v>
      </c>
      <c r="P202" t="s">
        <v>80</v>
      </c>
      <c r="Q202" t="s">
        <v>708</v>
      </c>
      <c r="R202" t="s">
        <v>50</v>
      </c>
      <c r="S202" t="str">
        <f t="shared" si="43"/>
        <v>First Class</v>
      </c>
      <c r="T202">
        <v>5</v>
      </c>
      <c r="U202">
        <v>2868.44</v>
      </c>
      <c r="V202">
        <v>0.1</v>
      </c>
      <c r="W202">
        <f t="shared" si="44"/>
        <v>0.1</v>
      </c>
      <c r="X202" t="str">
        <f t="shared" si="45"/>
        <v/>
      </c>
      <c r="Y202">
        <v>12907.98</v>
      </c>
      <c r="Z202">
        <f t="shared" si="46"/>
        <v>12907.980000000001</v>
      </c>
      <c r="AA202">
        <v>9197.08</v>
      </c>
      <c r="AB202">
        <v>3710.9</v>
      </c>
      <c r="AC202">
        <f t="shared" si="47"/>
        <v>10039.540000000001</v>
      </c>
      <c r="AD202" s="6">
        <f t="shared" si="48"/>
        <v>0.77777777777777779</v>
      </c>
      <c r="AE202" t="s">
        <v>111</v>
      </c>
      <c r="AF202" t="s">
        <v>68</v>
      </c>
      <c r="AG202">
        <f t="shared" si="49"/>
        <v>6</v>
      </c>
      <c r="AH202">
        <f t="shared" si="50"/>
        <v>2025</v>
      </c>
      <c r="AI202" t="str">
        <f t="shared" si="51"/>
        <v>CLEAN</v>
      </c>
    </row>
    <row r="203" spans="1:35">
      <c r="A203" t="s">
        <v>709</v>
      </c>
      <c r="B203">
        <f t="shared" si="39"/>
        <v>1</v>
      </c>
      <c r="C203" t="str">
        <f>IF(COUNTIF($A$2:A203, A203)&gt;1, "DUPLICATE_FLAGGED_FOR_REVIEW", "")</f>
        <v/>
      </c>
      <c r="D203" s="3">
        <v>45864</v>
      </c>
      <c r="E203" s="2">
        <v>45724</v>
      </c>
      <c r="F203" s="2" t="str">
        <f t="shared" si="40"/>
        <v>ERROR: Ship before order</v>
      </c>
      <c r="G203" s="4">
        <f t="shared" si="41"/>
        <v>-140</v>
      </c>
      <c r="H203" t="s">
        <v>710</v>
      </c>
      <c r="I203" t="s">
        <v>71</v>
      </c>
      <c r="J203" t="s">
        <v>24</v>
      </c>
      <c r="K203" t="s">
        <v>63</v>
      </c>
      <c r="L203" t="str">
        <f t="shared" si="42"/>
        <v>West</v>
      </c>
      <c r="M203" t="s">
        <v>72</v>
      </c>
      <c r="N203" t="s">
        <v>73</v>
      </c>
      <c r="O203" t="s">
        <v>28</v>
      </c>
      <c r="P203" t="s">
        <v>91</v>
      </c>
      <c r="Q203" t="s">
        <v>711</v>
      </c>
      <c r="R203" t="s">
        <v>31</v>
      </c>
      <c r="S203" t="str">
        <f t="shared" si="43"/>
        <v>Second Class</v>
      </c>
      <c r="T203">
        <v>2</v>
      </c>
      <c r="U203">
        <v>2503.5300000000002</v>
      </c>
      <c r="V203">
        <v>-0.16</v>
      </c>
      <c r="W203">
        <f t="shared" si="44"/>
        <v>-0.16</v>
      </c>
      <c r="X203" t="str">
        <f t="shared" si="45"/>
        <v>INVALID_NEGATIVE_DISCOUNT</v>
      </c>
      <c r="Y203">
        <v>4756.71</v>
      </c>
      <c r="Z203">
        <f t="shared" si="46"/>
        <v>5808.1895999999997</v>
      </c>
      <c r="AA203">
        <v>2954.86</v>
      </c>
      <c r="AB203">
        <v>1801.85</v>
      </c>
      <c r="AC203">
        <f t="shared" si="47"/>
        <v>3304.6595999999995</v>
      </c>
      <c r="AD203" s="6">
        <f t="shared" si="48"/>
        <v>0.56896551724137923</v>
      </c>
      <c r="AE203" t="s">
        <v>102</v>
      </c>
      <c r="AF203" t="s">
        <v>68</v>
      </c>
      <c r="AG203">
        <f t="shared" si="49"/>
        <v>7</v>
      </c>
      <c r="AH203">
        <f t="shared" si="50"/>
        <v>2025</v>
      </c>
      <c r="AI203" t="str">
        <f t="shared" si="51"/>
        <v>INVALID</v>
      </c>
    </row>
    <row r="204" spans="1:35">
      <c r="A204" t="s">
        <v>712</v>
      </c>
      <c r="B204">
        <f t="shared" si="39"/>
        <v>1</v>
      </c>
      <c r="C204" t="str">
        <f>IF(COUNTIF($A$2:A204, A204)&gt;1, "DUPLICATE_FLAGGED_FOR_REVIEW", "")</f>
        <v/>
      </c>
      <c r="D204" s="3">
        <v>45744</v>
      </c>
      <c r="E204" s="2">
        <v>45744</v>
      </c>
      <c r="F204" s="2" t="str">
        <f t="shared" si="40"/>
        <v>OK</v>
      </c>
      <c r="G204" s="4">
        <f t="shared" si="41"/>
        <v>0</v>
      </c>
      <c r="H204" t="s">
        <v>713</v>
      </c>
      <c r="I204" t="s">
        <v>132</v>
      </c>
      <c r="J204" t="s">
        <v>90</v>
      </c>
      <c r="K204" t="s">
        <v>63</v>
      </c>
      <c r="L204" t="str">
        <f t="shared" si="42"/>
        <v>West</v>
      </c>
      <c r="M204" t="s">
        <v>190</v>
      </c>
      <c r="N204" t="s">
        <v>191</v>
      </c>
      <c r="O204" t="s">
        <v>74</v>
      </c>
      <c r="P204" t="s">
        <v>75</v>
      </c>
      <c r="Q204" t="s">
        <v>714</v>
      </c>
      <c r="R204" t="s">
        <v>59</v>
      </c>
      <c r="S204" t="str">
        <f t="shared" si="43"/>
        <v>Standard Class</v>
      </c>
      <c r="T204">
        <v>8</v>
      </c>
      <c r="U204">
        <v>1740.94</v>
      </c>
      <c r="V204">
        <v>0.05</v>
      </c>
      <c r="W204">
        <f t="shared" si="44"/>
        <v>0.05</v>
      </c>
      <c r="X204" t="str">
        <f t="shared" si="45"/>
        <v/>
      </c>
      <c r="Y204">
        <v>13231.14</v>
      </c>
      <c r="Z204">
        <f t="shared" si="46"/>
        <v>13231.144</v>
      </c>
      <c r="AA204">
        <v>11290.06</v>
      </c>
      <c r="AB204">
        <v>1941.08</v>
      </c>
      <c r="AC204">
        <f t="shared" si="47"/>
        <v>11490.204</v>
      </c>
      <c r="AD204" s="6">
        <f t="shared" si="48"/>
        <v>0.86842105263157887</v>
      </c>
      <c r="AE204" t="s">
        <v>32</v>
      </c>
      <c r="AF204" t="s">
        <v>33</v>
      </c>
      <c r="AG204">
        <f t="shared" si="49"/>
        <v>3</v>
      </c>
      <c r="AH204">
        <f t="shared" si="50"/>
        <v>2025</v>
      </c>
      <c r="AI204" t="str">
        <f t="shared" si="51"/>
        <v>CLEAN</v>
      </c>
    </row>
    <row r="205" spans="1:35">
      <c r="A205" t="s">
        <v>715</v>
      </c>
      <c r="B205">
        <f t="shared" si="39"/>
        <v>1</v>
      </c>
      <c r="C205" t="str">
        <f>IF(COUNTIF($A$2:A205, A205)&gt;1, "DUPLICATE_FLAGGED_FOR_REVIEW", "")</f>
        <v/>
      </c>
      <c r="D205" s="3">
        <v>45379</v>
      </c>
      <c r="E205" s="2">
        <v>45381</v>
      </c>
      <c r="F205" s="2" t="str">
        <f t="shared" si="40"/>
        <v>OK</v>
      </c>
      <c r="G205" s="4">
        <f t="shared" si="41"/>
        <v>2</v>
      </c>
      <c r="H205" t="s">
        <v>716</v>
      </c>
      <c r="I205" t="s">
        <v>132</v>
      </c>
      <c r="J205" t="s">
        <v>90</v>
      </c>
      <c r="K205" t="s">
        <v>63</v>
      </c>
      <c r="L205" t="str">
        <f t="shared" si="42"/>
        <v>West</v>
      </c>
      <c r="M205" t="s">
        <v>26</v>
      </c>
      <c r="N205" t="s">
        <v>109</v>
      </c>
      <c r="O205" t="s">
        <v>74</v>
      </c>
      <c r="P205" t="s">
        <v>75</v>
      </c>
      <c r="Q205" t="s">
        <v>717</v>
      </c>
      <c r="R205" t="s">
        <v>31</v>
      </c>
      <c r="S205" t="str">
        <f t="shared" si="43"/>
        <v>Second Class</v>
      </c>
      <c r="T205">
        <v>1</v>
      </c>
      <c r="U205">
        <v>570.34</v>
      </c>
      <c r="V205">
        <v>0.15</v>
      </c>
      <c r="W205">
        <f t="shared" si="44"/>
        <v>0.15</v>
      </c>
      <c r="X205" t="str">
        <f t="shared" si="45"/>
        <v/>
      </c>
      <c r="Y205">
        <v>484.79</v>
      </c>
      <c r="Z205">
        <f t="shared" si="46"/>
        <v>484.78899999999999</v>
      </c>
      <c r="AA205">
        <v>333.54</v>
      </c>
      <c r="AB205">
        <v>151.25</v>
      </c>
      <c r="AC205">
        <f t="shared" si="47"/>
        <v>-85.551000000000045</v>
      </c>
      <c r="AD205" s="6">
        <f t="shared" si="48"/>
        <v>-0.17647058823529421</v>
      </c>
      <c r="AE205" t="s">
        <v>32</v>
      </c>
      <c r="AF205" t="s">
        <v>33</v>
      </c>
      <c r="AG205">
        <f t="shared" si="49"/>
        <v>3</v>
      </c>
      <c r="AH205">
        <f t="shared" si="50"/>
        <v>2024</v>
      </c>
      <c r="AI205" t="str">
        <f t="shared" si="51"/>
        <v>CLEAN</v>
      </c>
    </row>
    <row r="206" spans="1:35">
      <c r="A206" t="s">
        <v>718</v>
      </c>
      <c r="B206">
        <f t="shared" si="39"/>
        <v>1</v>
      </c>
      <c r="C206" t="str">
        <f>IF(COUNTIF($A$2:A206, A206)&gt;1, "DUPLICATE_FLAGGED_FOR_REVIEW", "")</f>
        <v/>
      </c>
      <c r="D206" s="3">
        <v>45858</v>
      </c>
      <c r="E206" s="2">
        <v>45861</v>
      </c>
      <c r="F206" s="2" t="str">
        <f t="shared" si="40"/>
        <v>OK</v>
      </c>
      <c r="G206" s="4">
        <f t="shared" si="41"/>
        <v>3</v>
      </c>
      <c r="H206" t="s">
        <v>719</v>
      </c>
      <c r="I206" t="s">
        <v>36</v>
      </c>
      <c r="J206" t="s">
        <v>95</v>
      </c>
      <c r="K206" t="s">
        <v>38</v>
      </c>
      <c r="L206" t="str">
        <f t="shared" si="42"/>
        <v>East</v>
      </c>
      <c r="M206" t="s">
        <v>99</v>
      </c>
      <c r="N206" t="s">
        <v>100</v>
      </c>
      <c r="O206" t="s">
        <v>41</v>
      </c>
      <c r="P206" t="s">
        <v>42</v>
      </c>
      <c r="Q206" t="s">
        <v>720</v>
      </c>
      <c r="R206" t="s">
        <v>31</v>
      </c>
      <c r="S206" t="str">
        <f t="shared" si="43"/>
        <v>Second Class</v>
      </c>
      <c r="T206">
        <v>4</v>
      </c>
      <c r="U206">
        <v>477.69</v>
      </c>
      <c r="V206">
        <v>0.15</v>
      </c>
      <c r="W206">
        <f t="shared" si="44"/>
        <v>0.15</v>
      </c>
      <c r="X206" t="str">
        <f t="shared" si="45"/>
        <v/>
      </c>
      <c r="Y206">
        <v>1624.15</v>
      </c>
      <c r="Z206">
        <f t="shared" si="46"/>
        <v>1624.146</v>
      </c>
      <c r="AA206">
        <v>1217.99</v>
      </c>
      <c r="AB206">
        <v>406.16</v>
      </c>
      <c r="AC206">
        <f t="shared" si="47"/>
        <v>1146.4559999999999</v>
      </c>
      <c r="AD206" s="6">
        <f t="shared" si="48"/>
        <v>0.70588235294117641</v>
      </c>
      <c r="AE206" t="s">
        <v>32</v>
      </c>
      <c r="AF206" t="s">
        <v>33</v>
      </c>
      <c r="AG206">
        <f t="shared" si="49"/>
        <v>7</v>
      </c>
      <c r="AH206">
        <f t="shared" si="50"/>
        <v>2025</v>
      </c>
      <c r="AI206" t="str">
        <f t="shared" si="51"/>
        <v>CLEAN</v>
      </c>
    </row>
    <row r="207" spans="1:35">
      <c r="A207" t="s">
        <v>721</v>
      </c>
      <c r="B207">
        <f t="shared" si="39"/>
        <v>1</v>
      </c>
      <c r="C207" t="str">
        <f>IF(COUNTIF($A$2:A207, A207)&gt;1, "DUPLICATE_FLAGGED_FOR_REVIEW", "")</f>
        <v/>
      </c>
      <c r="D207" s="3">
        <v>45768</v>
      </c>
      <c r="E207" s="2">
        <v>45773</v>
      </c>
      <c r="F207" s="2" t="str">
        <f t="shared" si="40"/>
        <v>OK</v>
      </c>
      <c r="G207" s="4">
        <f t="shared" si="41"/>
        <v>5</v>
      </c>
      <c r="H207" t="s">
        <v>722</v>
      </c>
      <c r="I207" t="s">
        <v>62</v>
      </c>
      <c r="J207" t="s">
        <v>24</v>
      </c>
      <c r="K207" t="s">
        <v>63</v>
      </c>
      <c r="L207" t="str">
        <f t="shared" si="42"/>
        <v>West</v>
      </c>
      <c r="M207" t="s">
        <v>64</v>
      </c>
      <c r="N207" t="s">
        <v>65</v>
      </c>
      <c r="O207" t="s">
        <v>28</v>
      </c>
      <c r="P207" t="s">
        <v>91</v>
      </c>
      <c r="Q207" t="s">
        <v>723</v>
      </c>
      <c r="R207" t="s">
        <v>44</v>
      </c>
      <c r="S207" t="str">
        <f t="shared" si="43"/>
        <v>Same Day</v>
      </c>
      <c r="T207">
        <v>6</v>
      </c>
      <c r="U207">
        <v>873.59</v>
      </c>
      <c r="V207">
        <v>0.2</v>
      </c>
      <c r="W207">
        <f t="shared" si="44"/>
        <v>0.2</v>
      </c>
      <c r="X207" t="str">
        <f t="shared" si="45"/>
        <v/>
      </c>
      <c r="Y207">
        <v>4193.2299999999996</v>
      </c>
      <c r="Z207">
        <f t="shared" si="46"/>
        <v>4193.232</v>
      </c>
      <c r="AA207">
        <v>3329.99</v>
      </c>
      <c r="AB207">
        <v>863.24</v>
      </c>
      <c r="AC207">
        <f t="shared" si="47"/>
        <v>3319.6419999999998</v>
      </c>
      <c r="AD207" s="6">
        <f t="shared" si="48"/>
        <v>0.79166666666666663</v>
      </c>
      <c r="AE207" t="s">
        <v>32</v>
      </c>
      <c r="AF207" t="s">
        <v>33</v>
      </c>
      <c r="AG207">
        <f t="shared" si="49"/>
        <v>4</v>
      </c>
      <c r="AH207">
        <f t="shared" si="50"/>
        <v>2025</v>
      </c>
      <c r="AI207" t="str">
        <f t="shared" si="51"/>
        <v>CLEAN</v>
      </c>
    </row>
    <row r="208" spans="1:35">
      <c r="A208" t="s">
        <v>724</v>
      </c>
      <c r="B208">
        <f t="shared" si="39"/>
        <v>1</v>
      </c>
      <c r="C208" t="str">
        <f>IF(COUNTIF($A$2:A208, A208)&gt;1, "DUPLICATE_FLAGGED_FOR_REVIEW", "")</f>
        <v/>
      </c>
      <c r="D208" s="3">
        <v>45795</v>
      </c>
      <c r="E208" s="2">
        <v>45797</v>
      </c>
      <c r="F208" s="2" t="str">
        <f t="shared" si="40"/>
        <v>OK</v>
      </c>
      <c r="G208" s="4">
        <f t="shared" si="41"/>
        <v>2</v>
      </c>
      <c r="H208" t="s">
        <v>725</v>
      </c>
      <c r="I208" t="s">
        <v>162</v>
      </c>
      <c r="J208" t="s">
        <v>37</v>
      </c>
      <c r="K208" t="s">
        <v>25</v>
      </c>
      <c r="L208" t="str">
        <f t="shared" si="42"/>
        <v>North</v>
      </c>
      <c r="M208" t="s">
        <v>136</v>
      </c>
      <c r="N208" t="s">
        <v>137</v>
      </c>
      <c r="O208" t="s">
        <v>41</v>
      </c>
      <c r="P208" t="s">
        <v>57</v>
      </c>
      <c r="Q208" t="s">
        <v>726</v>
      </c>
      <c r="R208" t="s">
        <v>50</v>
      </c>
      <c r="S208" t="str">
        <f t="shared" si="43"/>
        <v>First Class</v>
      </c>
      <c r="T208">
        <v>2</v>
      </c>
      <c r="U208">
        <v>215.13</v>
      </c>
      <c r="V208">
        <v>0</v>
      </c>
      <c r="W208">
        <f t="shared" si="44"/>
        <v>0</v>
      </c>
      <c r="X208" t="str">
        <f t="shared" si="45"/>
        <v/>
      </c>
      <c r="Y208">
        <v>430.26</v>
      </c>
      <c r="Z208">
        <f t="shared" si="46"/>
        <v>430.26</v>
      </c>
      <c r="AA208">
        <v>286.38</v>
      </c>
      <c r="AB208">
        <v>143.88</v>
      </c>
      <c r="AC208">
        <f t="shared" si="47"/>
        <v>215.13</v>
      </c>
      <c r="AD208" s="6">
        <f t="shared" si="48"/>
        <v>0.5</v>
      </c>
      <c r="AE208" t="s">
        <v>32</v>
      </c>
      <c r="AF208" t="s">
        <v>33</v>
      </c>
      <c r="AG208">
        <f t="shared" si="49"/>
        <v>5</v>
      </c>
      <c r="AH208">
        <f t="shared" si="50"/>
        <v>2025</v>
      </c>
      <c r="AI208" t="str">
        <f t="shared" si="51"/>
        <v>CLEAN</v>
      </c>
    </row>
    <row r="209" spans="1:35">
      <c r="A209" t="s">
        <v>727</v>
      </c>
      <c r="B209">
        <f t="shared" si="39"/>
        <v>1</v>
      </c>
      <c r="C209" t="str">
        <f>IF(COUNTIF($A$2:A209, A209)&gt;1, "DUPLICATE_FLAGGED_FOR_REVIEW", "")</f>
        <v/>
      </c>
      <c r="D209" s="3">
        <v>45483</v>
      </c>
      <c r="E209" s="2">
        <v>45489</v>
      </c>
      <c r="F209" s="2" t="str">
        <f t="shared" si="40"/>
        <v>OK</v>
      </c>
      <c r="G209" s="4">
        <f t="shared" si="41"/>
        <v>6</v>
      </c>
      <c r="H209" t="s">
        <v>728</v>
      </c>
      <c r="I209" t="s">
        <v>128</v>
      </c>
      <c r="J209" t="s">
        <v>95</v>
      </c>
      <c r="K209" t="s">
        <v>63</v>
      </c>
      <c r="L209" t="str">
        <f t="shared" si="42"/>
        <v>West</v>
      </c>
      <c r="M209" t="s">
        <v>190</v>
      </c>
      <c r="N209" t="s">
        <v>191</v>
      </c>
      <c r="O209" t="s">
        <v>41</v>
      </c>
      <c r="P209" t="s">
        <v>158</v>
      </c>
      <c r="Q209" t="s">
        <v>729</v>
      </c>
      <c r="R209" t="s">
        <v>31</v>
      </c>
      <c r="S209" t="str">
        <f t="shared" si="43"/>
        <v>Second Class</v>
      </c>
      <c r="T209">
        <v>2</v>
      </c>
      <c r="U209">
        <v>1095.45</v>
      </c>
      <c r="V209">
        <v>0.2</v>
      </c>
      <c r="W209">
        <f t="shared" si="44"/>
        <v>0.2</v>
      </c>
      <c r="X209" t="str">
        <f t="shared" si="45"/>
        <v/>
      </c>
      <c r="Y209">
        <v>1752.72</v>
      </c>
      <c r="Z209">
        <f t="shared" si="46"/>
        <v>1752.7200000000003</v>
      </c>
      <c r="AA209">
        <v>996.41</v>
      </c>
      <c r="AB209">
        <v>756.31</v>
      </c>
      <c r="AC209">
        <f t="shared" si="47"/>
        <v>657.27000000000021</v>
      </c>
      <c r="AD209" s="6">
        <f t="shared" si="48"/>
        <v>0.37500000000000006</v>
      </c>
      <c r="AE209" t="s">
        <v>32</v>
      </c>
      <c r="AF209" t="s">
        <v>33</v>
      </c>
      <c r="AG209">
        <f t="shared" si="49"/>
        <v>7</v>
      </c>
      <c r="AH209">
        <f t="shared" si="50"/>
        <v>2024</v>
      </c>
      <c r="AI209" t="str">
        <f t="shared" si="51"/>
        <v>CLEAN</v>
      </c>
    </row>
    <row r="210" spans="1:35">
      <c r="A210" t="s">
        <v>730</v>
      </c>
      <c r="B210">
        <f t="shared" si="39"/>
        <v>1</v>
      </c>
      <c r="C210" t="str">
        <f>IF(COUNTIF($A$2:A210, A210)&gt;1, "DUPLICATE_FLAGGED_FOR_REVIEW", "")</f>
        <v/>
      </c>
      <c r="D210" s="3">
        <v>45837</v>
      </c>
      <c r="E210" s="2">
        <v>45843</v>
      </c>
      <c r="F210" s="2" t="str">
        <f t="shared" si="40"/>
        <v>OK</v>
      </c>
      <c r="G210" s="4">
        <f t="shared" si="41"/>
        <v>6</v>
      </c>
      <c r="H210" t="s">
        <v>731</v>
      </c>
      <c r="I210" t="s">
        <v>162</v>
      </c>
      <c r="J210" t="s">
        <v>24</v>
      </c>
      <c r="K210" t="s">
        <v>25</v>
      </c>
      <c r="L210" t="str">
        <f t="shared" si="42"/>
        <v>North</v>
      </c>
      <c r="M210" t="s">
        <v>122</v>
      </c>
      <c r="N210" t="s">
        <v>123</v>
      </c>
      <c r="O210" t="s">
        <v>41</v>
      </c>
      <c r="P210" t="s">
        <v>66</v>
      </c>
      <c r="Q210" t="s">
        <v>732</v>
      </c>
      <c r="R210" t="s">
        <v>44</v>
      </c>
      <c r="S210" t="str">
        <f t="shared" si="43"/>
        <v>Same Day</v>
      </c>
      <c r="T210">
        <v>1</v>
      </c>
      <c r="U210">
        <v>999.83</v>
      </c>
      <c r="V210">
        <v>0</v>
      </c>
      <c r="W210">
        <f t="shared" si="44"/>
        <v>0</v>
      </c>
      <c r="X210" t="str">
        <f t="shared" si="45"/>
        <v/>
      </c>
      <c r="Y210">
        <v>999.83</v>
      </c>
      <c r="Z210">
        <f t="shared" si="46"/>
        <v>999.83</v>
      </c>
      <c r="AA210">
        <v>634.91</v>
      </c>
      <c r="AB210">
        <v>364.92</v>
      </c>
      <c r="AC210">
        <f t="shared" si="47"/>
        <v>0</v>
      </c>
      <c r="AD210" s="6">
        <f t="shared" si="48"/>
        <v>0</v>
      </c>
      <c r="AE210" t="s">
        <v>32</v>
      </c>
      <c r="AF210" t="s">
        <v>33</v>
      </c>
      <c r="AG210">
        <f t="shared" si="49"/>
        <v>6</v>
      </c>
      <c r="AH210">
        <f t="shared" si="50"/>
        <v>2025</v>
      </c>
      <c r="AI210" t="str">
        <f t="shared" si="51"/>
        <v>CLEAN</v>
      </c>
    </row>
    <row r="211" spans="1:35">
      <c r="A211" t="s">
        <v>733</v>
      </c>
      <c r="B211">
        <f t="shared" si="39"/>
        <v>1</v>
      </c>
      <c r="C211" t="str">
        <f>IF(COUNTIF($A$2:A211, A211)&gt;1, "DUPLICATE_FLAGGED_FOR_REVIEW", "")</f>
        <v/>
      </c>
      <c r="D211" s="3">
        <v>45882</v>
      </c>
      <c r="E211" s="2">
        <v>45883</v>
      </c>
      <c r="F211" s="2" t="str">
        <f t="shared" si="40"/>
        <v>OK</v>
      </c>
      <c r="G211" s="4">
        <f t="shared" si="41"/>
        <v>1</v>
      </c>
      <c r="H211" t="s">
        <v>734</v>
      </c>
      <c r="I211" t="s">
        <v>141</v>
      </c>
      <c r="J211" t="s">
        <v>37</v>
      </c>
      <c r="K211" t="s">
        <v>54</v>
      </c>
      <c r="L211" t="str">
        <f t="shared" si="42"/>
        <v>South</v>
      </c>
      <c r="M211" t="s">
        <v>84</v>
      </c>
      <c r="N211" t="s">
        <v>85</v>
      </c>
      <c r="O211" t="s">
        <v>28</v>
      </c>
      <c r="P211" t="s">
        <v>29</v>
      </c>
      <c r="Q211" t="s">
        <v>735</v>
      </c>
      <c r="R211" t="s">
        <v>50</v>
      </c>
      <c r="S211" t="str">
        <f t="shared" si="43"/>
        <v>First Class</v>
      </c>
      <c r="T211">
        <v>9</v>
      </c>
      <c r="U211">
        <v>864.98</v>
      </c>
      <c r="V211">
        <v>0.1</v>
      </c>
      <c r="W211">
        <f t="shared" si="44"/>
        <v>0.1</v>
      </c>
      <c r="X211" t="str">
        <f t="shared" si="45"/>
        <v/>
      </c>
      <c r="Y211">
        <v>7006.34</v>
      </c>
      <c r="Z211">
        <f t="shared" si="46"/>
        <v>7006.3379999999997</v>
      </c>
      <c r="AA211">
        <v>4640.88</v>
      </c>
      <c r="AB211">
        <v>2365.46</v>
      </c>
      <c r="AC211">
        <f t="shared" si="47"/>
        <v>6141.3580000000002</v>
      </c>
      <c r="AD211" s="6">
        <f t="shared" si="48"/>
        <v>0.87654320987654322</v>
      </c>
      <c r="AE211" t="s">
        <v>32</v>
      </c>
      <c r="AF211" t="s">
        <v>33</v>
      </c>
      <c r="AG211">
        <f t="shared" si="49"/>
        <v>8</v>
      </c>
      <c r="AH211">
        <f t="shared" si="50"/>
        <v>2025</v>
      </c>
      <c r="AI211" t="str">
        <f t="shared" si="51"/>
        <v>CLEAN</v>
      </c>
    </row>
    <row r="212" spans="1:35">
      <c r="A212" t="s">
        <v>736</v>
      </c>
      <c r="B212">
        <f t="shared" si="39"/>
        <v>1</v>
      </c>
      <c r="C212" t="str">
        <f>IF(COUNTIF($A$2:A212, A212)&gt;1, "DUPLICATE_FLAGGED_FOR_REVIEW", "")</f>
        <v/>
      </c>
      <c r="D212" s="3">
        <v>45366</v>
      </c>
      <c r="E212" s="2">
        <v>45369</v>
      </c>
      <c r="F212" s="2" t="str">
        <f t="shared" si="40"/>
        <v>OK</v>
      </c>
      <c r="G212" s="4">
        <f t="shared" si="41"/>
        <v>3</v>
      </c>
      <c r="H212" t="s">
        <v>737</v>
      </c>
      <c r="I212" t="s">
        <v>264</v>
      </c>
      <c r="J212" t="s">
        <v>95</v>
      </c>
      <c r="K212" t="s">
        <v>54</v>
      </c>
      <c r="L212" t="str">
        <f t="shared" si="42"/>
        <v>South</v>
      </c>
      <c r="M212" t="s">
        <v>175</v>
      </c>
      <c r="N212" t="s">
        <v>176</v>
      </c>
      <c r="O212" t="s">
        <v>74</v>
      </c>
      <c r="P212" t="s">
        <v>274</v>
      </c>
      <c r="Q212" t="s">
        <v>738</v>
      </c>
      <c r="R212" t="s">
        <v>31</v>
      </c>
      <c r="S212" t="str">
        <f t="shared" si="43"/>
        <v>Second Class</v>
      </c>
      <c r="T212">
        <v>1</v>
      </c>
      <c r="U212">
        <v>4131.3599999999997</v>
      </c>
      <c r="V212">
        <v>0</v>
      </c>
      <c r="W212">
        <f t="shared" si="44"/>
        <v>0</v>
      </c>
      <c r="X212" t="str">
        <f t="shared" si="45"/>
        <v/>
      </c>
      <c r="Y212">
        <v>4131.3599999999997</v>
      </c>
      <c r="Z212">
        <f t="shared" si="46"/>
        <v>4131.3599999999997</v>
      </c>
      <c r="AA212">
        <v>2937.07</v>
      </c>
      <c r="AB212">
        <v>1194.29</v>
      </c>
      <c r="AC212">
        <f t="shared" si="47"/>
        <v>0</v>
      </c>
      <c r="AD212" s="6">
        <f t="shared" si="48"/>
        <v>0</v>
      </c>
      <c r="AE212" t="s">
        <v>155</v>
      </c>
      <c r="AF212" t="s">
        <v>103</v>
      </c>
      <c r="AG212">
        <f t="shared" si="49"/>
        <v>3</v>
      </c>
      <c r="AH212">
        <f t="shared" si="50"/>
        <v>2024</v>
      </c>
      <c r="AI212" t="str">
        <f t="shared" si="51"/>
        <v>CLEAN</v>
      </c>
    </row>
    <row r="213" spans="1:35">
      <c r="A213" t="s">
        <v>739</v>
      </c>
      <c r="B213">
        <f t="shared" si="39"/>
        <v>1</v>
      </c>
      <c r="C213" t="str">
        <f>IF(COUNTIF($A$2:A213, A213)&gt;1, "DUPLICATE_FLAGGED_FOR_REVIEW", "")</f>
        <v/>
      </c>
      <c r="D213" s="3">
        <v>45428</v>
      </c>
      <c r="E213" s="2">
        <v>45429</v>
      </c>
      <c r="F213" s="2" t="str">
        <f t="shared" si="40"/>
        <v>OK</v>
      </c>
      <c r="G213" s="4">
        <f t="shared" si="41"/>
        <v>1</v>
      </c>
      <c r="H213" t="s">
        <v>740</v>
      </c>
      <c r="I213" t="s">
        <v>141</v>
      </c>
      <c r="J213" t="s">
        <v>90</v>
      </c>
      <c r="K213" t="s">
        <v>38</v>
      </c>
      <c r="L213" t="str">
        <f t="shared" si="42"/>
        <v>East</v>
      </c>
      <c r="M213" t="s">
        <v>99</v>
      </c>
      <c r="N213" t="s">
        <v>100</v>
      </c>
      <c r="O213" t="s">
        <v>74</v>
      </c>
      <c r="P213" t="s">
        <v>80</v>
      </c>
      <c r="Q213" t="s">
        <v>741</v>
      </c>
      <c r="R213" t="s">
        <v>31</v>
      </c>
      <c r="S213" t="str">
        <f t="shared" si="43"/>
        <v>Second Class</v>
      </c>
      <c r="T213">
        <v>8</v>
      </c>
      <c r="U213">
        <v>4221.95</v>
      </c>
      <c r="V213">
        <v>0.2</v>
      </c>
      <c r="W213">
        <f t="shared" si="44"/>
        <v>0.2</v>
      </c>
      <c r="X213" t="str">
        <f t="shared" si="45"/>
        <v/>
      </c>
      <c r="Y213">
        <v>27020.48</v>
      </c>
      <c r="Z213">
        <f t="shared" si="46"/>
        <v>27020.48</v>
      </c>
      <c r="AA213">
        <v>22885.24</v>
      </c>
      <c r="AB213">
        <v>4135.24</v>
      </c>
      <c r="AC213">
        <f t="shared" si="47"/>
        <v>22798.53</v>
      </c>
      <c r="AD213" s="6">
        <f t="shared" si="48"/>
        <v>0.84375</v>
      </c>
      <c r="AE213" t="s">
        <v>32</v>
      </c>
      <c r="AF213" t="s">
        <v>33</v>
      </c>
      <c r="AG213">
        <f t="shared" si="49"/>
        <v>5</v>
      </c>
      <c r="AH213">
        <f t="shared" si="50"/>
        <v>2024</v>
      </c>
      <c r="AI213" t="str">
        <f t="shared" si="51"/>
        <v>CLEAN</v>
      </c>
    </row>
    <row r="214" spans="1:35">
      <c r="A214" t="s">
        <v>742</v>
      </c>
      <c r="B214">
        <f t="shared" si="39"/>
        <v>1</v>
      </c>
      <c r="C214" t="str">
        <f>IF(COUNTIF($A$2:A214, A214)&gt;1, "DUPLICATE_FLAGGED_FOR_REVIEW", "")</f>
        <v/>
      </c>
      <c r="D214" s="3">
        <v>45556</v>
      </c>
      <c r="E214" s="2">
        <v>45556</v>
      </c>
      <c r="F214" s="2" t="str">
        <f t="shared" si="40"/>
        <v>OK</v>
      </c>
      <c r="G214" s="4">
        <f t="shared" si="41"/>
        <v>0</v>
      </c>
      <c r="H214" t="s">
        <v>743</v>
      </c>
      <c r="I214" t="s">
        <v>62</v>
      </c>
      <c r="J214" t="s">
        <v>37</v>
      </c>
      <c r="K214" t="s">
        <v>38</v>
      </c>
      <c r="L214" t="str">
        <f t="shared" si="42"/>
        <v>East</v>
      </c>
      <c r="M214" t="s">
        <v>39</v>
      </c>
      <c r="N214" t="s">
        <v>40</v>
      </c>
      <c r="O214" t="s">
        <v>74</v>
      </c>
      <c r="P214" t="s">
        <v>171</v>
      </c>
      <c r="Q214" t="s">
        <v>744</v>
      </c>
      <c r="R214" t="s">
        <v>44</v>
      </c>
      <c r="S214" t="str">
        <f t="shared" si="43"/>
        <v>Same Day</v>
      </c>
      <c r="T214">
        <v>2</v>
      </c>
      <c r="U214">
        <v>214.5</v>
      </c>
      <c r="V214">
        <v>0.15</v>
      </c>
      <c r="W214">
        <f t="shared" si="44"/>
        <v>0.15</v>
      </c>
      <c r="X214" t="str">
        <f t="shared" si="45"/>
        <v/>
      </c>
      <c r="Y214">
        <v>364.65</v>
      </c>
      <c r="Z214">
        <f t="shared" si="46"/>
        <v>364.65</v>
      </c>
      <c r="AA214">
        <v>280.74</v>
      </c>
      <c r="AB214">
        <v>83.91</v>
      </c>
      <c r="AC214">
        <f t="shared" si="47"/>
        <v>150.14999999999998</v>
      </c>
      <c r="AD214" s="6">
        <f t="shared" si="48"/>
        <v>0.41176470588235292</v>
      </c>
      <c r="AE214" t="s">
        <v>32</v>
      </c>
      <c r="AF214" t="s">
        <v>33</v>
      </c>
      <c r="AG214">
        <f t="shared" si="49"/>
        <v>9</v>
      </c>
      <c r="AH214">
        <f t="shared" si="50"/>
        <v>2024</v>
      </c>
      <c r="AI214" t="str">
        <f t="shared" si="51"/>
        <v>CLEAN</v>
      </c>
    </row>
    <row r="215" spans="1:35">
      <c r="A215" t="s">
        <v>745</v>
      </c>
      <c r="B215">
        <f t="shared" si="39"/>
        <v>1</v>
      </c>
      <c r="C215" t="str">
        <f>IF(COUNTIF($A$2:A215, A215)&gt;1, "DUPLICATE_FLAGGED_FOR_REVIEW", "")</f>
        <v/>
      </c>
      <c r="D215" s="3">
        <v>45427</v>
      </c>
      <c r="E215" s="2">
        <v>45433</v>
      </c>
      <c r="F215" s="2" t="str">
        <f t="shared" si="40"/>
        <v>OK</v>
      </c>
      <c r="G215" s="4">
        <f t="shared" si="41"/>
        <v>6</v>
      </c>
      <c r="H215" t="s">
        <v>746</v>
      </c>
      <c r="I215" t="s">
        <v>47</v>
      </c>
      <c r="J215" t="s">
        <v>37</v>
      </c>
      <c r="K215" t="s">
        <v>38</v>
      </c>
      <c r="L215" t="str">
        <f t="shared" si="42"/>
        <v>East</v>
      </c>
      <c r="M215" t="s">
        <v>145</v>
      </c>
      <c r="N215" t="s">
        <v>146</v>
      </c>
      <c r="O215" t="s">
        <v>74</v>
      </c>
      <c r="P215" t="s">
        <v>75</v>
      </c>
      <c r="Q215" t="s">
        <v>747</v>
      </c>
      <c r="R215" t="s">
        <v>31</v>
      </c>
      <c r="S215" t="str">
        <f t="shared" si="43"/>
        <v>Second Class</v>
      </c>
      <c r="T215">
        <v>4</v>
      </c>
      <c r="U215">
        <v>4332.7299999999996</v>
      </c>
      <c r="V215">
        <v>0.2</v>
      </c>
      <c r="W215">
        <f t="shared" si="44"/>
        <v>0.2</v>
      </c>
      <c r="X215" t="str">
        <f t="shared" si="45"/>
        <v/>
      </c>
      <c r="Y215">
        <v>13864.74</v>
      </c>
      <c r="Z215">
        <f t="shared" si="46"/>
        <v>13864.735999999999</v>
      </c>
      <c r="AA215">
        <v>11294.06</v>
      </c>
      <c r="AB215">
        <v>2570.6799999999998</v>
      </c>
      <c r="AC215">
        <f t="shared" si="47"/>
        <v>9532.0059999999994</v>
      </c>
      <c r="AD215" s="6">
        <f t="shared" si="48"/>
        <v>0.6875</v>
      </c>
      <c r="AE215" t="s">
        <v>32</v>
      </c>
      <c r="AF215" t="s">
        <v>33</v>
      </c>
      <c r="AG215">
        <f t="shared" si="49"/>
        <v>5</v>
      </c>
      <c r="AH215">
        <f t="shared" si="50"/>
        <v>2024</v>
      </c>
      <c r="AI215" t="str">
        <f t="shared" si="51"/>
        <v>CLEAN</v>
      </c>
    </row>
    <row r="216" spans="1:35">
      <c r="A216" t="s">
        <v>748</v>
      </c>
      <c r="B216">
        <f t="shared" si="39"/>
        <v>1</v>
      </c>
      <c r="C216" t="str">
        <f>IF(COUNTIF($A$2:A216, A216)&gt;1, "DUPLICATE_FLAGGED_FOR_REVIEW", "")</f>
        <v/>
      </c>
      <c r="D216" s="3">
        <v>45368</v>
      </c>
      <c r="E216" s="2">
        <v>45374</v>
      </c>
      <c r="F216" s="2" t="str">
        <f t="shared" si="40"/>
        <v>OK</v>
      </c>
      <c r="G216" s="4">
        <f t="shared" si="41"/>
        <v>6</v>
      </c>
      <c r="H216" t="s">
        <v>749</v>
      </c>
      <c r="I216" t="s">
        <v>118</v>
      </c>
      <c r="J216" t="s">
        <v>24</v>
      </c>
      <c r="K216" t="s">
        <v>25</v>
      </c>
      <c r="L216" t="str">
        <f t="shared" si="42"/>
        <v>North</v>
      </c>
      <c r="M216" t="s">
        <v>236</v>
      </c>
      <c r="N216" t="s">
        <v>237</v>
      </c>
      <c r="O216" t="s">
        <v>74</v>
      </c>
      <c r="P216" t="s">
        <v>75</v>
      </c>
      <c r="Q216" t="s">
        <v>750</v>
      </c>
      <c r="R216" t="s">
        <v>50</v>
      </c>
      <c r="S216" t="str">
        <f t="shared" si="43"/>
        <v>First Class</v>
      </c>
      <c r="T216">
        <v>3</v>
      </c>
      <c r="U216">
        <v>248.18</v>
      </c>
      <c r="V216">
        <v>0.05</v>
      </c>
      <c r="W216">
        <f t="shared" si="44"/>
        <v>0.05</v>
      </c>
      <c r="X216" t="str">
        <f t="shared" si="45"/>
        <v/>
      </c>
      <c r="Y216">
        <v>707.31</v>
      </c>
      <c r="Z216">
        <f t="shared" si="46"/>
        <v>707.31299999999999</v>
      </c>
      <c r="AA216">
        <v>569</v>
      </c>
      <c r="AB216">
        <v>138.31</v>
      </c>
      <c r="AC216">
        <f t="shared" si="47"/>
        <v>459.13299999999998</v>
      </c>
      <c r="AD216" s="6">
        <f t="shared" si="48"/>
        <v>0.64912280701754388</v>
      </c>
      <c r="AE216" t="s">
        <v>32</v>
      </c>
      <c r="AF216" t="s">
        <v>33</v>
      </c>
      <c r="AG216">
        <f t="shared" si="49"/>
        <v>3</v>
      </c>
      <c r="AH216">
        <f t="shared" si="50"/>
        <v>2024</v>
      </c>
      <c r="AI216" t="str">
        <f t="shared" si="51"/>
        <v>CLEAN</v>
      </c>
    </row>
    <row r="217" spans="1:35">
      <c r="A217" t="s">
        <v>751</v>
      </c>
      <c r="B217">
        <f t="shared" si="39"/>
        <v>1</v>
      </c>
      <c r="C217" t="str">
        <f>IF(COUNTIF($A$2:A217, A217)&gt;1, "DUPLICATE_FLAGGED_FOR_REVIEW", "")</f>
        <v/>
      </c>
      <c r="D217" s="3">
        <v>45352</v>
      </c>
      <c r="E217" s="2">
        <v>45355</v>
      </c>
      <c r="F217" s="2" t="str">
        <f t="shared" si="40"/>
        <v>OK</v>
      </c>
      <c r="G217" s="4">
        <f t="shared" si="41"/>
        <v>3</v>
      </c>
      <c r="H217" t="s">
        <v>752</v>
      </c>
      <c r="I217" t="s">
        <v>36</v>
      </c>
      <c r="J217" t="s">
        <v>24</v>
      </c>
      <c r="K217" t="s">
        <v>63</v>
      </c>
      <c r="L217" t="str">
        <f t="shared" si="42"/>
        <v>West</v>
      </c>
      <c r="M217" t="s">
        <v>72</v>
      </c>
      <c r="N217" t="s">
        <v>73</v>
      </c>
      <c r="O217" t="s">
        <v>28</v>
      </c>
      <c r="P217" t="s">
        <v>29</v>
      </c>
      <c r="Q217" t="s">
        <v>753</v>
      </c>
      <c r="R217" t="s">
        <v>50</v>
      </c>
      <c r="S217" t="str">
        <f t="shared" si="43"/>
        <v>First Class</v>
      </c>
      <c r="T217">
        <v>8</v>
      </c>
      <c r="U217">
        <v>3202.4</v>
      </c>
      <c r="V217">
        <v>0.25</v>
      </c>
      <c r="W217">
        <f t="shared" si="44"/>
        <v>0.25</v>
      </c>
      <c r="X217" t="str">
        <f t="shared" si="45"/>
        <v/>
      </c>
      <c r="Y217">
        <v>19214.400000000001</v>
      </c>
      <c r="Z217">
        <f t="shared" si="46"/>
        <v>19214.400000000001</v>
      </c>
      <c r="AA217">
        <v>10916.01</v>
      </c>
      <c r="AB217">
        <v>8298.39</v>
      </c>
      <c r="AC217">
        <f t="shared" si="47"/>
        <v>16012.000000000002</v>
      </c>
      <c r="AD217" s="6">
        <f t="shared" si="48"/>
        <v>0.83333333333333337</v>
      </c>
      <c r="AE217" t="s">
        <v>32</v>
      </c>
      <c r="AF217" t="s">
        <v>33</v>
      </c>
      <c r="AG217">
        <f t="shared" si="49"/>
        <v>3</v>
      </c>
      <c r="AH217">
        <f t="shared" si="50"/>
        <v>2024</v>
      </c>
      <c r="AI217" t="str">
        <f t="shared" si="51"/>
        <v>CLEAN</v>
      </c>
    </row>
    <row r="218" spans="1:35">
      <c r="A218" t="s">
        <v>754</v>
      </c>
      <c r="B218">
        <f t="shared" si="39"/>
        <v>1</v>
      </c>
      <c r="C218" t="str">
        <f>IF(COUNTIF($A$2:A218, A218)&gt;1, "DUPLICATE_FLAGGED_FOR_REVIEW", "")</f>
        <v/>
      </c>
      <c r="D218" s="3">
        <v>45934</v>
      </c>
      <c r="E218" s="2">
        <v>45762</v>
      </c>
      <c r="F218" s="2" t="str">
        <f t="shared" si="40"/>
        <v>ERROR: Ship before order</v>
      </c>
      <c r="G218" s="4">
        <f t="shared" si="41"/>
        <v>-172</v>
      </c>
      <c r="H218" t="s">
        <v>755</v>
      </c>
      <c r="I218" t="s">
        <v>47</v>
      </c>
      <c r="J218" t="s">
        <v>24</v>
      </c>
      <c r="K218" t="s">
        <v>63</v>
      </c>
      <c r="L218" t="str">
        <f t="shared" si="42"/>
        <v>West</v>
      </c>
      <c r="M218" t="s">
        <v>180</v>
      </c>
      <c r="N218" t="s">
        <v>181</v>
      </c>
      <c r="O218" t="s">
        <v>41</v>
      </c>
      <c r="P218" t="s">
        <v>42</v>
      </c>
      <c r="Q218" t="s">
        <v>756</v>
      </c>
      <c r="R218" t="s">
        <v>59</v>
      </c>
      <c r="S218" t="str">
        <f t="shared" si="43"/>
        <v>Standard Class</v>
      </c>
      <c r="T218">
        <v>8</v>
      </c>
      <c r="U218">
        <v>1839.87</v>
      </c>
      <c r="V218">
        <v>0.25</v>
      </c>
      <c r="W218">
        <f t="shared" si="44"/>
        <v>0.25</v>
      </c>
      <c r="X218" t="str">
        <f t="shared" si="45"/>
        <v/>
      </c>
      <c r="Y218">
        <v>11039.22</v>
      </c>
      <c r="Z218">
        <f t="shared" si="46"/>
        <v>11039.22</v>
      </c>
      <c r="AA218">
        <v>7642.91</v>
      </c>
      <c r="AB218">
        <v>3396.31</v>
      </c>
      <c r="AC218">
        <f t="shared" si="47"/>
        <v>9199.3499999999985</v>
      </c>
      <c r="AD218" s="6">
        <f t="shared" si="48"/>
        <v>0.83333333333333326</v>
      </c>
      <c r="AE218" t="s">
        <v>155</v>
      </c>
      <c r="AF218" t="s">
        <v>103</v>
      </c>
      <c r="AG218">
        <f t="shared" si="49"/>
        <v>10</v>
      </c>
      <c r="AH218">
        <f t="shared" si="50"/>
        <v>2025</v>
      </c>
      <c r="AI218" t="str">
        <f t="shared" si="51"/>
        <v>INVALID</v>
      </c>
    </row>
    <row r="219" spans="1:35">
      <c r="A219" t="s">
        <v>757</v>
      </c>
      <c r="B219">
        <f t="shared" si="39"/>
        <v>1</v>
      </c>
      <c r="C219" t="str">
        <f>IF(COUNTIF($A$2:A219, A219)&gt;1, "DUPLICATE_FLAGGED_FOR_REVIEW", "")</f>
        <v/>
      </c>
      <c r="D219" s="3">
        <v>45748</v>
      </c>
      <c r="E219" s="2">
        <v>45873</v>
      </c>
      <c r="F219" s="2" t="str">
        <f t="shared" si="40"/>
        <v>OK</v>
      </c>
      <c r="G219" s="4">
        <f t="shared" si="41"/>
        <v>125</v>
      </c>
      <c r="H219" t="s">
        <v>758</v>
      </c>
      <c r="I219" t="s">
        <v>89</v>
      </c>
      <c r="J219" t="s">
        <v>24</v>
      </c>
      <c r="K219" t="s">
        <v>38</v>
      </c>
      <c r="L219" t="str">
        <f t="shared" si="42"/>
        <v>East</v>
      </c>
      <c r="M219" t="s">
        <v>39</v>
      </c>
      <c r="N219" t="s">
        <v>40</v>
      </c>
      <c r="O219" t="s">
        <v>41</v>
      </c>
      <c r="P219" t="s">
        <v>158</v>
      </c>
      <c r="Q219" t="s">
        <v>759</v>
      </c>
      <c r="R219" t="s">
        <v>31</v>
      </c>
      <c r="S219" t="str">
        <f t="shared" si="43"/>
        <v>Second Class</v>
      </c>
      <c r="T219">
        <v>5</v>
      </c>
      <c r="U219">
        <v>1021.28</v>
      </c>
      <c r="V219">
        <v>0.1</v>
      </c>
      <c r="W219">
        <f t="shared" si="44"/>
        <v>0.1</v>
      </c>
      <c r="X219" t="str">
        <f t="shared" si="45"/>
        <v/>
      </c>
      <c r="Y219">
        <v>4595.76</v>
      </c>
      <c r="Z219">
        <f t="shared" si="46"/>
        <v>4595.76</v>
      </c>
      <c r="AA219">
        <v>3396.8</v>
      </c>
      <c r="AB219">
        <v>1198.96</v>
      </c>
      <c r="AC219">
        <f t="shared" si="47"/>
        <v>3574.4800000000005</v>
      </c>
      <c r="AD219" s="6">
        <f t="shared" si="48"/>
        <v>0.77777777777777779</v>
      </c>
      <c r="AE219" t="s">
        <v>102</v>
      </c>
      <c r="AF219" t="s">
        <v>68</v>
      </c>
      <c r="AG219">
        <f t="shared" si="49"/>
        <v>4</v>
      </c>
      <c r="AH219">
        <f t="shared" si="50"/>
        <v>2025</v>
      </c>
      <c r="AI219" t="str">
        <f t="shared" si="51"/>
        <v>CLEAN</v>
      </c>
    </row>
    <row r="220" spans="1:35">
      <c r="A220" t="s">
        <v>760</v>
      </c>
      <c r="B220">
        <f t="shared" si="39"/>
        <v>1</v>
      </c>
      <c r="C220" t="str">
        <f>IF(COUNTIF($A$2:A220, A220)&gt;1, "DUPLICATE_FLAGGED_FOR_REVIEW", "")</f>
        <v/>
      </c>
      <c r="D220" s="3">
        <v>45714</v>
      </c>
      <c r="E220" s="2">
        <v>45715</v>
      </c>
      <c r="F220" s="2" t="str">
        <f t="shared" si="40"/>
        <v>OK</v>
      </c>
      <c r="G220" s="4">
        <f t="shared" si="41"/>
        <v>1</v>
      </c>
      <c r="H220" t="s">
        <v>761</v>
      </c>
      <c r="I220" t="s">
        <v>114</v>
      </c>
      <c r="J220" t="s">
        <v>90</v>
      </c>
      <c r="K220" t="s">
        <v>63</v>
      </c>
      <c r="L220" t="str">
        <f t="shared" si="42"/>
        <v>West</v>
      </c>
      <c r="M220" t="s">
        <v>180</v>
      </c>
      <c r="N220" t="s">
        <v>181</v>
      </c>
      <c r="O220" t="s">
        <v>41</v>
      </c>
      <c r="P220" t="s">
        <v>158</v>
      </c>
      <c r="Q220" t="s">
        <v>762</v>
      </c>
      <c r="R220" t="s">
        <v>59</v>
      </c>
      <c r="S220" t="str">
        <f t="shared" si="43"/>
        <v>Standard Class</v>
      </c>
      <c r="T220">
        <v>5</v>
      </c>
      <c r="U220">
        <v>258.27999999999997</v>
      </c>
      <c r="V220">
        <v>0</v>
      </c>
      <c r="W220">
        <f t="shared" si="44"/>
        <v>0</v>
      </c>
      <c r="X220" t="str">
        <f t="shared" si="45"/>
        <v/>
      </c>
      <c r="Y220">
        <v>1291.4000000000001</v>
      </c>
      <c r="Z220">
        <f t="shared" si="46"/>
        <v>1291.3999999999999</v>
      </c>
      <c r="AA220">
        <v>756.93</v>
      </c>
      <c r="AB220">
        <v>534.47</v>
      </c>
      <c r="AC220">
        <f t="shared" si="47"/>
        <v>1033.1199999999999</v>
      </c>
      <c r="AD220" s="6">
        <f t="shared" si="48"/>
        <v>0.8</v>
      </c>
      <c r="AE220" t="s">
        <v>32</v>
      </c>
      <c r="AF220" t="s">
        <v>33</v>
      </c>
      <c r="AG220">
        <f t="shared" si="49"/>
        <v>2</v>
      </c>
      <c r="AH220">
        <f t="shared" si="50"/>
        <v>2025</v>
      </c>
      <c r="AI220" t="str">
        <f t="shared" si="51"/>
        <v>CLEAN</v>
      </c>
    </row>
    <row r="221" spans="1:35">
      <c r="A221" t="s">
        <v>763</v>
      </c>
      <c r="B221">
        <f t="shared" si="39"/>
        <v>1</v>
      </c>
      <c r="C221" t="str">
        <f>IF(COUNTIF($A$2:A221, A221)&gt;1, "DUPLICATE_FLAGGED_FOR_REVIEW", "")</f>
        <v/>
      </c>
      <c r="D221" s="3">
        <v>45461</v>
      </c>
      <c r="E221" s="2">
        <v>45462</v>
      </c>
      <c r="F221" s="2" t="str">
        <f t="shared" si="40"/>
        <v>OK</v>
      </c>
      <c r="G221" s="4">
        <f t="shared" si="41"/>
        <v>1</v>
      </c>
      <c r="H221" t="s">
        <v>764</v>
      </c>
      <c r="I221" t="s">
        <v>118</v>
      </c>
      <c r="J221" t="s">
        <v>24</v>
      </c>
      <c r="K221" t="s">
        <v>38</v>
      </c>
      <c r="L221" t="str">
        <f t="shared" si="42"/>
        <v>East</v>
      </c>
      <c r="M221" t="s">
        <v>145</v>
      </c>
      <c r="N221" t="s">
        <v>146</v>
      </c>
      <c r="O221" t="s">
        <v>74</v>
      </c>
      <c r="P221" t="s">
        <v>274</v>
      </c>
      <c r="Q221" t="s">
        <v>765</v>
      </c>
      <c r="R221" t="s">
        <v>50</v>
      </c>
      <c r="S221" t="str">
        <f t="shared" si="43"/>
        <v>First Class</v>
      </c>
      <c r="T221">
        <v>2</v>
      </c>
      <c r="U221">
        <v>121.49</v>
      </c>
      <c r="V221">
        <v>0.85</v>
      </c>
      <c r="W221">
        <f t="shared" si="44"/>
        <v>0.85</v>
      </c>
      <c r="X221" t="str">
        <f t="shared" si="45"/>
        <v>INVALID_DISCOUNT_ABOVE_50PCT</v>
      </c>
      <c r="Y221">
        <v>242.98</v>
      </c>
      <c r="Z221">
        <f t="shared" si="46"/>
        <v>36.447000000000003</v>
      </c>
      <c r="AA221">
        <v>161.41999999999999</v>
      </c>
      <c r="AB221">
        <v>81.56</v>
      </c>
      <c r="AC221">
        <f t="shared" si="47"/>
        <v>-85.042999999999992</v>
      </c>
      <c r="AD221" s="6">
        <f t="shared" si="48"/>
        <v>-2.333333333333333</v>
      </c>
      <c r="AE221" t="s">
        <v>32</v>
      </c>
      <c r="AF221" t="s">
        <v>33</v>
      </c>
      <c r="AG221">
        <f t="shared" si="49"/>
        <v>6</v>
      </c>
      <c r="AH221">
        <f t="shared" si="50"/>
        <v>2024</v>
      </c>
      <c r="AI221" t="str">
        <f t="shared" si="51"/>
        <v>INVALID</v>
      </c>
    </row>
    <row r="222" spans="1:35">
      <c r="A222" t="s">
        <v>766</v>
      </c>
      <c r="B222">
        <f t="shared" si="39"/>
        <v>1</v>
      </c>
      <c r="C222" t="str">
        <f>IF(COUNTIF($A$2:A222, A222)&gt;1, "DUPLICATE_FLAGGED_FOR_REVIEW", "")</f>
        <v/>
      </c>
      <c r="D222" s="3">
        <v>45360</v>
      </c>
      <c r="E222" s="2">
        <v>45360</v>
      </c>
      <c r="F222" s="2" t="str">
        <f t="shared" si="40"/>
        <v>OK</v>
      </c>
      <c r="G222" s="4">
        <f t="shared" si="41"/>
        <v>0</v>
      </c>
      <c r="H222" t="s">
        <v>767</v>
      </c>
      <c r="I222" t="s">
        <v>132</v>
      </c>
      <c r="J222" t="s">
        <v>24</v>
      </c>
      <c r="K222" t="s">
        <v>54</v>
      </c>
      <c r="L222" t="str">
        <f t="shared" si="42"/>
        <v>South</v>
      </c>
      <c r="M222" t="s">
        <v>185</v>
      </c>
      <c r="N222" t="s">
        <v>186</v>
      </c>
      <c r="O222" t="s">
        <v>28</v>
      </c>
      <c r="P222" t="s">
        <v>124</v>
      </c>
      <c r="Q222" t="s">
        <v>768</v>
      </c>
      <c r="R222" t="s">
        <v>50</v>
      </c>
      <c r="S222" t="str">
        <f t="shared" si="43"/>
        <v>First Class</v>
      </c>
      <c r="T222">
        <v>4</v>
      </c>
      <c r="U222">
        <v>2810.17</v>
      </c>
      <c r="V222">
        <v>0.15</v>
      </c>
      <c r="W222">
        <f t="shared" si="44"/>
        <v>0.15</v>
      </c>
      <c r="X222" t="str">
        <f t="shared" si="45"/>
        <v/>
      </c>
      <c r="Y222">
        <v>9554.58</v>
      </c>
      <c r="Z222">
        <f t="shared" si="46"/>
        <v>9554.5779999999995</v>
      </c>
      <c r="AA222">
        <v>6068.47</v>
      </c>
      <c r="AB222">
        <v>3486.11</v>
      </c>
      <c r="AC222">
        <f t="shared" si="47"/>
        <v>6744.4079999999994</v>
      </c>
      <c r="AD222" s="6">
        <f t="shared" si="48"/>
        <v>0.70588235294117641</v>
      </c>
      <c r="AE222" t="s">
        <v>102</v>
      </c>
      <c r="AF222" t="s">
        <v>68</v>
      </c>
      <c r="AG222">
        <f t="shared" si="49"/>
        <v>3</v>
      </c>
      <c r="AH222">
        <f t="shared" si="50"/>
        <v>2024</v>
      </c>
      <c r="AI222" t="str">
        <f t="shared" si="51"/>
        <v>CLEAN</v>
      </c>
    </row>
    <row r="223" spans="1:35">
      <c r="A223" t="s">
        <v>769</v>
      </c>
      <c r="B223">
        <f t="shared" si="39"/>
        <v>1</v>
      </c>
      <c r="C223" t="str">
        <f>IF(COUNTIF($A$2:A223, A223)&gt;1, "DUPLICATE_FLAGGED_FOR_REVIEW", "")</f>
        <v/>
      </c>
      <c r="D223" s="3">
        <v>45669</v>
      </c>
      <c r="E223" s="2">
        <v>45672</v>
      </c>
      <c r="F223" s="2" t="str">
        <f t="shared" si="40"/>
        <v>OK</v>
      </c>
      <c r="G223" s="4">
        <f t="shared" si="41"/>
        <v>3</v>
      </c>
      <c r="H223" t="s">
        <v>770</v>
      </c>
      <c r="I223" t="s">
        <v>36</v>
      </c>
      <c r="J223" t="s">
        <v>90</v>
      </c>
      <c r="K223" t="s">
        <v>54</v>
      </c>
      <c r="L223" t="str">
        <f t="shared" si="42"/>
        <v>South</v>
      </c>
      <c r="M223" t="s">
        <v>175</v>
      </c>
      <c r="N223" t="s">
        <v>176</v>
      </c>
      <c r="O223" t="s">
        <v>41</v>
      </c>
      <c r="P223" t="s">
        <v>66</v>
      </c>
      <c r="Q223" t="s">
        <v>771</v>
      </c>
      <c r="R223" t="s">
        <v>44</v>
      </c>
      <c r="S223" t="str">
        <f t="shared" si="43"/>
        <v>Same Day</v>
      </c>
      <c r="T223">
        <v>4</v>
      </c>
      <c r="U223">
        <v>1531.53</v>
      </c>
      <c r="V223">
        <v>0.2</v>
      </c>
      <c r="W223">
        <f t="shared" si="44"/>
        <v>0.2</v>
      </c>
      <c r="X223" t="str">
        <f t="shared" si="45"/>
        <v/>
      </c>
      <c r="Y223">
        <v>4900.8999999999996</v>
      </c>
      <c r="Z223">
        <f t="shared" si="46"/>
        <v>4900.8959999999997</v>
      </c>
      <c r="AA223">
        <v>3552.69</v>
      </c>
      <c r="AB223">
        <v>1348.21</v>
      </c>
      <c r="AC223">
        <f t="shared" si="47"/>
        <v>3369.366</v>
      </c>
      <c r="AD223" s="6">
        <f t="shared" si="48"/>
        <v>0.6875</v>
      </c>
      <c r="AE223" t="s">
        <v>32</v>
      </c>
      <c r="AF223" t="s">
        <v>33</v>
      </c>
      <c r="AG223">
        <f t="shared" si="49"/>
        <v>1</v>
      </c>
      <c r="AH223">
        <f t="shared" si="50"/>
        <v>2025</v>
      </c>
      <c r="AI223" t="str">
        <f t="shared" si="51"/>
        <v>CLEAN</v>
      </c>
    </row>
    <row r="224" spans="1:35">
      <c r="A224" t="s">
        <v>772</v>
      </c>
      <c r="B224">
        <f t="shared" si="39"/>
        <v>1</v>
      </c>
      <c r="C224" t="str">
        <f>IF(COUNTIF($A$2:A224, A224)&gt;1, "DUPLICATE_FLAGGED_FOR_REVIEW", "")</f>
        <v/>
      </c>
      <c r="D224" s="3">
        <v>45776</v>
      </c>
      <c r="E224" s="2">
        <v>45779</v>
      </c>
      <c r="F224" s="2" t="str">
        <f t="shared" si="40"/>
        <v>OK</v>
      </c>
      <c r="G224" s="4">
        <f t="shared" si="41"/>
        <v>3</v>
      </c>
      <c r="H224" t="s">
        <v>773</v>
      </c>
      <c r="I224" t="s">
        <v>71</v>
      </c>
      <c r="J224" t="s">
        <v>37</v>
      </c>
      <c r="K224" t="s">
        <v>63</v>
      </c>
      <c r="L224" t="str">
        <f t="shared" si="42"/>
        <v>West</v>
      </c>
      <c r="M224" t="s">
        <v>190</v>
      </c>
      <c r="N224" t="s">
        <v>191</v>
      </c>
      <c r="O224" t="s">
        <v>28</v>
      </c>
      <c r="P224" t="s">
        <v>124</v>
      </c>
      <c r="Q224" t="s">
        <v>774</v>
      </c>
      <c r="R224" t="s">
        <v>50</v>
      </c>
      <c r="S224" t="str">
        <f t="shared" si="43"/>
        <v>First Class</v>
      </c>
      <c r="T224">
        <v>6</v>
      </c>
      <c r="U224">
        <v>4308.09</v>
      </c>
      <c r="V224">
        <v>0</v>
      </c>
      <c r="W224">
        <f t="shared" si="44"/>
        <v>0</v>
      </c>
      <c r="X224" t="str">
        <f t="shared" si="45"/>
        <v/>
      </c>
      <c r="Y224">
        <v>25848.54</v>
      </c>
      <c r="Z224">
        <f t="shared" si="46"/>
        <v>25848.54</v>
      </c>
      <c r="AA224">
        <v>17729.09</v>
      </c>
      <c r="AB224">
        <v>8119.45</v>
      </c>
      <c r="AC224">
        <f t="shared" si="47"/>
        <v>21540.45</v>
      </c>
      <c r="AD224" s="6">
        <f t="shared" si="48"/>
        <v>0.83333333333333337</v>
      </c>
      <c r="AE224" t="s">
        <v>32</v>
      </c>
      <c r="AF224" t="s">
        <v>33</v>
      </c>
      <c r="AG224">
        <f t="shared" si="49"/>
        <v>4</v>
      </c>
      <c r="AH224">
        <f t="shared" si="50"/>
        <v>2025</v>
      </c>
      <c r="AI224" t="str">
        <f t="shared" si="51"/>
        <v>CLEAN</v>
      </c>
    </row>
    <row r="225" spans="1:35">
      <c r="A225" t="s">
        <v>775</v>
      </c>
      <c r="B225">
        <f t="shared" si="39"/>
        <v>1</v>
      </c>
      <c r="C225" t="str">
        <f>IF(COUNTIF($A$2:A225, A225)&gt;1, "DUPLICATE_FLAGGED_FOR_REVIEW", "")</f>
        <v/>
      </c>
      <c r="D225" s="3">
        <v>45707</v>
      </c>
      <c r="E225" s="2">
        <v>45714</v>
      </c>
      <c r="F225" s="2" t="str">
        <f t="shared" si="40"/>
        <v>OK</v>
      </c>
      <c r="G225" s="4">
        <f t="shared" si="41"/>
        <v>7</v>
      </c>
      <c r="H225" t="s">
        <v>776</v>
      </c>
      <c r="I225" t="s">
        <v>36</v>
      </c>
      <c r="J225" t="s">
        <v>90</v>
      </c>
      <c r="K225" t="s">
        <v>63</v>
      </c>
      <c r="L225" t="str">
        <f t="shared" si="42"/>
        <v>West</v>
      </c>
      <c r="M225" t="s">
        <v>64</v>
      </c>
      <c r="N225" t="s">
        <v>65</v>
      </c>
      <c r="O225" t="s">
        <v>41</v>
      </c>
      <c r="P225" t="s">
        <v>57</v>
      </c>
      <c r="Q225" t="s">
        <v>777</v>
      </c>
      <c r="R225" t="s">
        <v>50</v>
      </c>
      <c r="S225" t="str">
        <f t="shared" si="43"/>
        <v>First Class</v>
      </c>
      <c r="T225">
        <v>3</v>
      </c>
      <c r="U225">
        <v>490.3</v>
      </c>
      <c r="V225">
        <v>0.2</v>
      </c>
      <c r="W225">
        <f t="shared" si="44"/>
        <v>0.2</v>
      </c>
      <c r="X225" t="str">
        <f t="shared" si="45"/>
        <v/>
      </c>
      <c r="Y225">
        <v>1176.72</v>
      </c>
      <c r="Z225">
        <f t="shared" si="46"/>
        <v>1176.72</v>
      </c>
      <c r="AA225">
        <v>654.33000000000004</v>
      </c>
      <c r="AB225">
        <v>522.39</v>
      </c>
      <c r="AC225">
        <f t="shared" si="47"/>
        <v>686.42000000000007</v>
      </c>
      <c r="AD225" s="6">
        <f t="shared" si="48"/>
        <v>0.58333333333333337</v>
      </c>
      <c r="AE225" t="s">
        <v>111</v>
      </c>
      <c r="AF225" t="s">
        <v>103</v>
      </c>
      <c r="AG225">
        <f t="shared" si="49"/>
        <v>2</v>
      </c>
      <c r="AH225">
        <f t="shared" si="50"/>
        <v>2025</v>
      </c>
      <c r="AI225" t="str">
        <f t="shared" si="51"/>
        <v>CLEAN</v>
      </c>
    </row>
    <row r="226" spans="1:35">
      <c r="A226" t="s">
        <v>778</v>
      </c>
      <c r="B226">
        <f t="shared" si="39"/>
        <v>2</v>
      </c>
      <c r="C226" t="str">
        <f>IF(COUNTIF($A$2:A226, A226)&gt;1, "DUPLICATE_FLAGGED_FOR_REVIEW", "")</f>
        <v/>
      </c>
      <c r="D226" s="3">
        <v>45698</v>
      </c>
      <c r="E226" s="2">
        <v>45938</v>
      </c>
      <c r="F226" s="2" t="str">
        <f t="shared" si="40"/>
        <v>OK</v>
      </c>
      <c r="G226" s="4">
        <f t="shared" si="41"/>
        <v>240</v>
      </c>
      <c r="H226" t="s">
        <v>779</v>
      </c>
      <c r="I226" t="s">
        <v>47</v>
      </c>
      <c r="J226" t="s">
        <v>37</v>
      </c>
      <c r="K226" t="s">
        <v>25</v>
      </c>
      <c r="L226" t="str">
        <f t="shared" si="42"/>
        <v>North</v>
      </c>
      <c r="M226" t="s">
        <v>122</v>
      </c>
      <c r="N226" t="s">
        <v>123</v>
      </c>
      <c r="O226" t="s">
        <v>41</v>
      </c>
      <c r="P226" t="s">
        <v>57</v>
      </c>
      <c r="Q226" t="s">
        <v>780</v>
      </c>
      <c r="R226" t="s">
        <v>59</v>
      </c>
      <c r="S226" t="str">
        <f t="shared" si="43"/>
        <v>Standard Class</v>
      </c>
      <c r="T226">
        <v>4</v>
      </c>
      <c r="U226">
        <v>3944.64</v>
      </c>
      <c r="V226">
        <v>0.25</v>
      </c>
      <c r="W226">
        <f t="shared" si="44"/>
        <v>0.25</v>
      </c>
      <c r="X226" t="str">
        <f t="shared" si="45"/>
        <v/>
      </c>
      <c r="Y226">
        <v>11833.92</v>
      </c>
      <c r="Z226">
        <f t="shared" si="46"/>
        <v>11833.92</v>
      </c>
      <c r="AA226">
        <v>6682.92</v>
      </c>
      <c r="AB226">
        <v>5151</v>
      </c>
      <c r="AC226">
        <f t="shared" si="47"/>
        <v>7889.2800000000007</v>
      </c>
      <c r="AD226" s="6">
        <f t="shared" si="48"/>
        <v>0.66666666666666674</v>
      </c>
      <c r="AE226" t="s">
        <v>32</v>
      </c>
      <c r="AF226" t="s">
        <v>68</v>
      </c>
      <c r="AG226">
        <f t="shared" si="49"/>
        <v>2</v>
      </c>
      <c r="AH226">
        <f t="shared" si="50"/>
        <v>2025</v>
      </c>
      <c r="AI226" t="str">
        <f t="shared" si="51"/>
        <v>CLEAN</v>
      </c>
    </row>
    <row r="227" spans="1:35">
      <c r="A227" t="s">
        <v>781</v>
      </c>
      <c r="B227">
        <f t="shared" si="39"/>
        <v>1</v>
      </c>
      <c r="C227" t="str">
        <f>IF(COUNTIF($A$2:A227, A227)&gt;1, "DUPLICATE_FLAGGED_FOR_REVIEW", "")</f>
        <v/>
      </c>
      <c r="D227" s="3">
        <v>45537</v>
      </c>
      <c r="E227" s="2">
        <v>45545</v>
      </c>
      <c r="F227" s="2" t="str">
        <f t="shared" si="40"/>
        <v>OK</v>
      </c>
      <c r="G227" s="4">
        <f t="shared" si="41"/>
        <v>8</v>
      </c>
      <c r="H227" t="s">
        <v>782</v>
      </c>
      <c r="I227" t="s">
        <v>36</v>
      </c>
      <c r="J227" t="s">
        <v>90</v>
      </c>
      <c r="K227" t="s">
        <v>63</v>
      </c>
      <c r="L227" t="str">
        <f t="shared" si="42"/>
        <v>West</v>
      </c>
      <c r="M227" t="s">
        <v>190</v>
      </c>
      <c r="N227" t="s">
        <v>191</v>
      </c>
      <c r="O227" t="s">
        <v>74</v>
      </c>
      <c r="P227" t="s">
        <v>171</v>
      </c>
      <c r="Q227" t="s">
        <v>783</v>
      </c>
      <c r="R227" t="s">
        <v>59</v>
      </c>
      <c r="S227" t="str">
        <f t="shared" si="43"/>
        <v>Standard Class</v>
      </c>
      <c r="T227">
        <v>6</v>
      </c>
      <c r="U227">
        <v>1032.47</v>
      </c>
      <c r="V227">
        <v>0.15</v>
      </c>
      <c r="W227">
        <f t="shared" si="44"/>
        <v>0.15</v>
      </c>
      <c r="X227" t="str">
        <f t="shared" si="45"/>
        <v/>
      </c>
      <c r="Y227">
        <v>5265.6</v>
      </c>
      <c r="Z227">
        <f t="shared" si="46"/>
        <v>5265.5969999999998</v>
      </c>
      <c r="AA227">
        <v>4293.1099999999997</v>
      </c>
      <c r="AB227">
        <v>787.57</v>
      </c>
      <c r="AC227">
        <f t="shared" si="47"/>
        <v>4233.1269999999995</v>
      </c>
      <c r="AD227" s="6">
        <f t="shared" si="48"/>
        <v>0.8039215686274509</v>
      </c>
      <c r="AE227" t="s">
        <v>32</v>
      </c>
      <c r="AF227" t="s">
        <v>33</v>
      </c>
      <c r="AG227">
        <f t="shared" si="49"/>
        <v>9</v>
      </c>
      <c r="AH227">
        <f t="shared" si="50"/>
        <v>2024</v>
      </c>
      <c r="AI227" t="str">
        <f t="shared" si="51"/>
        <v>CLEAN</v>
      </c>
    </row>
    <row r="228" spans="1:35">
      <c r="A228" t="s">
        <v>784</v>
      </c>
      <c r="B228">
        <f t="shared" si="39"/>
        <v>1</v>
      </c>
      <c r="C228" t="str">
        <f>IF(COUNTIF($A$2:A228, A228)&gt;1, "DUPLICATE_FLAGGED_FOR_REVIEW", "")</f>
        <v/>
      </c>
      <c r="D228" s="3">
        <v>45757</v>
      </c>
      <c r="E228" s="2">
        <v>45762</v>
      </c>
      <c r="F228" s="2" t="str">
        <f t="shared" si="40"/>
        <v>OK</v>
      </c>
      <c r="G228" s="4">
        <f t="shared" si="41"/>
        <v>5</v>
      </c>
      <c r="H228" t="s">
        <v>785</v>
      </c>
      <c r="I228" t="s">
        <v>162</v>
      </c>
      <c r="J228" t="s">
        <v>95</v>
      </c>
      <c r="K228" t="s">
        <v>2760</v>
      </c>
      <c r="L228" t="str">
        <f t="shared" si="42"/>
        <v>Unknown</v>
      </c>
      <c r="M228" t="s">
        <v>185</v>
      </c>
      <c r="N228" t="s">
        <v>186</v>
      </c>
      <c r="O228" t="s">
        <v>74</v>
      </c>
      <c r="P228" t="s">
        <v>80</v>
      </c>
      <c r="Q228" t="s">
        <v>786</v>
      </c>
      <c r="R228" t="s">
        <v>44</v>
      </c>
      <c r="S228" t="str">
        <f t="shared" si="43"/>
        <v>Same Day</v>
      </c>
      <c r="T228">
        <v>1</v>
      </c>
      <c r="U228">
        <v>2208.27</v>
      </c>
      <c r="V228">
        <v>0.1</v>
      </c>
      <c r="W228">
        <f t="shared" si="44"/>
        <v>0.1</v>
      </c>
      <c r="X228" t="str">
        <f t="shared" si="45"/>
        <v/>
      </c>
      <c r="Y228">
        <v>1987.44</v>
      </c>
      <c r="Z228">
        <f t="shared" si="46"/>
        <v>1987.443</v>
      </c>
      <c r="AA228">
        <v>1110.23</v>
      </c>
      <c r="AB228">
        <v>877.21</v>
      </c>
      <c r="AC228">
        <f t="shared" si="47"/>
        <v>-220.827</v>
      </c>
      <c r="AD228" s="6">
        <f t="shared" si="48"/>
        <v>-0.1111111111111111</v>
      </c>
      <c r="AE228" t="s">
        <v>32</v>
      </c>
      <c r="AF228" t="s">
        <v>33</v>
      </c>
      <c r="AG228">
        <f t="shared" si="49"/>
        <v>4</v>
      </c>
      <c r="AH228">
        <f t="shared" si="50"/>
        <v>2025</v>
      </c>
      <c r="AI228" t="str">
        <f t="shared" si="51"/>
        <v>WARNING</v>
      </c>
    </row>
    <row r="229" spans="1:35">
      <c r="A229" t="s">
        <v>787</v>
      </c>
      <c r="B229">
        <f t="shared" si="39"/>
        <v>1</v>
      </c>
      <c r="C229" t="str">
        <f>IF(COUNTIF($A$2:A229, A229)&gt;1, "DUPLICATE_FLAGGED_FOR_REVIEW", "")</f>
        <v/>
      </c>
      <c r="D229" s="3">
        <v>45478</v>
      </c>
      <c r="E229" s="2">
        <v>45485</v>
      </c>
      <c r="F229" s="2" t="str">
        <f t="shared" si="40"/>
        <v>OK</v>
      </c>
      <c r="G229" s="4">
        <f t="shared" si="41"/>
        <v>7</v>
      </c>
      <c r="H229" t="s">
        <v>788</v>
      </c>
      <c r="I229" t="s">
        <v>62</v>
      </c>
      <c r="J229" t="s">
        <v>37</v>
      </c>
      <c r="K229" t="s">
        <v>63</v>
      </c>
      <c r="L229" t="str">
        <f t="shared" si="42"/>
        <v>West</v>
      </c>
      <c r="M229" t="s">
        <v>190</v>
      </c>
      <c r="N229" t="s">
        <v>191</v>
      </c>
      <c r="O229" t="s">
        <v>28</v>
      </c>
      <c r="P229" t="s">
        <v>153</v>
      </c>
      <c r="Q229" t="s">
        <v>789</v>
      </c>
      <c r="R229" t="s">
        <v>50</v>
      </c>
      <c r="S229" t="str">
        <f t="shared" si="43"/>
        <v>First Class</v>
      </c>
      <c r="T229">
        <v>3</v>
      </c>
      <c r="U229">
        <v>577.75</v>
      </c>
      <c r="V229">
        <v>0.15</v>
      </c>
      <c r="W229">
        <f t="shared" si="44"/>
        <v>0.15</v>
      </c>
      <c r="X229" t="str">
        <f t="shared" si="45"/>
        <v/>
      </c>
      <c r="Y229">
        <v>1473.26</v>
      </c>
      <c r="Z229">
        <f t="shared" si="46"/>
        <v>1473.2625</v>
      </c>
      <c r="AA229">
        <v>899.86</v>
      </c>
      <c r="AB229">
        <v>573.4</v>
      </c>
      <c r="AC229">
        <f t="shared" si="47"/>
        <v>895.51250000000005</v>
      </c>
      <c r="AD229" s="6">
        <f t="shared" si="48"/>
        <v>0.60784313725490202</v>
      </c>
      <c r="AE229" t="s">
        <v>32</v>
      </c>
      <c r="AF229" t="s">
        <v>33</v>
      </c>
      <c r="AG229">
        <f t="shared" si="49"/>
        <v>7</v>
      </c>
      <c r="AH229">
        <f t="shared" si="50"/>
        <v>2024</v>
      </c>
      <c r="AI229" t="str">
        <f t="shared" si="51"/>
        <v>CLEAN</v>
      </c>
    </row>
    <row r="230" spans="1:35">
      <c r="A230" t="s">
        <v>790</v>
      </c>
      <c r="B230">
        <f t="shared" si="39"/>
        <v>1</v>
      </c>
      <c r="C230" t="str">
        <f>IF(COUNTIF($A$2:A230, A230)&gt;1, "DUPLICATE_FLAGGED_FOR_REVIEW", "")</f>
        <v/>
      </c>
      <c r="D230" s="3">
        <v>45406</v>
      </c>
      <c r="E230" s="2">
        <v>45410</v>
      </c>
      <c r="F230" s="2" t="str">
        <f t="shared" si="40"/>
        <v>OK</v>
      </c>
      <c r="G230" s="4">
        <f t="shared" si="41"/>
        <v>4</v>
      </c>
      <c r="H230" t="s">
        <v>791</v>
      </c>
      <c r="I230" t="s">
        <v>23</v>
      </c>
      <c r="J230" t="s">
        <v>37</v>
      </c>
      <c r="K230" t="s">
        <v>54</v>
      </c>
      <c r="L230" t="str">
        <f t="shared" si="42"/>
        <v>South</v>
      </c>
      <c r="M230" t="s">
        <v>55</v>
      </c>
      <c r="N230" t="s">
        <v>56</v>
      </c>
      <c r="O230" t="s">
        <v>28</v>
      </c>
      <c r="P230" t="s">
        <v>91</v>
      </c>
      <c r="Q230" t="s">
        <v>792</v>
      </c>
      <c r="R230" t="s">
        <v>31</v>
      </c>
      <c r="S230" t="str">
        <f t="shared" si="43"/>
        <v>Second Class</v>
      </c>
      <c r="T230">
        <v>1</v>
      </c>
      <c r="U230">
        <v>3194.37</v>
      </c>
      <c r="V230">
        <v>0.15</v>
      </c>
      <c r="W230">
        <f t="shared" si="44"/>
        <v>0.15</v>
      </c>
      <c r="X230" t="str">
        <f t="shared" si="45"/>
        <v/>
      </c>
      <c r="Y230">
        <v>2715.21</v>
      </c>
      <c r="Z230">
        <f t="shared" si="46"/>
        <v>2715.2145</v>
      </c>
      <c r="AA230">
        <v>1551.55</v>
      </c>
      <c r="AB230">
        <v>1163.6600000000001</v>
      </c>
      <c r="AC230">
        <f t="shared" si="47"/>
        <v>-479.15549999999985</v>
      </c>
      <c r="AD230" s="6">
        <f t="shared" si="48"/>
        <v>-0.17647058823529405</v>
      </c>
      <c r="AE230" t="s">
        <v>32</v>
      </c>
      <c r="AF230" t="s">
        <v>33</v>
      </c>
      <c r="AG230">
        <f t="shared" si="49"/>
        <v>4</v>
      </c>
      <c r="AH230">
        <f t="shared" si="50"/>
        <v>2024</v>
      </c>
      <c r="AI230" t="str">
        <f t="shared" si="51"/>
        <v>CLEAN</v>
      </c>
    </row>
    <row r="231" spans="1:35">
      <c r="A231" t="s">
        <v>793</v>
      </c>
      <c r="B231">
        <f t="shared" si="39"/>
        <v>1</v>
      </c>
      <c r="C231" t="str">
        <f>IF(COUNTIF($A$2:A231, A231)&gt;1, "DUPLICATE_FLAGGED_FOR_REVIEW", "")</f>
        <v/>
      </c>
      <c r="D231" s="3">
        <v>45836</v>
      </c>
      <c r="E231" s="2">
        <v>45754</v>
      </c>
      <c r="F231" s="2" t="str">
        <f t="shared" si="40"/>
        <v>ERROR: Ship before order</v>
      </c>
      <c r="G231" s="4">
        <f t="shared" si="41"/>
        <v>-82</v>
      </c>
      <c r="H231" t="s">
        <v>794</v>
      </c>
      <c r="I231" t="s">
        <v>141</v>
      </c>
      <c r="J231" t="s">
        <v>24</v>
      </c>
      <c r="K231" t="s">
        <v>54</v>
      </c>
      <c r="L231" t="str">
        <f t="shared" si="42"/>
        <v>South</v>
      </c>
      <c r="M231" t="s">
        <v>55</v>
      </c>
      <c r="N231" t="s">
        <v>56</v>
      </c>
      <c r="O231" t="s">
        <v>41</v>
      </c>
      <c r="P231" t="s">
        <v>158</v>
      </c>
      <c r="Q231" t="s">
        <v>795</v>
      </c>
      <c r="R231" t="s">
        <v>50</v>
      </c>
      <c r="S231" t="str">
        <f t="shared" si="43"/>
        <v>First Class</v>
      </c>
      <c r="T231">
        <v>3</v>
      </c>
      <c r="U231">
        <v>2886.23</v>
      </c>
      <c r="V231">
        <v>0</v>
      </c>
      <c r="W231">
        <f t="shared" si="44"/>
        <v>0</v>
      </c>
      <c r="X231" t="str">
        <f t="shared" si="45"/>
        <v/>
      </c>
      <c r="Y231">
        <v>8658.69</v>
      </c>
      <c r="Z231">
        <f t="shared" si="46"/>
        <v>8658.69</v>
      </c>
      <c r="AA231">
        <v>5535.94</v>
      </c>
      <c r="AB231">
        <v>3122.75</v>
      </c>
      <c r="AC231">
        <f t="shared" si="47"/>
        <v>5772.4600000000009</v>
      </c>
      <c r="AD231" s="6">
        <f t="shared" si="48"/>
        <v>0.66666666666666674</v>
      </c>
      <c r="AE231" t="s">
        <v>102</v>
      </c>
      <c r="AF231" t="s">
        <v>103</v>
      </c>
      <c r="AG231">
        <f t="shared" si="49"/>
        <v>6</v>
      </c>
      <c r="AH231">
        <f t="shared" si="50"/>
        <v>2025</v>
      </c>
      <c r="AI231" t="str">
        <f t="shared" si="51"/>
        <v>INVALID</v>
      </c>
    </row>
    <row r="232" spans="1:35">
      <c r="A232" t="s">
        <v>796</v>
      </c>
      <c r="B232">
        <f t="shared" si="39"/>
        <v>1</v>
      </c>
      <c r="C232" t="str">
        <f>IF(COUNTIF($A$2:A232, A232)&gt;1, "DUPLICATE_FLAGGED_FOR_REVIEW", "")</f>
        <v/>
      </c>
      <c r="D232" s="3">
        <v>45440</v>
      </c>
      <c r="E232" s="2">
        <v>45446</v>
      </c>
      <c r="F232" s="2" t="str">
        <f t="shared" si="40"/>
        <v>OK</v>
      </c>
      <c r="G232" s="4">
        <f t="shared" si="41"/>
        <v>6</v>
      </c>
      <c r="H232" t="s">
        <v>797</v>
      </c>
      <c r="I232" t="s">
        <v>79</v>
      </c>
      <c r="J232" t="s">
        <v>37</v>
      </c>
      <c r="K232" t="s">
        <v>25</v>
      </c>
      <c r="L232" t="str">
        <f t="shared" si="42"/>
        <v>North</v>
      </c>
      <c r="M232" t="s">
        <v>26</v>
      </c>
      <c r="N232" t="s">
        <v>27</v>
      </c>
      <c r="O232" t="s">
        <v>28</v>
      </c>
      <c r="P232" t="s">
        <v>29</v>
      </c>
      <c r="Q232" t="s">
        <v>798</v>
      </c>
      <c r="R232" t="s">
        <v>59</v>
      </c>
      <c r="S232" t="str">
        <f t="shared" si="43"/>
        <v>Standard Class</v>
      </c>
      <c r="T232">
        <v>8</v>
      </c>
      <c r="U232">
        <v>1540.33</v>
      </c>
      <c r="V232">
        <v>0.1</v>
      </c>
      <c r="W232">
        <f t="shared" si="44"/>
        <v>0.1</v>
      </c>
      <c r="X232" t="str">
        <f t="shared" si="45"/>
        <v/>
      </c>
      <c r="Y232">
        <v>11090.38</v>
      </c>
      <c r="Z232">
        <f t="shared" si="46"/>
        <v>11090.376</v>
      </c>
      <c r="AA232">
        <v>8840.9500000000007</v>
      </c>
      <c r="AB232">
        <v>2249.4299999999998</v>
      </c>
      <c r="AC232">
        <f t="shared" si="47"/>
        <v>9550.0460000000003</v>
      </c>
      <c r="AD232" s="6">
        <f t="shared" si="48"/>
        <v>0.86111111111111116</v>
      </c>
      <c r="AE232" t="s">
        <v>32</v>
      </c>
      <c r="AF232" t="s">
        <v>33</v>
      </c>
      <c r="AG232">
        <f t="shared" si="49"/>
        <v>5</v>
      </c>
      <c r="AH232">
        <f t="shared" si="50"/>
        <v>2024</v>
      </c>
      <c r="AI232" t="str">
        <f t="shared" si="51"/>
        <v>CLEAN</v>
      </c>
    </row>
    <row r="233" spans="1:35">
      <c r="A233" t="s">
        <v>799</v>
      </c>
      <c r="B233">
        <f t="shared" si="39"/>
        <v>1</v>
      </c>
      <c r="C233" t="str">
        <f>IF(COUNTIF($A$2:A233, A233)&gt;1, "DUPLICATE_FLAGGED_FOR_REVIEW", "")</f>
        <v/>
      </c>
      <c r="D233" s="3">
        <v>45414</v>
      </c>
      <c r="E233" s="2">
        <v>45327</v>
      </c>
      <c r="F233" s="2" t="str">
        <f t="shared" si="40"/>
        <v>ERROR: Ship before order</v>
      </c>
      <c r="G233" s="4">
        <f t="shared" si="41"/>
        <v>-87</v>
      </c>
      <c r="H233" t="s">
        <v>800</v>
      </c>
      <c r="I233" t="s">
        <v>62</v>
      </c>
      <c r="J233" t="s">
        <v>90</v>
      </c>
      <c r="K233" t="s">
        <v>25</v>
      </c>
      <c r="L233" t="str">
        <f t="shared" si="42"/>
        <v>North</v>
      </c>
      <c r="M233" t="s">
        <v>26</v>
      </c>
      <c r="N233" t="s">
        <v>27</v>
      </c>
      <c r="O233" t="s">
        <v>28</v>
      </c>
      <c r="P233" t="s">
        <v>91</v>
      </c>
      <c r="Q233" t="s">
        <v>801</v>
      </c>
      <c r="R233" t="s">
        <v>50</v>
      </c>
      <c r="S233" t="str">
        <f t="shared" si="43"/>
        <v>First Class</v>
      </c>
      <c r="T233">
        <v>7</v>
      </c>
      <c r="U233">
        <v>2183.38</v>
      </c>
      <c r="V233">
        <v>0.25</v>
      </c>
      <c r="W233">
        <f t="shared" si="44"/>
        <v>0.25</v>
      </c>
      <c r="X233" t="str">
        <f t="shared" si="45"/>
        <v/>
      </c>
      <c r="Y233">
        <v>11462.74</v>
      </c>
      <c r="Z233">
        <f t="shared" si="46"/>
        <v>11462.744999999999</v>
      </c>
      <c r="AA233">
        <v>7163.54</v>
      </c>
      <c r="AB233">
        <v>4299.2</v>
      </c>
      <c r="AC233">
        <f t="shared" si="47"/>
        <v>9279.364999999998</v>
      </c>
      <c r="AD233" s="6">
        <f t="shared" si="48"/>
        <v>0.80952380952380942</v>
      </c>
      <c r="AE233" t="s">
        <v>102</v>
      </c>
      <c r="AF233" t="s">
        <v>68</v>
      </c>
      <c r="AG233">
        <f t="shared" si="49"/>
        <v>5</v>
      </c>
      <c r="AH233">
        <f t="shared" si="50"/>
        <v>2024</v>
      </c>
      <c r="AI233" t="str">
        <f t="shared" si="51"/>
        <v>INVALID</v>
      </c>
    </row>
    <row r="234" spans="1:35">
      <c r="A234" t="s">
        <v>802</v>
      </c>
      <c r="B234">
        <f t="shared" si="39"/>
        <v>1</v>
      </c>
      <c r="C234" t="str">
        <f>IF(COUNTIF($A$2:A234, A234)&gt;1, "DUPLICATE_FLAGGED_FOR_REVIEW", "")</f>
        <v/>
      </c>
      <c r="D234" s="3">
        <v>45812</v>
      </c>
      <c r="E234" s="2">
        <v>45818</v>
      </c>
      <c r="F234" s="2" t="str">
        <f t="shared" si="40"/>
        <v>OK</v>
      </c>
      <c r="G234" s="4">
        <f t="shared" si="41"/>
        <v>6</v>
      </c>
      <c r="H234" t="s">
        <v>803</v>
      </c>
      <c r="I234" t="s">
        <v>118</v>
      </c>
      <c r="J234" t="s">
        <v>24</v>
      </c>
      <c r="K234" t="s">
        <v>54</v>
      </c>
      <c r="L234" t="str">
        <f t="shared" si="42"/>
        <v>South</v>
      </c>
      <c r="M234" t="s">
        <v>84</v>
      </c>
      <c r="N234" t="s">
        <v>85</v>
      </c>
      <c r="O234" t="s">
        <v>74</v>
      </c>
      <c r="P234" t="s">
        <v>171</v>
      </c>
      <c r="Q234" t="s">
        <v>804</v>
      </c>
      <c r="R234" t="s">
        <v>59</v>
      </c>
      <c r="S234" t="str">
        <f t="shared" si="43"/>
        <v>Standard Class</v>
      </c>
      <c r="T234">
        <v>4</v>
      </c>
      <c r="U234">
        <v>223.37</v>
      </c>
      <c r="V234">
        <v>0.25</v>
      </c>
      <c r="W234">
        <f t="shared" si="44"/>
        <v>0.25</v>
      </c>
      <c r="X234" t="str">
        <f t="shared" si="45"/>
        <v/>
      </c>
      <c r="Y234">
        <v>670.11</v>
      </c>
      <c r="Z234">
        <f t="shared" si="46"/>
        <v>670.11</v>
      </c>
      <c r="AA234">
        <v>559.57000000000005</v>
      </c>
      <c r="AB234">
        <v>110.54</v>
      </c>
      <c r="AC234">
        <f t="shared" si="47"/>
        <v>446.74</v>
      </c>
      <c r="AD234" s="6">
        <f t="shared" si="48"/>
        <v>0.66666666666666663</v>
      </c>
      <c r="AE234" t="s">
        <v>32</v>
      </c>
      <c r="AF234" t="s">
        <v>33</v>
      </c>
      <c r="AG234">
        <f t="shared" si="49"/>
        <v>6</v>
      </c>
      <c r="AH234">
        <f t="shared" si="50"/>
        <v>2025</v>
      </c>
      <c r="AI234" t="str">
        <f t="shared" si="51"/>
        <v>CLEAN</v>
      </c>
    </row>
    <row r="235" spans="1:35">
      <c r="A235" t="s">
        <v>805</v>
      </c>
      <c r="B235">
        <f t="shared" si="39"/>
        <v>1</v>
      </c>
      <c r="C235" t="str">
        <f>IF(COUNTIF($A$2:A235, A235)&gt;1, "DUPLICATE_FLAGGED_FOR_REVIEW", "")</f>
        <v/>
      </c>
      <c r="D235" s="3">
        <v>45579</v>
      </c>
      <c r="E235" s="2">
        <v>45579</v>
      </c>
      <c r="F235" s="2" t="str">
        <f t="shared" si="40"/>
        <v>OK</v>
      </c>
      <c r="G235" s="4">
        <f t="shared" si="41"/>
        <v>0</v>
      </c>
      <c r="H235" t="s">
        <v>806</v>
      </c>
      <c r="I235" t="s">
        <v>71</v>
      </c>
      <c r="J235" t="s">
        <v>90</v>
      </c>
      <c r="K235" t="s">
        <v>54</v>
      </c>
      <c r="L235" t="str">
        <f t="shared" si="42"/>
        <v>South</v>
      </c>
      <c r="M235" t="s">
        <v>175</v>
      </c>
      <c r="N235" t="s">
        <v>176</v>
      </c>
      <c r="O235" t="s">
        <v>41</v>
      </c>
      <c r="P235" t="s">
        <v>158</v>
      </c>
      <c r="Q235" t="s">
        <v>807</v>
      </c>
      <c r="R235" t="s">
        <v>2760</v>
      </c>
      <c r="S235" t="str">
        <f t="shared" si="43"/>
        <v>Unknown</v>
      </c>
      <c r="T235">
        <v>8</v>
      </c>
      <c r="U235">
        <v>3904.59</v>
      </c>
      <c r="V235">
        <v>0</v>
      </c>
      <c r="W235">
        <f t="shared" si="44"/>
        <v>0</v>
      </c>
      <c r="X235" t="str">
        <f t="shared" si="45"/>
        <v/>
      </c>
      <c r="Y235">
        <v>31236.720000000001</v>
      </c>
      <c r="Z235">
        <f t="shared" si="46"/>
        <v>31236.720000000001</v>
      </c>
      <c r="AA235">
        <v>26377.7</v>
      </c>
      <c r="AB235">
        <v>4859.0200000000004</v>
      </c>
      <c r="AC235">
        <f t="shared" si="47"/>
        <v>27332.13</v>
      </c>
      <c r="AD235" s="6">
        <f t="shared" si="48"/>
        <v>0.875</v>
      </c>
      <c r="AE235" t="s">
        <v>32</v>
      </c>
      <c r="AF235" t="s">
        <v>33</v>
      </c>
      <c r="AG235">
        <f t="shared" si="49"/>
        <v>10</v>
      </c>
      <c r="AH235">
        <f t="shared" si="50"/>
        <v>2024</v>
      </c>
      <c r="AI235" t="str">
        <f t="shared" si="51"/>
        <v>WARNING</v>
      </c>
    </row>
    <row r="236" spans="1:35">
      <c r="A236" t="s">
        <v>808</v>
      </c>
      <c r="B236">
        <f t="shared" si="39"/>
        <v>1</v>
      </c>
      <c r="C236" t="str">
        <f>IF(COUNTIF($A$2:A236, A236)&gt;1, "DUPLICATE_FLAGGED_FOR_REVIEW", "")</f>
        <v/>
      </c>
      <c r="D236" s="3">
        <v>45331</v>
      </c>
      <c r="E236" s="2">
        <v>45538</v>
      </c>
      <c r="F236" s="2" t="str">
        <f t="shared" si="40"/>
        <v>OK</v>
      </c>
      <c r="G236" s="4">
        <f t="shared" si="41"/>
        <v>207</v>
      </c>
      <c r="H236" t="s">
        <v>809</v>
      </c>
      <c r="I236" t="s">
        <v>264</v>
      </c>
      <c r="J236" t="s">
        <v>95</v>
      </c>
      <c r="K236" t="s">
        <v>25</v>
      </c>
      <c r="L236" t="str">
        <f t="shared" si="42"/>
        <v>North</v>
      </c>
      <c r="M236" t="s">
        <v>350</v>
      </c>
      <c r="N236" t="s">
        <v>351</v>
      </c>
      <c r="O236" t="s">
        <v>41</v>
      </c>
      <c r="P236" t="s">
        <v>57</v>
      </c>
      <c r="Q236" t="s">
        <v>810</v>
      </c>
      <c r="R236" t="s">
        <v>50</v>
      </c>
      <c r="S236" t="str">
        <f t="shared" si="43"/>
        <v>First Class</v>
      </c>
      <c r="T236">
        <v>9</v>
      </c>
      <c r="U236">
        <v>1353.61</v>
      </c>
      <c r="V236">
        <v>0.1</v>
      </c>
      <c r="W236">
        <f t="shared" si="44"/>
        <v>0.1</v>
      </c>
      <c r="X236" t="str">
        <f t="shared" si="45"/>
        <v/>
      </c>
      <c r="Y236">
        <v>10964.24</v>
      </c>
      <c r="Z236">
        <f t="shared" si="46"/>
        <v>10964.241</v>
      </c>
      <c r="AA236">
        <v>9262.4699999999993</v>
      </c>
      <c r="AB236">
        <v>1701.77</v>
      </c>
      <c r="AC236">
        <f t="shared" si="47"/>
        <v>9610.6309999999994</v>
      </c>
      <c r="AD236" s="6">
        <f t="shared" si="48"/>
        <v>0.87654320987654311</v>
      </c>
      <c r="AE236" t="s">
        <v>32</v>
      </c>
      <c r="AF236" t="s">
        <v>33</v>
      </c>
      <c r="AG236">
        <f t="shared" si="49"/>
        <v>2</v>
      </c>
      <c r="AH236">
        <f t="shared" si="50"/>
        <v>2024</v>
      </c>
      <c r="AI236" t="str">
        <f t="shared" si="51"/>
        <v>CLEAN</v>
      </c>
    </row>
    <row r="237" spans="1:35">
      <c r="A237" t="s">
        <v>811</v>
      </c>
      <c r="B237">
        <f t="shared" si="39"/>
        <v>1</v>
      </c>
      <c r="C237" t="str">
        <f>IF(COUNTIF($A$2:A237, A237)&gt;1, "DUPLICATE_FLAGGED_FOR_REVIEW", "")</f>
        <v/>
      </c>
      <c r="D237" s="3">
        <v>45333</v>
      </c>
      <c r="E237" s="2">
        <v>45362</v>
      </c>
      <c r="F237" s="2" t="str">
        <f t="shared" si="40"/>
        <v>OK</v>
      </c>
      <c r="G237" s="4">
        <f t="shared" si="41"/>
        <v>29</v>
      </c>
      <c r="H237" t="s">
        <v>812</v>
      </c>
      <c r="I237" t="s">
        <v>118</v>
      </c>
      <c r="J237" t="s">
        <v>37</v>
      </c>
      <c r="K237" t="s">
        <v>63</v>
      </c>
      <c r="L237" t="str">
        <f t="shared" si="42"/>
        <v>West</v>
      </c>
      <c r="M237" t="s">
        <v>26</v>
      </c>
      <c r="N237" t="s">
        <v>109</v>
      </c>
      <c r="O237" t="s">
        <v>28</v>
      </c>
      <c r="P237" t="s">
        <v>124</v>
      </c>
      <c r="Q237" t="s">
        <v>813</v>
      </c>
      <c r="R237" t="s">
        <v>59</v>
      </c>
      <c r="S237" t="str">
        <f t="shared" si="43"/>
        <v>Standard Class</v>
      </c>
      <c r="T237">
        <v>6</v>
      </c>
      <c r="U237">
        <v>2671.29</v>
      </c>
      <c r="V237">
        <v>0.05</v>
      </c>
      <c r="W237">
        <f t="shared" si="44"/>
        <v>0.05</v>
      </c>
      <c r="X237" t="str">
        <f t="shared" si="45"/>
        <v/>
      </c>
      <c r="Y237">
        <v>15226.35</v>
      </c>
      <c r="Z237">
        <f t="shared" si="46"/>
        <v>15226.352999999999</v>
      </c>
      <c r="AA237">
        <v>11145.28</v>
      </c>
      <c r="AB237">
        <v>4081.07</v>
      </c>
      <c r="AC237">
        <f t="shared" si="47"/>
        <v>12555.062999999998</v>
      </c>
      <c r="AD237" s="6">
        <f t="shared" si="48"/>
        <v>0.82456140350877183</v>
      </c>
      <c r="AE237" t="s">
        <v>32</v>
      </c>
      <c r="AF237" t="s">
        <v>33</v>
      </c>
      <c r="AG237">
        <f t="shared" si="49"/>
        <v>2</v>
      </c>
      <c r="AH237">
        <f t="shared" si="50"/>
        <v>2024</v>
      </c>
      <c r="AI237" t="str">
        <f t="shared" si="51"/>
        <v>CLEAN</v>
      </c>
    </row>
    <row r="238" spans="1:35">
      <c r="A238" t="s">
        <v>814</v>
      </c>
      <c r="B238">
        <f t="shared" si="39"/>
        <v>1</v>
      </c>
      <c r="C238" t="str">
        <f>IF(COUNTIF($A$2:A238, A238)&gt;1, "DUPLICATE_FLAGGED_FOR_REVIEW", "")</f>
        <v/>
      </c>
      <c r="D238" s="3">
        <v>45579</v>
      </c>
      <c r="E238" s="2">
        <v>45586</v>
      </c>
      <c r="F238" s="2" t="str">
        <f t="shared" si="40"/>
        <v>OK</v>
      </c>
      <c r="G238" s="4">
        <f t="shared" si="41"/>
        <v>7</v>
      </c>
      <c r="H238" t="s">
        <v>815</v>
      </c>
      <c r="I238" t="s">
        <v>114</v>
      </c>
      <c r="J238" t="s">
        <v>90</v>
      </c>
      <c r="K238" t="s">
        <v>25</v>
      </c>
      <c r="L238" t="str">
        <f t="shared" si="42"/>
        <v>North</v>
      </c>
      <c r="M238" t="s">
        <v>136</v>
      </c>
      <c r="N238" t="s">
        <v>137</v>
      </c>
      <c r="O238" t="s">
        <v>41</v>
      </c>
      <c r="P238" t="s">
        <v>158</v>
      </c>
      <c r="Q238" t="s">
        <v>816</v>
      </c>
      <c r="R238" t="s">
        <v>50</v>
      </c>
      <c r="S238" t="str">
        <f t="shared" si="43"/>
        <v>First Class</v>
      </c>
      <c r="T238">
        <v>6</v>
      </c>
      <c r="U238">
        <v>4062.78</v>
      </c>
      <c r="V238">
        <v>0</v>
      </c>
      <c r="W238">
        <f t="shared" si="44"/>
        <v>0</v>
      </c>
      <c r="X238" t="str">
        <f t="shared" si="45"/>
        <v/>
      </c>
      <c r="Y238">
        <v>24376.68</v>
      </c>
      <c r="Z238">
        <f t="shared" si="46"/>
        <v>24376.68</v>
      </c>
      <c r="AA238">
        <v>18533.39</v>
      </c>
      <c r="AB238">
        <v>5843.29</v>
      </c>
      <c r="AC238">
        <f t="shared" si="47"/>
        <v>20313.900000000001</v>
      </c>
      <c r="AD238" s="6">
        <f t="shared" si="48"/>
        <v>0.83333333333333337</v>
      </c>
      <c r="AE238" t="s">
        <v>32</v>
      </c>
      <c r="AF238" t="s">
        <v>33</v>
      </c>
      <c r="AG238">
        <f t="shared" si="49"/>
        <v>10</v>
      </c>
      <c r="AH238">
        <f t="shared" si="50"/>
        <v>2024</v>
      </c>
      <c r="AI238" t="str">
        <f t="shared" si="51"/>
        <v>CLEAN</v>
      </c>
    </row>
    <row r="239" spans="1:35">
      <c r="A239" t="s">
        <v>817</v>
      </c>
      <c r="B239">
        <f t="shared" si="39"/>
        <v>1</v>
      </c>
      <c r="C239" t="str">
        <f>IF(COUNTIF($A$2:A239, A239)&gt;1, "DUPLICATE_FLAGGED_FOR_REVIEW", "")</f>
        <v/>
      </c>
      <c r="D239" s="3">
        <v>45531</v>
      </c>
      <c r="E239" s="2">
        <v>45531</v>
      </c>
      <c r="F239" s="2" t="str">
        <f t="shared" si="40"/>
        <v>OK</v>
      </c>
      <c r="G239" s="4">
        <f t="shared" si="41"/>
        <v>0</v>
      </c>
      <c r="H239" t="s">
        <v>818</v>
      </c>
      <c r="I239" t="s">
        <v>36</v>
      </c>
      <c r="J239" t="s">
        <v>24</v>
      </c>
      <c r="K239" t="s">
        <v>25</v>
      </c>
      <c r="L239" t="str">
        <f t="shared" si="42"/>
        <v>North</v>
      </c>
      <c r="M239" t="s">
        <v>236</v>
      </c>
      <c r="N239" t="s">
        <v>237</v>
      </c>
      <c r="O239" t="s">
        <v>74</v>
      </c>
      <c r="P239" t="s">
        <v>80</v>
      </c>
      <c r="Q239" t="s">
        <v>819</v>
      </c>
      <c r="R239" t="s">
        <v>59</v>
      </c>
      <c r="S239" t="str">
        <f t="shared" si="43"/>
        <v>Standard Class</v>
      </c>
      <c r="T239">
        <v>9</v>
      </c>
      <c r="U239">
        <v>2330.3000000000002</v>
      </c>
      <c r="V239">
        <v>0</v>
      </c>
      <c r="W239">
        <f t="shared" si="44"/>
        <v>0</v>
      </c>
      <c r="X239" t="str">
        <f t="shared" si="45"/>
        <v/>
      </c>
      <c r="Y239">
        <v>20972.7</v>
      </c>
      <c r="Z239">
        <f t="shared" si="46"/>
        <v>20972.7</v>
      </c>
      <c r="AA239">
        <v>13504.88</v>
      </c>
      <c r="AB239">
        <v>7467.82</v>
      </c>
      <c r="AC239">
        <f t="shared" si="47"/>
        <v>18642.400000000001</v>
      </c>
      <c r="AD239" s="6">
        <f t="shared" si="48"/>
        <v>0.88888888888888895</v>
      </c>
      <c r="AE239" t="s">
        <v>32</v>
      </c>
      <c r="AF239" t="s">
        <v>33</v>
      </c>
      <c r="AG239">
        <f t="shared" si="49"/>
        <v>8</v>
      </c>
      <c r="AH239">
        <f t="shared" si="50"/>
        <v>2024</v>
      </c>
      <c r="AI239" t="str">
        <f t="shared" si="51"/>
        <v>CLEAN</v>
      </c>
    </row>
    <row r="240" spans="1:35">
      <c r="A240" t="s">
        <v>820</v>
      </c>
      <c r="B240">
        <f t="shared" si="39"/>
        <v>1</v>
      </c>
      <c r="C240" t="str">
        <f>IF(COUNTIF($A$2:A240, A240)&gt;1, "DUPLICATE_FLAGGED_FOR_REVIEW", "")</f>
        <v/>
      </c>
      <c r="D240" s="3">
        <v>45627</v>
      </c>
      <c r="E240" s="2">
        <v>45308</v>
      </c>
      <c r="F240" s="2" t="str">
        <f t="shared" si="40"/>
        <v>ERROR: Ship before order</v>
      </c>
      <c r="G240" s="4">
        <f t="shared" si="41"/>
        <v>-319</v>
      </c>
      <c r="H240" t="s">
        <v>821</v>
      </c>
      <c r="I240" t="s">
        <v>53</v>
      </c>
      <c r="J240" t="s">
        <v>24</v>
      </c>
      <c r="K240" t="s">
        <v>54</v>
      </c>
      <c r="L240" t="str">
        <f t="shared" si="42"/>
        <v>South</v>
      </c>
      <c r="M240" t="s">
        <v>84</v>
      </c>
      <c r="N240" t="s">
        <v>85</v>
      </c>
      <c r="O240" t="s">
        <v>28</v>
      </c>
      <c r="P240" t="s">
        <v>124</v>
      </c>
      <c r="Q240" t="s">
        <v>822</v>
      </c>
      <c r="R240" t="s">
        <v>50</v>
      </c>
      <c r="S240" t="str">
        <f t="shared" si="43"/>
        <v>First Class</v>
      </c>
      <c r="T240">
        <v>7</v>
      </c>
      <c r="U240">
        <v>4005.05</v>
      </c>
      <c r="V240">
        <v>0.55000000000000004</v>
      </c>
      <c r="W240">
        <f t="shared" si="44"/>
        <v>0.55000000000000004</v>
      </c>
      <c r="X240" t="str">
        <f t="shared" si="45"/>
        <v>INVALID_DISCOUNT_ABOVE_50PCT</v>
      </c>
      <c r="Y240">
        <v>26633.58</v>
      </c>
      <c r="Z240">
        <f t="shared" si="46"/>
        <v>12615.907499999999</v>
      </c>
      <c r="AA240">
        <v>18838.75</v>
      </c>
      <c r="AB240">
        <v>7794.83</v>
      </c>
      <c r="AC240">
        <f t="shared" si="47"/>
        <v>8610.8574999999983</v>
      </c>
      <c r="AD240" s="6">
        <f t="shared" si="48"/>
        <v>0.68253968253968245</v>
      </c>
      <c r="AE240" t="s">
        <v>32</v>
      </c>
      <c r="AF240" t="s">
        <v>33</v>
      </c>
      <c r="AG240">
        <f t="shared" si="49"/>
        <v>12</v>
      </c>
      <c r="AH240">
        <f t="shared" si="50"/>
        <v>2024</v>
      </c>
      <c r="AI240" t="str">
        <f t="shared" si="51"/>
        <v>INVALID</v>
      </c>
    </row>
    <row r="241" spans="1:35">
      <c r="A241" t="s">
        <v>823</v>
      </c>
      <c r="B241">
        <f t="shared" si="39"/>
        <v>1</v>
      </c>
      <c r="C241" t="str">
        <f>IF(COUNTIF($A$2:A241, A241)&gt;1, "DUPLICATE_FLAGGED_FOR_REVIEW", "")</f>
        <v/>
      </c>
      <c r="D241" s="3">
        <v>45556</v>
      </c>
      <c r="E241" s="2">
        <v>45556</v>
      </c>
      <c r="F241" s="2" t="str">
        <f t="shared" si="40"/>
        <v>OK</v>
      </c>
      <c r="G241" s="4">
        <f t="shared" si="41"/>
        <v>0</v>
      </c>
      <c r="H241" t="s">
        <v>824</v>
      </c>
      <c r="I241" t="s">
        <v>264</v>
      </c>
      <c r="J241" t="s">
        <v>90</v>
      </c>
      <c r="K241" t="s">
        <v>54</v>
      </c>
      <c r="L241" t="str">
        <f t="shared" si="42"/>
        <v>South</v>
      </c>
      <c r="M241" t="s">
        <v>175</v>
      </c>
      <c r="N241" t="s">
        <v>176</v>
      </c>
      <c r="O241" t="s">
        <v>74</v>
      </c>
      <c r="P241" t="s">
        <v>274</v>
      </c>
      <c r="Q241" t="s">
        <v>825</v>
      </c>
      <c r="R241" t="s">
        <v>50</v>
      </c>
      <c r="S241" t="str">
        <f t="shared" si="43"/>
        <v>First Class</v>
      </c>
      <c r="T241">
        <v>2</v>
      </c>
      <c r="U241">
        <v>1960.06</v>
      </c>
      <c r="V241">
        <v>0.2</v>
      </c>
      <c r="W241">
        <f t="shared" si="44"/>
        <v>0.2</v>
      </c>
      <c r="X241" t="str">
        <f t="shared" si="45"/>
        <v/>
      </c>
      <c r="Y241">
        <v>3136.1</v>
      </c>
      <c r="Z241">
        <f t="shared" si="46"/>
        <v>3136.096</v>
      </c>
      <c r="AA241">
        <v>2279.4899999999998</v>
      </c>
      <c r="AB241">
        <v>856.61</v>
      </c>
      <c r="AC241">
        <f t="shared" si="47"/>
        <v>1176.0360000000001</v>
      </c>
      <c r="AD241" s="6">
        <f t="shared" si="48"/>
        <v>0.375</v>
      </c>
      <c r="AE241" t="s">
        <v>32</v>
      </c>
      <c r="AF241" t="s">
        <v>33</v>
      </c>
      <c r="AG241">
        <f t="shared" si="49"/>
        <v>9</v>
      </c>
      <c r="AH241">
        <f t="shared" si="50"/>
        <v>2024</v>
      </c>
      <c r="AI241" t="str">
        <f t="shared" si="51"/>
        <v>CLEAN</v>
      </c>
    </row>
    <row r="242" spans="1:35">
      <c r="A242" t="s">
        <v>826</v>
      </c>
      <c r="B242">
        <f t="shared" si="39"/>
        <v>1</v>
      </c>
      <c r="C242" t="str">
        <f>IF(COUNTIF($A$2:A242, A242)&gt;1, "DUPLICATE_FLAGGED_FOR_REVIEW", "")</f>
        <v/>
      </c>
      <c r="D242" s="3">
        <v>45643</v>
      </c>
      <c r="E242" s="2">
        <v>45649</v>
      </c>
      <c r="F242" s="2" t="str">
        <f t="shared" si="40"/>
        <v>OK</v>
      </c>
      <c r="G242" s="4">
        <f t="shared" si="41"/>
        <v>6</v>
      </c>
      <c r="H242" t="s">
        <v>827</v>
      </c>
      <c r="I242" t="s">
        <v>128</v>
      </c>
      <c r="J242" t="s">
        <v>90</v>
      </c>
      <c r="K242" t="s">
        <v>54</v>
      </c>
      <c r="L242" t="str">
        <f t="shared" si="42"/>
        <v>South</v>
      </c>
      <c r="M242" t="s">
        <v>55</v>
      </c>
      <c r="N242" t="s">
        <v>56</v>
      </c>
      <c r="O242" t="s">
        <v>28</v>
      </c>
      <c r="P242" t="s">
        <v>153</v>
      </c>
      <c r="Q242" t="s">
        <v>828</v>
      </c>
      <c r="R242" t="s">
        <v>50</v>
      </c>
      <c r="S242" t="str">
        <f t="shared" si="43"/>
        <v>First Class</v>
      </c>
      <c r="T242">
        <v>9</v>
      </c>
      <c r="U242">
        <v>2315.1</v>
      </c>
      <c r="V242">
        <v>0</v>
      </c>
      <c r="W242">
        <f t="shared" si="44"/>
        <v>0</v>
      </c>
      <c r="X242" t="str">
        <f t="shared" si="45"/>
        <v/>
      </c>
      <c r="Y242">
        <v>20835.900000000001</v>
      </c>
      <c r="Z242">
        <f t="shared" si="46"/>
        <v>20835.899999999998</v>
      </c>
      <c r="AA242">
        <v>13928.19</v>
      </c>
      <c r="AB242">
        <v>6907.71</v>
      </c>
      <c r="AC242">
        <f t="shared" si="47"/>
        <v>18520.8</v>
      </c>
      <c r="AD242" s="6">
        <f t="shared" si="48"/>
        <v>0.88888888888888895</v>
      </c>
      <c r="AE242" t="s">
        <v>32</v>
      </c>
      <c r="AF242" t="s">
        <v>33</v>
      </c>
      <c r="AG242">
        <f t="shared" si="49"/>
        <v>12</v>
      </c>
      <c r="AH242">
        <f t="shared" si="50"/>
        <v>2024</v>
      </c>
      <c r="AI242" t="str">
        <f t="shared" si="51"/>
        <v>CLEAN</v>
      </c>
    </row>
    <row r="243" spans="1:35">
      <c r="A243" t="s">
        <v>829</v>
      </c>
      <c r="B243">
        <f t="shared" si="39"/>
        <v>1</v>
      </c>
      <c r="C243" t="str">
        <f>IF(COUNTIF($A$2:A243, A243)&gt;1, "DUPLICATE_FLAGGED_FOR_REVIEW", "")</f>
        <v/>
      </c>
      <c r="D243" s="3">
        <v>45815</v>
      </c>
      <c r="E243" s="2">
        <v>45844</v>
      </c>
      <c r="F243" s="2" t="str">
        <f t="shared" si="40"/>
        <v>OK</v>
      </c>
      <c r="G243" s="4">
        <f t="shared" si="41"/>
        <v>29</v>
      </c>
      <c r="H243" t="s">
        <v>830</v>
      </c>
      <c r="I243" t="s">
        <v>132</v>
      </c>
      <c r="J243" t="s">
        <v>90</v>
      </c>
      <c r="K243" t="s">
        <v>25</v>
      </c>
      <c r="L243" t="str">
        <f t="shared" si="42"/>
        <v>North</v>
      </c>
      <c r="M243" t="s">
        <v>236</v>
      </c>
      <c r="N243" t="s">
        <v>237</v>
      </c>
      <c r="O243" t="s">
        <v>28</v>
      </c>
      <c r="P243" t="s">
        <v>124</v>
      </c>
      <c r="Q243" t="s">
        <v>831</v>
      </c>
      <c r="R243" t="s">
        <v>59</v>
      </c>
      <c r="S243" t="str">
        <f t="shared" si="43"/>
        <v>Standard Class</v>
      </c>
      <c r="T243">
        <v>1</v>
      </c>
      <c r="U243">
        <v>1617.2</v>
      </c>
      <c r="V243">
        <v>0.25</v>
      </c>
      <c r="W243">
        <f t="shared" si="44"/>
        <v>0.25</v>
      </c>
      <c r="X243" t="str">
        <f t="shared" si="45"/>
        <v/>
      </c>
      <c r="Y243">
        <v>1212.9000000000001</v>
      </c>
      <c r="Z243">
        <f t="shared" si="46"/>
        <v>1212.9000000000001</v>
      </c>
      <c r="AA243">
        <v>690.52</v>
      </c>
      <c r="AB243">
        <v>522.38</v>
      </c>
      <c r="AC243">
        <f t="shared" si="47"/>
        <v>-404.29999999999995</v>
      </c>
      <c r="AD243" s="6">
        <f t="shared" si="48"/>
        <v>-0.33333333333333326</v>
      </c>
      <c r="AE243" t="s">
        <v>111</v>
      </c>
      <c r="AF243" t="s">
        <v>103</v>
      </c>
      <c r="AG243">
        <f t="shared" si="49"/>
        <v>6</v>
      </c>
      <c r="AH243">
        <f t="shared" si="50"/>
        <v>2025</v>
      </c>
      <c r="AI243" t="str">
        <f t="shared" si="51"/>
        <v>CLEAN</v>
      </c>
    </row>
    <row r="244" spans="1:35">
      <c r="A244" t="s">
        <v>832</v>
      </c>
      <c r="B244">
        <f t="shared" si="39"/>
        <v>1</v>
      </c>
      <c r="C244" t="str">
        <f>IF(COUNTIF($A$2:A244, A244)&gt;1, "DUPLICATE_FLAGGED_FOR_REVIEW", "")</f>
        <v/>
      </c>
      <c r="D244" s="3">
        <v>45695</v>
      </c>
      <c r="E244" s="2">
        <v>45695</v>
      </c>
      <c r="F244" s="2" t="str">
        <f t="shared" si="40"/>
        <v>OK</v>
      </c>
      <c r="G244" s="4">
        <f t="shared" si="41"/>
        <v>0</v>
      </c>
      <c r="H244" t="s">
        <v>833</v>
      </c>
      <c r="I244" t="s">
        <v>53</v>
      </c>
      <c r="J244" t="s">
        <v>24</v>
      </c>
      <c r="K244" t="s">
        <v>25</v>
      </c>
      <c r="L244" t="str">
        <f t="shared" si="42"/>
        <v>North</v>
      </c>
      <c r="M244" t="s">
        <v>136</v>
      </c>
      <c r="N244" t="s">
        <v>137</v>
      </c>
      <c r="O244" t="s">
        <v>28</v>
      </c>
      <c r="P244" t="s">
        <v>48</v>
      </c>
      <c r="Q244" t="s">
        <v>834</v>
      </c>
      <c r="R244" t="s">
        <v>31</v>
      </c>
      <c r="S244" t="str">
        <f t="shared" si="43"/>
        <v>Second Class</v>
      </c>
      <c r="T244">
        <v>3</v>
      </c>
      <c r="U244">
        <v>1999.24</v>
      </c>
      <c r="V244">
        <v>0.05</v>
      </c>
      <c r="W244">
        <f t="shared" si="44"/>
        <v>0.05</v>
      </c>
      <c r="X244" t="str">
        <f t="shared" si="45"/>
        <v/>
      </c>
      <c r="Y244">
        <v>5697.83</v>
      </c>
      <c r="Z244">
        <f t="shared" si="46"/>
        <v>5697.8339999999998</v>
      </c>
      <c r="AA244">
        <v>4251.5</v>
      </c>
      <c r="AB244">
        <v>1446.33</v>
      </c>
      <c r="AC244">
        <f t="shared" si="47"/>
        <v>3698.5940000000001</v>
      </c>
      <c r="AD244" s="6">
        <f t="shared" si="48"/>
        <v>0.64912280701754388</v>
      </c>
      <c r="AE244" t="s">
        <v>32</v>
      </c>
      <c r="AF244" t="s">
        <v>33</v>
      </c>
      <c r="AG244">
        <f t="shared" si="49"/>
        <v>2</v>
      </c>
      <c r="AH244">
        <f t="shared" si="50"/>
        <v>2025</v>
      </c>
      <c r="AI244" t="str">
        <f t="shared" si="51"/>
        <v>CLEAN</v>
      </c>
    </row>
    <row r="245" spans="1:35">
      <c r="A245" t="s">
        <v>835</v>
      </c>
      <c r="B245">
        <f t="shared" si="39"/>
        <v>1</v>
      </c>
      <c r="C245" t="str">
        <f>IF(COUNTIF($A$2:A245, A245)&gt;1, "DUPLICATE_FLAGGED_FOR_REVIEW", "")</f>
        <v/>
      </c>
      <c r="D245" s="3">
        <v>45867</v>
      </c>
      <c r="E245" s="2">
        <v>45871</v>
      </c>
      <c r="F245" s="2" t="str">
        <f t="shared" si="40"/>
        <v>OK</v>
      </c>
      <c r="G245" s="4">
        <f t="shared" si="41"/>
        <v>4</v>
      </c>
      <c r="H245" t="s">
        <v>836</v>
      </c>
      <c r="I245" t="s">
        <v>132</v>
      </c>
      <c r="J245" t="s">
        <v>37</v>
      </c>
      <c r="K245" t="s">
        <v>2760</v>
      </c>
      <c r="L245" t="str">
        <f t="shared" si="42"/>
        <v>Unknown</v>
      </c>
      <c r="M245" t="s">
        <v>72</v>
      </c>
      <c r="N245" t="s">
        <v>73</v>
      </c>
      <c r="O245" t="s">
        <v>74</v>
      </c>
      <c r="P245" t="s">
        <v>75</v>
      </c>
      <c r="Q245" t="s">
        <v>837</v>
      </c>
      <c r="R245" t="s">
        <v>50</v>
      </c>
      <c r="S245" t="str">
        <f t="shared" si="43"/>
        <v>First Class</v>
      </c>
      <c r="T245">
        <v>1</v>
      </c>
      <c r="U245">
        <v>4499.46</v>
      </c>
      <c r="V245">
        <v>0.1</v>
      </c>
      <c r="W245">
        <f t="shared" si="44"/>
        <v>0.1</v>
      </c>
      <c r="X245" t="str">
        <f t="shared" si="45"/>
        <v/>
      </c>
      <c r="Y245">
        <v>4049.51</v>
      </c>
      <c r="Z245">
        <f t="shared" si="46"/>
        <v>4049.5140000000001</v>
      </c>
      <c r="AA245">
        <v>2509.1999999999998</v>
      </c>
      <c r="AB245">
        <v>1540.31</v>
      </c>
      <c r="AC245">
        <f t="shared" si="47"/>
        <v>-449.94599999999991</v>
      </c>
      <c r="AD245" s="6">
        <f t="shared" si="48"/>
        <v>-0.11111111111111109</v>
      </c>
      <c r="AE245" t="s">
        <v>32</v>
      </c>
      <c r="AF245" t="s">
        <v>33</v>
      </c>
      <c r="AG245">
        <f t="shared" si="49"/>
        <v>7</v>
      </c>
      <c r="AH245">
        <f t="shared" si="50"/>
        <v>2025</v>
      </c>
      <c r="AI245" t="str">
        <f t="shared" si="51"/>
        <v>WARNING</v>
      </c>
    </row>
    <row r="246" spans="1:35">
      <c r="A246" t="s">
        <v>838</v>
      </c>
      <c r="B246">
        <f t="shared" si="39"/>
        <v>1</v>
      </c>
      <c r="C246" t="str">
        <f>IF(COUNTIF($A$2:A246, A246)&gt;1, "DUPLICATE_FLAGGED_FOR_REVIEW", "")</f>
        <v/>
      </c>
      <c r="D246" s="3">
        <v>45527</v>
      </c>
      <c r="E246" s="2">
        <v>45528</v>
      </c>
      <c r="F246" s="2" t="str">
        <f t="shared" si="40"/>
        <v>OK</v>
      </c>
      <c r="G246" s="4">
        <f t="shared" si="41"/>
        <v>1</v>
      </c>
      <c r="H246" t="s">
        <v>839</v>
      </c>
      <c r="I246" t="s">
        <v>79</v>
      </c>
      <c r="J246" t="s">
        <v>24</v>
      </c>
      <c r="K246" t="s">
        <v>54</v>
      </c>
      <c r="L246" t="str">
        <f t="shared" si="42"/>
        <v>South</v>
      </c>
      <c r="M246" t="s">
        <v>55</v>
      </c>
      <c r="N246" t="s">
        <v>56</v>
      </c>
      <c r="O246" t="s">
        <v>41</v>
      </c>
      <c r="P246" t="s">
        <v>158</v>
      </c>
      <c r="Q246" t="s">
        <v>840</v>
      </c>
      <c r="R246" t="s">
        <v>44</v>
      </c>
      <c r="S246" t="str">
        <f t="shared" si="43"/>
        <v>Same Day</v>
      </c>
      <c r="T246">
        <v>6</v>
      </c>
      <c r="U246">
        <v>1021.89</v>
      </c>
      <c r="V246">
        <v>0</v>
      </c>
      <c r="W246">
        <f t="shared" si="44"/>
        <v>0</v>
      </c>
      <c r="X246" t="str">
        <f t="shared" si="45"/>
        <v/>
      </c>
      <c r="Y246">
        <v>6131.34</v>
      </c>
      <c r="Z246">
        <f t="shared" si="46"/>
        <v>6131.34</v>
      </c>
      <c r="AA246">
        <v>4060.88</v>
      </c>
      <c r="AB246">
        <v>2070.46</v>
      </c>
      <c r="AC246">
        <f t="shared" si="47"/>
        <v>5109.45</v>
      </c>
      <c r="AD246" s="6">
        <f t="shared" si="48"/>
        <v>0.83333333333333326</v>
      </c>
      <c r="AE246" t="s">
        <v>32</v>
      </c>
      <c r="AF246" t="s">
        <v>33</v>
      </c>
      <c r="AG246">
        <f t="shared" si="49"/>
        <v>8</v>
      </c>
      <c r="AH246">
        <f t="shared" si="50"/>
        <v>2024</v>
      </c>
      <c r="AI246" t="str">
        <f t="shared" si="51"/>
        <v>CLEAN</v>
      </c>
    </row>
    <row r="247" spans="1:35">
      <c r="A247" t="s">
        <v>841</v>
      </c>
      <c r="B247">
        <f t="shared" si="39"/>
        <v>1</v>
      </c>
      <c r="C247" t="str">
        <f>IF(COUNTIF($A$2:A247, A247)&gt;1, "DUPLICATE_FLAGGED_FOR_REVIEW", "")</f>
        <v/>
      </c>
      <c r="D247" s="3">
        <v>45583</v>
      </c>
      <c r="E247" s="2">
        <v>45589</v>
      </c>
      <c r="F247" s="2" t="str">
        <f t="shared" si="40"/>
        <v>OK</v>
      </c>
      <c r="G247" s="4">
        <f t="shared" si="41"/>
        <v>6</v>
      </c>
      <c r="H247" t="s">
        <v>842</v>
      </c>
      <c r="I247" t="s">
        <v>79</v>
      </c>
      <c r="J247" t="s">
        <v>95</v>
      </c>
      <c r="K247" t="s">
        <v>54</v>
      </c>
      <c r="L247" t="str">
        <f t="shared" si="42"/>
        <v>South</v>
      </c>
      <c r="M247" t="s">
        <v>185</v>
      </c>
      <c r="N247" t="s">
        <v>186</v>
      </c>
      <c r="O247" t="s">
        <v>41</v>
      </c>
      <c r="P247" t="s">
        <v>66</v>
      </c>
      <c r="Q247" t="s">
        <v>843</v>
      </c>
      <c r="R247" t="s">
        <v>31</v>
      </c>
      <c r="S247" t="str">
        <f t="shared" si="43"/>
        <v>Second Class</v>
      </c>
      <c r="T247">
        <v>3</v>
      </c>
      <c r="U247">
        <v>3275.93</v>
      </c>
      <c r="V247">
        <v>0</v>
      </c>
      <c r="W247">
        <f t="shared" si="44"/>
        <v>0</v>
      </c>
      <c r="X247" t="str">
        <f t="shared" si="45"/>
        <v/>
      </c>
      <c r="Y247">
        <v>9827.7900000000009</v>
      </c>
      <c r="Z247">
        <f t="shared" si="46"/>
        <v>9827.7899999999991</v>
      </c>
      <c r="AA247">
        <v>5478.28</v>
      </c>
      <c r="AB247">
        <v>4349.51</v>
      </c>
      <c r="AC247">
        <f t="shared" si="47"/>
        <v>6551.8599999999988</v>
      </c>
      <c r="AD247" s="6">
        <f t="shared" si="48"/>
        <v>0.66666666666666663</v>
      </c>
      <c r="AE247" t="s">
        <v>32</v>
      </c>
      <c r="AF247" t="s">
        <v>33</v>
      </c>
      <c r="AG247">
        <f t="shared" si="49"/>
        <v>10</v>
      </c>
      <c r="AH247">
        <f t="shared" si="50"/>
        <v>2024</v>
      </c>
      <c r="AI247" t="str">
        <f t="shared" si="51"/>
        <v>CLEAN</v>
      </c>
    </row>
    <row r="248" spans="1:35">
      <c r="A248" t="s">
        <v>844</v>
      </c>
      <c r="B248">
        <f t="shared" si="39"/>
        <v>1</v>
      </c>
      <c r="C248" t="str">
        <f>IF(COUNTIF($A$2:A248, A248)&gt;1, "DUPLICATE_FLAGGED_FOR_REVIEW", "")</f>
        <v/>
      </c>
      <c r="D248" s="3">
        <v>45416</v>
      </c>
      <c r="E248" s="2">
        <v>45421</v>
      </c>
      <c r="F248" s="2" t="str">
        <f t="shared" si="40"/>
        <v>OK</v>
      </c>
      <c r="G248" s="4">
        <f t="shared" si="41"/>
        <v>5</v>
      </c>
      <c r="H248" t="s">
        <v>845</v>
      </c>
      <c r="I248" t="s">
        <v>62</v>
      </c>
      <c r="J248" t="s">
        <v>90</v>
      </c>
      <c r="K248" t="s">
        <v>25</v>
      </c>
      <c r="L248" t="str">
        <f t="shared" si="42"/>
        <v>North</v>
      </c>
      <c r="M248" t="s">
        <v>122</v>
      </c>
      <c r="N248" t="s">
        <v>123</v>
      </c>
      <c r="O248" t="s">
        <v>74</v>
      </c>
      <c r="P248" t="s">
        <v>274</v>
      </c>
      <c r="Q248" t="s">
        <v>846</v>
      </c>
      <c r="R248" t="s">
        <v>44</v>
      </c>
      <c r="S248" t="str">
        <f t="shared" si="43"/>
        <v>Same Day</v>
      </c>
      <c r="T248">
        <v>3</v>
      </c>
      <c r="U248">
        <v>231.95</v>
      </c>
      <c r="V248">
        <v>0.25</v>
      </c>
      <c r="W248">
        <f t="shared" si="44"/>
        <v>0.25</v>
      </c>
      <c r="X248" t="str">
        <f t="shared" si="45"/>
        <v/>
      </c>
      <c r="Y248">
        <v>521.89</v>
      </c>
      <c r="Z248">
        <f t="shared" si="46"/>
        <v>521.88749999999993</v>
      </c>
      <c r="AA248">
        <v>444.52</v>
      </c>
      <c r="AB248">
        <v>77.37</v>
      </c>
      <c r="AC248">
        <f t="shared" si="47"/>
        <v>289.93749999999994</v>
      </c>
      <c r="AD248" s="6">
        <f t="shared" si="48"/>
        <v>0.55555555555555547</v>
      </c>
      <c r="AE248" t="s">
        <v>102</v>
      </c>
      <c r="AF248" t="s">
        <v>68</v>
      </c>
      <c r="AG248">
        <f t="shared" si="49"/>
        <v>5</v>
      </c>
      <c r="AH248">
        <f t="shared" si="50"/>
        <v>2024</v>
      </c>
      <c r="AI248" t="str">
        <f t="shared" si="51"/>
        <v>CLEAN</v>
      </c>
    </row>
    <row r="249" spans="1:35">
      <c r="A249" t="s">
        <v>847</v>
      </c>
      <c r="B249">
        <f t="shared" si="39"/>
        <v>1</v>
      </c>
      <c r="C249" t="str">
        <f>IF(COUNTIF($A$2:A249, A249)&gt;1, "DUPLICATE_FLAGGED_FOR_REVIEW", "")</f>
        <v/>
      </c>
      <c r="D249" s="3">
        <v>45498</v>
      </c>
      <c r="E249" s="2">
        <v>45505</v>
      </c>
      <c r="F249" s="2" t="str">
        <f t="shared" si="40"/>
        <v>OK</v>
      </c>
      <c r="G249" s="4">
        <f t="shared" si="41"/>
        <v>7</v>
      </c>
      <c r="H249" t="s">
        <v>848</v>
      </c>
      <c r="I249" t="s">
        <v>118</v>
      </c>
      <c r="J249" t="s">
        <v>90</v>
      </c>
      <c r="K249" t="s">
        <v>25</v>
      </c>
      <c r="L249" t="str">
        <f t="shared" si="42"/>
        <v>North</v>
      </c>
      <c r="M249" t="s">
        <v>26</v>
      </c>
      <c r="N249" t="s">
        <v>27</v>
      </c>
      <c r="O249" t="s">
        <v>74</v>
      </c>
      <c r="P249" t="s">
        <v>75</v>
      </c>
      <c r="Q249" t="s">
        <v>849</v>
      </c>
      <c r="R249" t="s">
        <v>31</v>
      </c>
      <c r="S249" t="str">
        <f t="shared" si="43"/>
        <v>Second Class</v>
      </c>
      <c r="T249">
        <v>8</v>
      </c>
      <c r="U249">
        <v>2493.4</v>
      </c>
      <c r="V249">
        <v>0.25</v>
      </c>
      <c r="W249">
        <f t="shared" si="44"/>
        <v>0.25</v>
      </c>
      <c r="X249" t="str">
        <f t="shared" si="45"/>
        <v/>
      </c>
      <c r="Y249">
        <v>14960.4</v>
      </c>
      <c r="Z249">
        <f t="shared" si="46"/>
        <v>14960.400000000001</v>
      </c>
      <c r="AA249">
        <v>12500.84</v>
      </c>
      <c r="AB249">
        <v>2459.56</v>
      </c>
      <c r="AC249">
        <f t="shared" si="47"/>
        <v>12467.000000000002</v>
      </c>
      <c r="AD249" s="6">
        <f t="shared" si="48"/>
        <v>0.83333333333333337</v>
      </c>
      <c r="AE249" t="s">
        <v>32</v>
      </c>
      <c r="AF249" t="s">
        <v>33</v>
      </c>
      <c r="AG249">
        <f t="shared" si="49"/>
        <v>7</v>
      </c>
      <c r="AH249">
        <f t="shared" si="50"/>
        <v>2024</v>
      </c>
      <c r="AI249" t="str">
        <f t="shared" si="51"/>
        <v>CLEAN</v>
      </c>
    </row>
    <row r="250" spans="1:35">
      <c r="A250" t="s">
        <v>850</v>
      </c>
      <c r="B250">
        <f t="shared" si="39"/>
        <v>1</v>
      </c>
      <c r="C250" t="str">
        <f>IF(COUNTIF($A$2:A250, A250)&gt;1, "DUPLICATE_FLAGGED_FOR_REVIEW", "")</f>
        <v/>
      </c>
      <c r="D250" s="3">
        <v>45328</v>
      </c>
      <c r="E250" s="2">
        <v>45450</v>
      </c>
      <c r="F250" s="2" t="str">
        <f t="shared" si="40"/>
        <v>OK</v>
      </c>
      <c r="G250" s="4">
        <f t="shared" si="41"/>
        <v>122</v>
      </c>
      <c r="H250" t="s">
        <v>851</v>
      </c>
      <c r="I250" t="s">
        <v>141</v>
      </c>
      <c r="J250" t="s">
        <v>95</v>
      </c>
      <c r="K250" t="s">
        <v>38</v>
      </c>
      <c r="L250" t="str">
        <f t="shared" si="42"/>
        <v>East</v>
      </c>
      <c r="M250" t="s">
        <v>39</v>
      </c>
      <c r="N250" t="s">
        <v>40</v>
      </c>
      <c r="O250" t="s">
        <v>28</v>
      </c>
      <c r="P250" t="s">
        <v>91</v>
      </c>
      <c r="Q250" t="s">
        <v>852</v>
      </c>
      <c r="R250" t="s">
        <v>31</v>
      </c>
      <c r="S250" t="str">
        <f t="shared" si="43"/>
        <v>Second Class</v>
      </c>
      <c r="T250">
        <v>9</v>
      </c>
      <c r="U250">
        <v>787.91</v>
      </c>
      <c r="V250">
        <v>0.15</v>
      </c>
      <c r="W250">
        <f t="shared" si="44"/>
        <v>0.15</v>
      </c>
      <c r="X250" t="str">
        <f t="shared" si="45"/>
        <v/>
      </c>
      <c r="Y250">
        <v>6027.51</v>
      </c>
      <c r="Z250">
        <f t="shared" si="46"/>
        <v>6027.5114999999996</v>
      </c>
      <c r="AA250">
        <v>4883.82</v>
      </c>
      <c r="AB250">
        <v>1143.69</v>
      </c>
      <c r="AC250">
        <f t="shared" si="47"/>
        <v>5239.6014999999998</v>
      </c>
      <c r="AD250" s="6">
        <f t="shared" si="48"/>
        <v>0.86928104575163401</v>
      </c>
      <c r="AE250" t="s">
        <v>32</v>
      </c>
      <c r="AF250" t="s">
        <v>33</v>
      </c>
      <c r="AG250">
        <f t="shared" si="49"/>
        <v>2</v>
      </c>
      <c r="AH250">
        <f t="shared" si="50"/>
        <v>2024</v>
      </c>
      <c r="AI250" t="str">
        <f t="shared" si="51"/>
        <v>CLEAN</v>
      </c>
    </row>
    <row r="251" spans="1:35">
      <c r="A251" t="s">
        <v>853</v>
      </c>
      <c r="B251">
        <f t="shared" si="39"/>
        <v>1</v>
      </c>
      <c r="C251" t="str">
        <f>IF(COUNTIF($A$2:A251, A251)&gt;1, "DUPLICATE_FLAGGED_FOR_REVIEW", "")</f>
        <v/>
      </c>
      <c r="D251" s="3">
        <v>45665</v>
      </c>
      <c r="E251" s="2">
        <v>45696</v>
      </c>
      <c r="F251" s="2" t="str">
        <f t="shared" si="40"/>
        <v>OK</v>
      </c>
      <c r="G251" s="4">
        <f t="shared" si="41"/>
        <v>31</v>
      </c>
      <c r="H251" t="s">
        <v>854</v>
      </c>
      <c r="I251" t="s">
        <v>36</v>
      </c>
      <c r="J251" t="s">
        <v>90</v>
      </c>
      <c r="K251" t="s">
        <v>25</v>
      </c>
      <c r="L251" t="str">
        <f t="shared" si="42"/>
        <v>North</v>
      </c>
      <c r="M251" t="s">
        <v>26</v>
      </c>
      <c r="N251" t="s">
        <v>27</v>
      </c>
      <c r="O251" t="s">
        <v>41</v>
      </c>
      <c r="P251" t="s">
        <v>57</v>
      </c>
      <c r="Q251" t="s">
        <v>855</v>
      </c>
      <c r="R251" t="s">
        <v>50</v>
      </c>
      <c r="S251" t="str">
        <f t="shared" si="43"/>
        <v>First Class</v>
      </c>
      <c r="T251">
        <v>4</v>
      </c>
      <c r="U251">
        <v>2790.29</v>
      </c>
      <c r="V251">
        <v>0.2</v>
      </c>
      <c r="W251">
        <f t="shared" si="44"/>
        <v>0.2</v>
      </c>
      <c r="X251" t="str">
        <f t="shared" si="45"/>
        <v/>
      </c>
      <c r="Y251">
        <v>8928.93</v>
      </c>
      <c r="Z251">
        <f t="shared" si="46"/>
        <v>8928.9279999999999</v>
      </c>
      <c r="AA251">
        <v>5634.38</v>
      </c>
      <c r="AB251">
        <v>3294.55</v>
      </c>
      <c r="AC251">
        <f t="shared" si="47"/>
        <v>6138.6379999999999</v>
      </c>
      <c r="AD251" s="6">
        <f t="shared" si="48"/>
        <v>0.6875</v>
      </c>
      <c r="AE251" t="s">
        <v>32</v>
      </c>
      <c r="AF251" t="s">
        <v>33</v>
      </c>
      <c r="AG251">
        <f t="shared" si="49"/>
        <v>1</v>
      </c>
      <c r="AH251">
        <f t="shared" si="50"/>
        <v>2025</v>
      </c>
      <c r="AI251" t="str">
        <f t="shared" si="51"/>
        <v>CLEAN</v>
      </c>
    </row>
    <row r="252" spans="1:35">
      <c r="A252" t="s">
        <v>856</v>
      </c>
      <c r="B252">
        <f t="shared" si="39"/>
        <v>1</v>
      </c>
      <c r="C252" t="str">
        <f>IF(COUNTIF($A$2:A252, A252)&gt;1, "DUPLICATE_FLAGGED_FOR_REVIEW", "")</f>
        <v/>
      </c>
      <c r="D252" s="3">
        <v>45343</v>
      </c>
      <c r="E252" s="2">
        <v>45349</v>
      </c>
      <c r="F252" s="2" t="str">
        <f t="shared" si="40"/>
        <v>OK</v>
      </c>
      <c r="G252" s="4">
        <f t="shared" si="41"/>
        <v>6</v>
      </c>
      <c r="H252" t="s">
        <v>857</v>
      </c>
      <c r="I252" t="s">
        <v>53</v>
      </c>
      <c r="J252" t="s">
        <v>37</v>
      </c>
      <c r="K252" t="s">
        <v>38</v>
      </c>
      <c r="L252" t="str">
        <f t="shared" si="42"/>
        <v>East</v>
      </c>
      <c r="M252" t="s">
        <v>99</v>
      </c>
      <c r="N252" t="s">
        <v>100</v>
      </c>
      <c r="O252" t="s">
        <v>41</v>
      </c>
      <c r="P252" t="s">
        <v>57</v>
      </c>
      <c r="Q252" t="s">
        <v>858</v>
      </c>
      <c r="R252" t="s">
        <v>59</v>
      </c>
      <c r="S252" t="str">
        <f t="shared" si="43"/>
        <v>Standard Class</v>
      </c>
      <c r="T252">
        <v>5</v>
      </c>
      <c r="U252">
        <v>3373.86</v>
      </c>
      <c r="V252">
        <v>0.15</v>
      </c>
      <c r="W252">
        <f t="shared" si="44"/>
        <v>0.15</v>
      </c>
      <c r="X252" t="str">
        <f t="shared" si="45"/>
        <v/>
      </c>
      <c r="Y252">
        <v>14338.9</v>
      </c>
      <c r="Z252">
        <f t="shared" si="46"/>
        <v>14338.904999999999</v>
      </c>
      <c r="AA252">
        <v>11897.65</v>
      </c>
      <c r="AB252">
        <v>2441.25</v>
      </c>
      <c r="AC252">
        <f t="shared" si="47"/>
        <v>10965.044999999998</v>
      </c>
      <c r="AD252" s="6">
        <f t="shared" si="48"/>
        <v>0.76470588235294112</v>
      </c>
      <c r="AE252" t="s">
        <v>111</v>
      </c>
      <c r="AF252" t="s">
        <v>103</v>
      </c>
      <c r="AG252">
        <f t="shared" si="49"/>
        <v>2</v>
      </c>
      <c r="AH252">
        <f t="shared" si="50"/>
        <v>2024</v>
      </c>
      <c r="AI252" t="str">
        <f t="shared" si="51"/>
        <v>CLEAN</v>
      </c>
    </row>
    <row r="253" spans="1:35">
      <c r="A253" t="s">
        <v>859</v>
      </c>
      <c r="B253">
        <f t="shared" si="39"/>
        <v>1</v>
      </c>
      <c r="C253" t="str">
        <f>IF(COUNTIF($A$2:A253, A253)&gt;1, "DUPLICATE_FLAGGED_FOR_REVIEW", "")</f>
        <v/>
      </c>
      <c r="D253" s="3">
        <v>45753</v>
      </c>
      <c r="E253" s="2">
        <v>45934</v>
      </c>
      <c r="F253" s="2" t="str">
        <f t="shared" si="40"/>
        <v>OK</v>
      </c>
      <c r="G253" s="4">
        <f t="shared" si="41"/>
        <v>181</v>
      </c>
      <c r="H253" t="s">
        <v>860</v>
      </c>
      <c r="I253" t="s">
        <v>62</v>
      </c>
      <c r="J253" t="s">
        <v>90</v>
      </c>
      <c r="K253" t="s">
        <v>63</v>
      </c>
      <c r="L253" t="str">
        <f t="shared" si="42"/>
        <v>West</v>
      </c>
      <c r="M253" t="s">
        <v>180</v>
      </c>
      <c r="N253" t="s">
        <v>181</v>
      </c>
      <c r="O253" t="s">
        <v>41</v>
      </c>
      <c r="P253" t="s">
        <v>42</v>
      </c>
      <c r="Q253" t="s">
        <v>861</v>
      </c>
      <c r="R253" t="s">
        <v>31</v>
      </c>
      <c r="S253" t="str">
        <f t="shared" si="43"/>
        <v>Second Class</v>
      </c>
      <c r="T253">
        <v>6</v>
      </c>
      <c r="U253">
        <v>1022.16</v>
      </c>
      <c r="V253">
        <v>0</v>
      </c>
      <c r="W253">
        <f t="shared" si="44"/>
        <v>0</v>
      </c>
      <c r="X253" t="str">
        <f t="shared" si="45"/>
        <v/>
      </c>
      <c r="Y253">
        <v>6132.96</v>
      </c>
      <c r="Z253">
        <f t="shared" si="46"/>
        <v>6132.96</v>
      </c>
      <c r="AA253">
        <v>4881.1000000000004</v>
      </c>
      <c r="AB253">
        <v>1251.8599999999999</v>
      </c>
      <c r="AC253">
        <f t="shared" si="47"/>
        <v>5110.8</v>
      </c>
      <c r="AD253" s="6">
        <f t="shared" si="48"/>
        <v>0.83333333333333337</v>
      </c>
      <c r="AE253" t="s">
        <v>32</v>
      </c>
      <c r="AF253" t="s">
        <v>33</v>
      </c>
      <c r="AG253">
        <f t="shared" si="49"/>
        <v>4</v>
      </c>
      <c r="AH253">
        <f t="shared" si="50"/>
        <v>2025</v>
      </c>
      <c r="AI253" t="str">
        <f t="shared" si="51"/>
        <v>CLEAN</v>
      </c>
    </row>
    <row r="254" spans="1:35">
      <c r="A254" t="s">
        <v>862</v>
      </c>
      <c r="B254">
        <f t="shared" si="39"/>
        <v>1</v>
      </c>
      <c r="C254" t="str">
        <f>IF(COUNTIF($A$2:A254, A254)&gt;1, "DUPLICATE_FLAGGED_FOR_REVIEW", "")</f>
        <v/>
      </c>
      <c r="D254" s="3">
        <v>45833</v>
      </c>
      <c r="E254" s="2">
        <v>45836</v>
      </c>
      <c r="F254" s="2" t="str">
        <f t="shared" si="40"/>
        <v>OK</v>
      </c>
      <c r="G254" s="4">
        <f t="shared" si="41"/>
        <v>3</v>
      </c>
      <c r="H254" t="s">
        <v>863</v>
      </c>
      <c r="I254" t="s">
        <v>53</v>
      </c>
      <c r="J254" t="s">
        <v>90</v>
      </c>
      <c r="K254" t="s">
        <v>25</v>
      </c>
      <c r="L254" t="str">
        <f t="shared" si="42"/>
        <v>North</v>
      </c>
      <c r="M254" t="s">
        <v>236</v>
      </c>
      <c r="N254" t="s">
        <v>237</v>
      </c>
      <c r="O254" t="s">
        <v>28</v>
      </c>
      <c r="P254" t="s">
        <v>124</v>
      </c>
      <c r="Q254" t="s">
        <v>864</v>
      </c>
      <c r="R254" t="s">
        <v>50</v>
      </c>
      <c r="S254" t="str">
        <f t="shared" si="43"/>
        <v>First Class</v>
      </c>
      <c r="T254">
        <v>2</v>
      </c>
      <c r="U254">
        <v>1455.92</v>
      </c>
      <c r="V254">
        <v>0.2</v>
      </c>
      <c r="W254">
        <f t="shared" si="44"/>
        <v>0.2</v>
      </c>
      <c r="X254" t="str">
        <f t="shared" si="45"/>
        <v/>
      </c>
      <c r="Y254">
        <v>2329.4699999999998</v>
      </c>
      <c r="Z254">
        <f t="shared" si="46"/>
        <v>2329.4720000000002</v>
      </c>
      <c r="AA254">
        <v>1603.62</v>
      </c>
      <c r="AB254">
        <v>725.85</v>
      </c>
      <c r="AC254">
        <f t="shared" si="47"/>
        <v>873.55200000000013</v>
      </c>
      <c r="AD254" s="6">
        <f t="shared" si="48"/>
        <v>0.375</v>
      </c>
      <c r="AE254" t="s">
        <v>111</v>
      </c>
      <c r="AF254" t="s">
        <v>103</v>
      </c>
      <c r="AG254">
        <f t="shared" si="49"/>
        <v>6</v>
      </c>
      <c r="AH254">
        <f t="shared" si="50"/>
        <v>2025</v>
      </c>
      <c r="AI254" t="str">
        <f t="shared" si="51"/>
        <v>CLEAN</v>
      </c>
    </row>
    <row r="255" spans="1:35">
      <c r="A255" t="s">
        <v>865</v>
      </c>
      <c r="B255">
        <f t="shared" si="39"/>
        <v>1</v>
      </c>
      <c r="C255" t="str">
        <f>IF(COUNTIF($A$2:A255, A255)&gt;1, "DUPLICATE_FLAGGED_FOR_REVIEW", "")</f>
        <v/>
      </c>
      <c r="D255" s="3">
        <v>45547</v>
      </c>
      <c r="E255" s="2">
        <v>45548</v>
      </c>
      <c r="F255" s="2" t="str">
        <f t="shared" si="40"/>
        <v>OK</v>
      </c>
      <c r="G255" s="4">
        <f t="shared" si="41"/>
        <v>1</v>
      </c>
      <c r="H255" t="s">
        <v>866</v>
      </c>
      <c r="I255" t="s">
        <v>114</v>
      </c>
      <c r="J255" t="s">
        <v>37</v>
      </c>
      <c r="K255" t="s">
        <v>25</v>
      </c>
      <c r="L255" t="str">
        <f t="shared" si="42"/>
        <v>North</v>
      </c>
      <c r="M255" t="s">
        <v>26</v>
      </c>
      <c r="N255" t="s">
        <v>27</v>
      </c>
      <c r="O255" t="s">
        <v>74</v>
      </c>
      <c r="P255" t="s">
        <v>171</v>
      </c>
      <c r="Q255" t="s">
        <v>867</v>
      </c>
      <c r="R255" t="s">
        <v>44</v>
      </c>
      <c r="S255" t="str">
        <f t="shared" si="43"/>
        <v>Same Day</v>
      </c>
      <c r="T255">
        <v>6</v>
      </c>
      <c r="U255">
        <v>832.79</v>
      </c>
      <c r="V255">
        <v>0.05</v>
      </c>
      <c r="W255">
        <f t="shared" si="44"/>
        <v>0.05</v>
      </c>
      <c r="X255" t="str">
        <f t="shared" si="45"/>
        <v/>
      </c>
      <c r="Y255">
        <v>4746.8999999999996</v>
      </c>
      <c r="Z255">
        <f t="shared" si="46"/>
        <v>4746.9029999999993</v>
      </c>
      <c r="AA255">
        <v>2825.38</v>
      </c>
      <c r="AB255">
        <v>1472.89</v>
      </c>
      <c r="AC255">
        <f t="shared" si="47"/>
        <v>3914.1129999999994</v>
      </c>
      <c r="AD255" s="6">
        <f t="shared" si="48"/>
        <v>0.82456140350877194</v>
      </c>
      <c r="AE255" t="s">
        <v>102</v>
      </c>
      <c r="AF255" t="s">
        <v>68</v>
      </c>
      <c r="AG255">
        <f t="shared" si="49"/>
        <v>9</v>
      </c>
      <c r="AH255">
        <f t="shared" si="50"/>
        <v>2024</v>
      </c>
      <c r="AI255" t="str">
        <f t="shared" si="51"/>
        <v>CLEAN</v>
      </c>
    </row>
    <row r="256" spans="1:35">
      <c r="A256" t="s">
        <v>868</v>
      </c>
      <c r="B256">
        <f t="shared" si="39"/>
        <v>1</v>
      </c>
      <c r="C256" t="str">
        <f>IF(COUNTIF($A$2:A256, A256)&gt;1, "DUPLICATE_FLAGGED_FOR_REVIEW", "")</f>
        <v/>
      </c>
      <c r="D256" s="3">
        <v>45658</v>
      </c>
      <c r="E256" s="2">
        <v>45660</v>
      </c>
      <c r="F256" s="2" t="str">
        <f t="shared" si="40"/>
        <v>OK</v>
      </c>
      <c r="G256" s="4">
        <f t="shared" si="41"/>
        <v>2</v>
      </c>
      <c r="H256" t="s">
        <v>869</v>
      </c>
      <c r="I256" t="s">
        <v>62</v>
      </c>
      <c r="J256" t="s">
        <v>24</v>
      </c>
      <c r="K256" t="s">
        <v>63</v>
      </c>
      <c r="L256" t="str">
        <f t="shared" si="42"/>
        <v>West</v>
      </c>
      <c r="M256" t="s">
        <v>72</v>
      </c>
      <c r="N256" t="s">
        <v>73</v>
      </c>
      <c r="O256" t="s">
        <v>74</v>
      </c>
      <c r="P256" t="s">
        <v>75</v>
      </c>
      <c r="Q256" t="s">
        <v>870</v>
      </c>
      <c r="R256" t="s">
        <v>44</v>
      </c>
      <c r="S256" t="str">
        <f t="shared" si="43"/>
        <v>Same Day</v>
      </c>
      <c r="T256">
        <v>7</v>
      </c>
      <c r="U256">
        <v>1000.55</v>
      </c>
      <c r="V256">
        <v>0.2</v>
      </c>
      <c r="W256">
        <f t="shared" si="44"/>
        <v>0.2</v>
      </c>
      <c r="X256" t="str">
        <f t="shared" si="45"/>
        <v/>
      </c>
      <c r="Y256">
        <v>5603.08</v>
      </c>
      <c r="Z256">
        <f t="shared" si="46"/>
        <v>5603.08</v>
      </c>
      <c r="AA256">
        <v>3132.52</v>
      </c>
      <c r="AB256">
        <v>2470.56</v>
      </c>
      <c r="AC256">
        <f t="shared" si="47"/>
        <v>4602.53</v>
      </c>
      <c r="AD256" s="6">
        <f t="shared" si="48"/>
        <v>0.8214285714285714</v>
      </c>
      <c r="AE256" t="s">
        <v>32</v>
      </c>
      <c r="AF256" t="s">
        <v>103</v>
      </c>
      <c r="AG256">
        <f t="shared" si="49"/>
        <v>1</v>
      </c>
      <c r="AH256">
        <f t="shared" si="50"/>
        <v>2025</v>
      </c>
      <c r="AI256" t="str">
        <f t="shared" si="51"/>
        <v>CLEAN</v>
      </c>
    </row>
    <row r="257" spans="1:35">
      <c r="A257" t="s">
        <v>871</v>
      </c>
      <c r="B257">
        <f t="shared" si="39"/>
        <v>1</v>
      </c>
      <c r="C257" t="str">
        <f>IF(COUNTIF($A$2:A257, A257)&gt;1, "DUPLICATE_FLAGGED_FOR_REVIEW", "")</f>
        <v/>
      </c>
      <c r="D257" s="3">
        <v>45692</v>
      </c>
      <c r="E257" s="2">
        <v>45932</v>
      </c>
      <c r="F257" s="2" t="str">
        <f t="shared" si="40"/>
        <v>OK</v>
      </c>
      <c r="G257" s="4">
        <f t="shared" si="41"/>
        <v>240</v>
      </c>
      <c r="H257" t="s">
        <v>872</v>
      </c>
      <c r="I257" t="s">
        <v>47</v>
      </c>
      <c r="J257" t="s">
        <v>90</v>
      </c>
      <c r="K257" t="s">
        <v>63</v>
      </c>
      <c r="L257" t="str">
        <f t="shared" si="42"/>
        <v>West</v>
      </c>
      <c r="M257" t="s">
        <v>64</v>
      </c>
      <c r="N257" t="s">
        <v>65</v>
      </c>
      <c r="O257" t="s">
        <v>74</v>
      </c>
      <c r="P257" t="s">
        <v>171</v>
      </c>
      <c r="Q257" t="s">
        <v>873</v>
      </c>
      <c r="R257" t="s">
        <v>50</v>
      </c>
      <c r="S257" t="str">
        <f t="shared" si="43"/>
        <v>First Class</v>
      </c>
      <c r="T257">
        <v>7</v>
      </c>
      <c r="U257">
        <v>1830</v>
      </c>
      <c r="V257">
        <v>0</v>
      </c>
      <c r="W257">
        <f t="shared" si="44"/>
        <v>0</v>
      </c>
      <c r="X257" t="str">
        <f t="shared" si="45"/>
        <v/>
      </c>
      <c r="Y257">
        <v>12810</v>
      </c>
      <c r="Z257">
        <f t="shared" si="46"/>
        <v>12810</v>
      </c>
      <c r="AA257">
        <v>9334.1200000000008</v>
      </c>
      <c r="AB257">
        <v>3475.88</v>
      </c>
      <c r="AC257">
        <f t="shared" si="47"/>
        <v>10980</v>
      </c>
      <c r="AD257" s="6">
        <f t="shared" si="48"/>
        <v>0.8571428571428571</v>
      </c>
      <c r="AE257" t="s">
        <v>32</v>
      </c>
      <c r="AF257" t="s">
        <v>33</v>
      </c>
      <c r="AG257">
        <f t="shared" si="49"/>
        <v>2</v>
      </c>
      <c r="AH257">
        <f t="shared" si="50"/>
        <v>2025</v>
      </c>
      <c r="AI257" t="str">
        <f t="shared" si="51"/>
        <v>CLEAN</v>
      </c>
    </row>
    <row r="258" spans="1:35">
      <c r="A258" t="s">
        <v>874</v>
      </c>
      <c r="B258">
        <f t="shared" si="39"/>
        <v>1</v>
      </c>
      <c r="C258" t="str">
        <f>IF(COUNTIF($A$2:A258, A258)&gt;1, "DUPLICATE_FLAGGED_FOR_REVIEW", "")</f>
        <v/>
      </c>
      <c r="D258" s="3">
        <v>45601</v>
      </c>
      <c r="E258" s="2">
        <v>45599</v>
      </c>
      <c r="F258" s="2" t="str">
        <f t="shared" si="40"/>
        <v>ERROR: Ship before order</v>
      </c>
      <c r="G258" s="4">
        <f t="shared" si="41"/>
        <v>-2</v>
      </c>
      <c r="H258" t="s">
        <v>875</v>
      </c>
      <c r="I258" t="s">
        <v>62</v>
      </c>
      <c r="J258" t="s">
        <v>24</v>
      </c>
      <c r="K258" t="s">
        <v>38</v>
      </c>
      <c r="L258" t="str">
        <f t="shared" si="42"/>
        <v>East</v>
      </c>
      <c r="M258" t="s">
        <v>99</v>
      </c>
      <c r="N258" t="s">
        <v>100</v>
      </c>
      <c r="O258" t="s">
        <v>41</v>
      </c>
      <c r="P258" t="s">
        <v>42</v>
      </c>
      <c r="Q258" t="s">
        <v>876</v>
      </c>
      <c r="R258" t="s">
        <v>50</v>
      </c>
      <c r="S258" t="str">
        <f t="shared" si="43"/>
        <v>First Class</v>
      </c>
      <c r="T258">
        <v>9</v>
      </c>
      <c r="U258">
        <v>2260.61</v>
      </c>
      <c r="V258">
        <v>0.05</v>
      </c>
      <c r="W258">
        <f t="shared" si="44"/>
        <v>0.05</v>
      </c>
      <c r="X258" t="str">
        <f t="shared" si="45"/>
        <v/>
      </c>
      <c r="Y258">
        <v>19328.22</v>
      </c>
      <c r="Z258">
        <f t="shared" si="46"/>
        <v>19328.215500000002</v>
      </c>
      <c r="AA258">
        <v>12039.5</v>
      </c>
      <c r="AB258">
        <v>7288.72</v>
      </c>
      <c r="AC258">
        <f t="shared" si="47"/>
        <v>17067.605500000001</v>
      </c>
      <c r="AD258" s="6">
        <f t="shared" si="48"/>
        <v>0.88304093567251463</v>
      </c>
      <c r="AE258" t="s">
        <v>32</v>
      </c>
      <c r="AF258" t="s">
        <v>33</v>
      </c>
      <c r="AG258">
        <f t="shared" si="49"/>
        <v>11</v>
      </c>
      <c r="AH258">
        <f t="shared" si="50"/>
        <v>2024</v>
      </c>
      <c r="AI258" t="str">
        <f t="shared" si="51"/>
        <v>INVALID</v>
      </c>
    </row>
    <row r="259" spans="1:35">
      <c r="A259" t="s">
        <v>877</v>
      </c>
      <c r="B259">
        <f t="shared" ref="B259:B322" si="52">COUNTIF($A$2:$A$932, A259)</f>
        <v>1</v>
      </c>
      <c r="C259" t="str">
        <f>IF(COUNTIF($A$2:A259, A259)&gt;1, "DUPLICATE_FLAGGED_FOR_REVIEW", "")</f>
        <v/>
      </c>
      <c r="D259" s="3">
        <v>45878</v>
      </c>
      <c r="E259" s="2">
        <v>45881</v>
      </c>
      <c r="F259" s="2" t="str">
        <f t="shared" ref="F259:F322" si="53">IF(E259&lt;D259, "ERROR: Ship before order", "OK")</f>
        <v>OK</v>
      </c>
      <c r="G259" s="4">
        <f t="shared" ref="G259:G322" si="54">IF(AND(ISNUMBER(E259),ISNUMBER(D259)), E259-D259, "")</f>
        <v>3</v>
      </c>
      <c r="H259" t="s">
        <v>878</v>
      </c>
      <c r="I259" t="s">
        <v>162</v>
      </c>
      <c r="J259" t="s">
        <v>90</v>
      </c>
      <c r="K259" t="s">
        <v>54</v>
      </c>
      <c r="L259" t="str">
        <f t="shared" ref="L259:L322" si="55">IF(OR(K259="",ISBLANK(K259)), "Unknown", K259)</f>
        <v>South</v>
      </c>
      <c r="M259" t="s">
        <v>175</v>
      </c>
      <c r="N259" t="s">
        <v>176</v>
      </c>
      <c r="O259" t="s">
        <v>74</v>
      </c>
      <c r="P259" t="s">
        <v>75</v>
      </c>
      <c r="Q259" t="s">
        <v>879</v>
      </c>
      <c r="R259" t="s">
        <v>31</v>
      </c>
      <c r="S259" t="str">
        <f t="shared" ref="S259:S322" si="56">IF(OR(R259="",ISBLANK(R259)), "Unknown", R259)</f>
        <v>Second Class</v>
      </c>
      <c r="T259">
        <v>2</v>
      </c>
      <c r="U259">
        <v>3237.27</v>
      </c>
      <c r="V259">
        <v>0</v>
      </c>
      <c r="W259">
        <f t="shared" ref="W259:W322" si="57">IF(ISBLANK(V259), IF(AND(ISNUMBER(T259), ISNUMBER(U259)), 0, ""), IF(V259&lt;0, V259, IF(V259&gt;0.5, V259, V259)))</f>
        <v>0</v>
      </c>
      <c r="X259" t="str">
        <f t="shared" ref="X259:X322" si="58">IF(V259&lt;0,"INVALID_NEGATIVE_DISCOUNT",IF(V259&gt;0.5,"INVALID_DISCOUNT_ABOVE_50PCT",IF(AND(ISBLANK(V259), ISNUMBER(T259), ISNUMBER(U259)),"DISCOUNT_MISSING_SET_TO_0","")))</f>
        <v/>
      </c>
      <c r="Y259">
        <v>6474.54</v>
      </c>
      <c r="Z259">
        <f t="shared" ref="Z259:Z322" si="59">T259 * U259 * (1 - W259)</f>
        <v>6474.54</v>
      </c>
      <c r="AA259">
        <v>5095.91</v>
      </c>
      <c r="AB259">
        <v>1378.63</v>
      </c>
      <c r="AC259">
        <f t="shared" ref="AC259:AC322" si="60">Z259-U259</f>
        <v>3237.27</v>
      </c>
      <c r="AD259" s="6">
        <f t="shared" ref="AD259:AD322" si="61">IF(Z259&lt;&gt;0, AC259 / Z259, 0)</f>
        <v>0.5</v>
      </c>
      <c r="AE259" t="s">
        <v>32</v>
      </c>
      <c r="AF259" t="s">
        <v>68</v>
      </c>
      <c r="AG259">
        <f t="shared" ref="AG259:AG322" si="62">MONTH(D259)</f>
        <v>8</v>
      </c>
      <c r="AH259">
        <f t="shared" ref="AH259:AH322" si="63">YEAR(D259)</f>
        <v>2025</v>
      </c>
      <c r="AI259" t="str">
        <f t="shared" ref="AI259:AI322" si="64">IF(OR(X259="INVALID_NEGATIVE_DISCOUNT",X259="INVALID_DISCOUNT_ABOVE_50PCT",F259="ERROR: Ship before order"),"INVALID",IF(OR(L259="Unknown",S259="Unknown",X259="DISCOUNT_MISSING_SET_TO_0"),"WARNING","CLEAN"))</f>
        <v>CLEAN</v>
      </c>
    </row>
    <row r="260" spans="1:35">
      <c r="A260" t="s">
        <v>880</v>
      </c>
      <c r="B260">
        <f t="shared" si="52"/>
        <v>1</v>
      </c>
      <c r="C260" t="str">
        <f>IF(COUNTIF($A$2:A260, A260)&gt;1, "DUPLICATE_FLAGGED_FOR_REVIEW", "")</f>
        <v/>
      </c>
      <c r="D260" s="3">
        <v>45656</v>
      </c>
      <c r="E260" s="2">
        <v>45661</v>
      </c>
      <c r="F260" s="2" t="str">
        <f t="shared" si="53"/>
        <v>OK</v>
      </c>
      <c r="G260" s="4">
        <f t="shared" si="54"/>
        <v>5</v>
      </c>
      <c r="H260" t="s">
        <v>881</v>
      </c>
      <c r="I260" t="s">
        <v>132</v>
      </c>
      <c r="J260" t="s">
        <v>90</v>
      </c>
      <c r="K260" t="s">
        <v>54</v>
      </c>
      <c r="L260" t="str">
        <f t="shared" si="55"/>
        <v>South</v>
      </c>
      <c r="M260" t="s">
        <v>247</v>
      </c>
      <c r="N260" t="s">
        <v>248</v>
      </c>
      <c r="O260" t="s">
        <v>41</v>
      </c>
      <c r="P260" t="s">
        <v>42</v>
      </c>
      <c r="Q260" t="s">
        <v>882</v>
      </c>
      <c r="R260" t="s">
        <v>44</v>
      </c>
      <c r="S260" t="str">
        <f t="shared" si="56"/>
        <v>Same Day</v>
      </c>
      <c r="T260">
        <v>2</v>
      </c>
      <c r="U260">
        <v>3720.07</v>
      </c>
      <c r="V260">
        <v>0.25</v>
      </c>
      <c r="W260">
        <f t="shared" si="57"/>
        <v>0.25</v>
      </c>
      <c r="X260" t="str">
        <f t="shared" si="58"/>
        <v/>
      </c>
      <c r="Y260">
        <v>5580.11</v>
      </c>
      <c r="Z260">
        <f t="shared" si="59"/>
        <v>5580.1050000000005</v>
      </c>
      <c r="AA260">
        <v>4307.01</v>
      </c>
      <c r="AB260">
        <v>1273.0999999999999</v>
      </c>
      <c r="AC260">
        <f t="shared" si="60"/>
        <v>1860.0350000000003</v>
      </c>
      <c r="AD260" s="6">
        <f t="shared" si="61"/>
        <v>0.33333333333333337</v>
      </c>
      <c r="AE260" t="s">
        <v>32</v>
      </c>
      <c r="AF260" t="s">
        <v>33</v>
      </c>
      <c r="AG260">
        <f t="shared" si="62"/>
        <v>12</v>
      </c>
      <c r="AH260">
        <f t="shared" si="63"/>
        <v>2024</v>
      </c>
      <c r="AI260" t="str">
        <f t="shared" si="64"/>
        <v>CLEAN</v>
      </c>
    </row>
    <row r="261" spans="1:35">
      <c r="A261" t="s">
        <v>883</v>
      </c>
      <c r="B261">
        <f t="shared" si="52"/>
        <v>1</v>
      </c>
      <c r="C261" t="str">
        <f>IF(COUNTIF($A$2:A261, A261)&gt;1, "DUPLICATE_FLAGGED_FOR_REVIEW", "")</f>
        <v/>
      </c>
      <c r="D261" s="3">
        <v>45464</v>
      </c>
      <c r="E261" s="2">
        <v>45472</v>
      </c>
      <c r="F261" s="2" t="str">
        <f t="shared" si="53"/>
        <v>OK</v>
      </c>
      <c r="G261" s="4">
        <f t="shared" si="54"/>
        <v>8</v>
      </c>
      <c r="H261" t="s">
        <v>884</v>
      </c>
      <c r="I261" t="s">
        <v>79</v>
      </c>
      <c r="J261" t="s">
        <v>24</v>
      </c>
      <c r="K261" t="s">
        <v>54</v>
      </c>
      <c r="L261" t="str">
        <f t="shared" si="55"/>
        <v>South</v>
      </c>
      <c r="M261" t="s">
        <v>247</v>
      </c>
      <c r="N261" t="s">
        <v>248</v>
      </c>
      <c r="O261" t="s">
        <v>74</v>
      </c>
      <c r="P261" t="s">
        <v>274</v>
      </c>
      <c r="Q261" t="s">
        <v>885</v>
      </c>
      <c r="R261" t="s">
        <v>59</v>
      </c>
      <c r="S261" t="str">
        <f t="shared" si="56"/>
        <v>Standard Class</v>
      </c>
      <c r="T261">
        <v>8</v>
      </c>
      <c r="U261">
        <v>2853.92</v>
      </c>
      <c r="V261">
        <v>0.2</v>
      </c>
      <c r="W261">
        <f t="shared" si="57"/>
        <v>0.2</v>
      </c>
      <c r="X261" t="str">
        <f t="shared" si="58"/>
        <v/>
      </c>
      <c r="Y261">
        <v>18265.09</v>
      </c>
      <c r="Z261">
        <f t="shared" si="59"/>
        <v>18265.088</v>
      </c>
      <c r="AA261">
        <v>10437.14</v>
      </c>
      <c r="AB261">
        <v>7827.95</v>
      </c>
      <c r="AC261">
        <f t="shared" si="60"/>
        <v>15411.168</v>
      </c>
      <c r="AD261" s="6">
        <f t="shared" si="61"/>
        <v>0.84375</v>
      </c>
      <c r="AE261" t="s">
        <v>32</v>
      </c>
      <c r="AF261" t="s">
        <v>33</v>
      </c>
      <c r="AG261">
        <f t="shared" si="62"/>
        <v>6</v>
      </c>
      <c r="AH261">
        <f t="shared" si="63"/>
        <v>2024</v>
      </c>
      <c r="AI261" t="str">
        <f t="shared" si="64"/>
        <v>CLEAN</v>
      </c>
    </row>
    <row r="262" spans="1:35">
      <c r="A262" t="s">
        <v>886</v>
      </c>
      <c r="B262">
        <f t="shared" si="52"/>
        <v>1</v>
      </c>
      <c r="C262" t="str">
        <f>IF(COUNTIF($A$2:A262, A262)&gt;1, "DUPLICATE_FLAGGED_FOR_REVIEW", "")</f>
        <v/>
      </c>
      <c r="D262" s="3">
        <v>45923</v>
      </c>
      <c r="E262" s="2">
        <v>45927</v>
      </c>
      <c r="F262" s="2" t="str">
        <f t="shared" si="53"/>
        <v>OK</v>
      </c>
      <c r="G262" s="4">
        <f t="shared" si="54"/>
        <v>4</v>
      </c>
      <c r="H262" t="s">
        <v>887</v>
      </c>
      <c r="I262" t="s">
        <v>89</v>
      </c>
      <c r="J262" t="s">
        <v>90</v>
      </c>
      <c r="K262" t="s">
        <v>38</v>
      </c>
      <c r="L262" t="str">
        <f t="shared" si="55"/>
        <v>East</v>
      </c>
      <c r="M262" t="s">
        <v>99</v>
      </c>
      <c r="N262" t="s">
        <v>100</v>
      </c>
      <c r="O262" t="s">
        <v>28</v>
      </c>
      <c r="P262" t="s">
        <v>153</v>
      </c>
      <c r="Q262" t="s">
        <v>888</v>
      </c>
      <c r="R262" t="s">
        <v>44</v>
      </c>
      <c r="S262" t="str">
        <f t="shared" si="56"/>
        <v>Same Day</v>
      </c>
      <c r="T262">
        <v>7</v>
      </c>
      <c r="U262">
        <v>2897.12</v>
      </c>
      <c r="V262">
        <v>0.25</v>
      </c>
      <c r="W262">
        <f t="shared" si="57"/>
        <v>0.25</v>
      </c>
      <c r="X262" t="str">
        <f t="shared" si="58"/>
        <v/>
      </c>
      <c r="Y262">
        <v>15209.88</v>
      </c>
      <c r="Z262">
        <f t="shared" si="59"/>
        <v>15209.880000000001</v>
      </c>
      <c r="AA262">
        <v>10891.15</v>
      </c>
      <c r="AB262">
        <v>4318.7299999999996</v>
      </c>
      <c r="AC262">
        <f t="shared" si="60"/>
        <v>12312.760000000002</v>
      </c>
      <c r="AD262" s="6">
        <f t="shared" si="61"/>
        <v>0.80952380952380965</v>
      </c>
      <c r="AE262" t="s">
        <v>155</v>
      </c>
      <c r="AF262" t="s">
        <v>103</v>
      </c>
      <c r="AG262">
        <f t="shared" si="62"/>
        <v>9</v>
      </c>
      <c r="AH262">
        <f t="shared" si="63"/>
        <v>2025</v>
      </c>
      <c r="AI262" t="str">
        <f t="shared" si="64"/>
        <v>CLEAN</v>
      </c>
    </row>
    <row r="263" spans="1:35">
      <c r="A263" t="s">
        <v>889</v>
      </c>
      <c r="B263">
        <f t="shared" si="52"/>
        <v>1</v>
      </c>
      <c r="C263" t="str">
        <f>IF(COUNTIF($A$2:A263, A263)&gt;1, "DUPLICATE_FLAGGED_FOR_REVIEW", "")</f>
        <v/>
      </c>
      <c r="D263" s="3">
        <v>45826</v>
      </c>
      <c r="E263" s="2">
        <v>45832</v>
      </c>
      <c r="F263" s="2" t="str">
        <f t="shared" si="53"/>
        <v>OK</v>
      </c>
      <c r="G263" s="4">
        <f t="shared" si="54"/>
        <v>6</v>
      </c>
      <c r="H263" t="s">
        <v>890</v>
      </c>
      <c r="I263" t="s">
        <v>132</v>
      </c>
      <c r="J263" t="s">
        <v>90</v>
      </c>
      <c r="K263" t="s">
        <v>25</v>
      </c>
      <c r="L263" t="str">
        <f t="shared" si="55"/>
        <v>North</v>
      </c>
      <c r="M263" t="s">
        <v>26</v>
      </c>
      <c r="N263" t="s">
        <v>27</v>
      </c>
      <c r="O263" t="s">
        <v>28</v>
      </c>
      <c r="P263" t="s">
        <v>91</v>
      </c>
      <c r="Q263" t="s">
        <v>891</v>
      </c>
      <c r="R263" t="s">
        <v>59</v>
      </c>
      <c r="S263" t="str">
        <f t="shared" si="56"/>
        <v>Standard Class</v>
      </c>
      <c r="T263">
        <v>3</v>
      </c>
      <c r="U263">
        <v>686.74</v>
      </c>
      <c r="V263">
        <v>0.2</v>
      </c>
      <c r="W263">
        <f t="shared" si="57"/>
        <v>0.2</v>
      </c>
      <c r="X263" t="str">
        <f t="shared" si="58"/>
        <v/>
      </c>
      <c r="Y263">
        <v>1648.18</v>
      </c>
      <c r="Z263">
        <f t="shared" si="59"/>
        <v>1648.1760000000004</v>
      </c>
      <c r="AA263">
        <v>987.91</v>
      </c>
      <c r="AB263">
        <v>660.27</v>
      </c>
      <c r="AC263">
        <f t="shared" si="60"/>
        <v>961.43600000000038</v>
      </c>
      <c r="AD263" s="6">
        <f t="shared" si="61"/>
        <v>0.58333333333333337</v>
      </c>
      <c r="AE263" t="s">
        <v>155</v>
      </c>
      <c r="AF263" t="s">
        <v>68</v>
      </c>
      <c r="AG263">
        <f t="shared" si="62"/>
        <v>6</v>
      </c>
      <c r="AH263">
        <f t="shared" si="63"/>
        <v>2025</v>
      </c>
      <c r="AI263" t="str">
        <f t="shared" si="64"/>
        <v>CLEAN</v>
      </c>
    </row>
    <row r="264" spans="1:35">
      <c r="A264" t="s">
        <v>892</v>
      </c>
      <c r="B264">
        <f t="shared" si="52"/>
        <v>1</v>
      </c>
      <c r="C264" t="str">
        <f>IF(COUNTIF($A$2:A264, A264)&gt;1, "DUPLICATE_FLAGGED_FOR_REVIEW", "")</f>
        <v/>
      </c>
      <c r="D264" s="3">
        <v>45803</v>
      </c>
      <c r="E264" s="2">
        <v>45809</v>
      </c>
      <c r="F264" s="2" t="str">
        <f t="shared" si="53"/>
        <v>OK</v>
      </c>
      <c r="G264" s="4">
        <f t="shared" si="54"/>
        <v>6</v>
      </c>
      <c r="H264" t="s">
        <v>628</v>
      </c>
      <c r="I264" t="s">
        <v>53</v>
      </c>
      <c r="J264" t="s">
        <v>37</v>
      </c>
      <c r="K264" t="s">
        <v>25</v>
      </c>
      <c r="L264" t="str">
        <f t="shared" si="55"/>
        <v>North</v>
      </c>
      <c r="M264" t="s">
        <v>350</v>
      </c>
      <c r="N264" t="s">
        <v>351</v>
      </c>
      <c r="O264" t="s">
        <v>74</v>
      </c>
      <c r="P264" t="s">
        <v>171</v>
      </c>
      <c r="Q264" t="s">
        <v>893</v>
      </c>
      <c r="R264" t="s">
        <v>44</v>
      </c>
      <c r="S264" t="str">
        <f t="shared" si="56"/>
        <v>Same Day</v>
      </c>
      <c r="T264">
        <v>4</v>
      </c>
      <c r="U264">
        <v>3349.86</v>
      </c>
      <c r="V264">
        <v>0</v>
      </c>
      <c r="W264">
        <f t="shared" si="57"/>
        <v>0</v>
      </c>
      <c r="X264" t="str">
        <f t="shared" si="58"/>
        <v/>
      </c>
      <c r="Y264">
        <v>13399.44</v>
      </c>
      <c r="Z264">
        <f t="shared" si="59"/>
        <v>13399.44</v>
      </c>
      <c r="AA264">
        <v>8581.35</v>
      </c>
      <c r="AB264">
        <v>4818.09</v>
      </c>
      <c r="AC264">
        <f t="shared" si="60"/>
        <v>10049.58</v>
      </c>
      <c r="AD264" s="6">
        <f t="shared" si="61"/>
        <v>0.75</v>
      </c>
      <c r="AE264" t="s">
        <v>111</v>
      </c>
      <c r="AF264" t="s">
        <v>103</v>
      </c>
      <c r="AG264">
        <f t="shared" si="62"/>
        <v>5</v>
      </c>
      <c r="AH264">
        <f t="shared" si="63"/>
        <v>2025</v>
      </c>
      <c r="AI264" t="str">
        <f t="shared" si="64"/>
        <v>CLEAN</v>
      </c>
    </row>
    <row r="265" spans="1:35">
      <c r="A265" t="s">
        <v>894</v>
      </c>
      <c r="B265">
        <f t="shared" si="52"/>
        <v>1</v>
      </c>
      <c r="C265" t="str">
        <f>IF(COUNTIF($A$2:A265, A265)&gt;1, "DUPLICATE_FLAGGED_FOR_REVIEW", "")</f>
        <v/>
      </c>
      <c r="D265" s="3">
        <v>45875</v>
      </c>
      <c r="E265" s="2">
        <v>45879</v>
      </c>
      <c r="F265" s="2" t="str">
        <f t="shared" si="53"/>
        <v>OK</v>
      </c>
      <c r="G265" s="4">
        <f t="shared" si="54"/>
        <v>4</v>
      </c>
      <c r="H265" t="s">
        <v>895</v>
      </c>
      <c r="I265" t="s">
        <v>141</v>
      </c>
      <c r="J265" t="s">
        <v>37</v>
      </c>
      <c r="K265" t="s">
        <v>25</v>
      </c>
      <c r="L265" t="str">
        <f t="shared" si="55"/>
        <v>North</v>
      </c>
      <c r="M265" t="s">
        <v>350</v>
      </c>
      <c r="N265" t="s">
        <v>351</v>
      </c>
      <c r="O265" t="s">
        <v>28</v>
      </c>
      <c r="P265" t="s">
        <v>153</v>
      </c>
      <c r="Q265" t="s">
        <v>896</v>
      </c>
      <c r="R265" t="s">
        <v>31</v>
      </c>
      <c r="S265" t="str">
        <f t="shared" si="56"/>
        <v>Second Class</v>
      </c>
      <c r="T265">
        <v>9</v>
      </c>
      <c r="U265">
        <v>4042.45</v>
      </c>
      <c r="V265">
        <v>0.1</v>
      </c>
      <c r="W265">
        <f t="shared" si="57"/>
        <v>0.1</v>
      </c>
      <c r="X265" t="str">
        <f t="shared" si="58"/>
        <v/>
      </c>
      <c r="Y265">
        <v>32743.84</v>
      </c>
      <c r="Z265">
        <f t="shared" si="59"/>
        <v>32743.844999999998</v>
      </c>
      <c r="AA265">
        <v>22452.05</v>
      </c>
      <c r="AB265">
        <v>10291.790000000001</v>
      </c>
      <c r="AC265">
        <f t="shared" si="60"/>
        <v>28701.394999999997</v>
      </c>
      <c r="AD265" s="6">
        <f t="shared" si="61"/>
        <v>0.87654320987654322</v>
      </c>
      <c r="AE265" t="s">
        <v>111</v>
      </c>
      <c r="AF265" t="s">
        <v>103</v>
      </c>
      <c r="AG265">
        <f t="shared" si="62"/>
        <v>8</v>
      </c>
      <c r="AH265">
        <f t="shared" si="63"/>
        <v>2025</v>
      </c>
      <c r="AI265" t="str">
        <f t="shared" si="64"/>
        <v>CLEAN</v>
      </c>
    </row>
    <row r="266" spans="1:35">
      <c r="A266" t="s">
        <v>897</v>
      </c>
      <c r="B266">
        <f t="shared" si="52"/>
        <v>1</v>
      </c>
      <c r="C266" t="str">
        <f>IF(COUNTIF($A$2:A266, A266)&gt;1, "DUPLICATE_FLAGGED_FOR_REVIEW", "")</f>
        <v/>
      </c>
      <c r="D266" s="3">
        <v>45428</v>
      </c>
      <c r="E266" s="2">
        <v>45433</v>
      </c>
      <c r="F266" s="2" t="str">
        <f t="shared" si="53"/>
        <v>OK</v>
      </c>
      <c r="G266" s="4">
        <f t="shared" si="54"/>
        <v>5</v>
      </c>
      <c r="H266" t="s">
        <v>898</v>
      </c>
      <c r="I266" t="s">
        <v>162</v>
      </c>
      <c r="J266" t="s">
        <v>37</v>
      </c>
      <c r="K266" t="s">
        <v>38</v>
      </c>
      <c r="L266" t="str">
        <f t="shared" si="55"/>
        <v>East</v>
      </c>
      <c r="M266" t="s">
        <v>145</v>
      </c>
      <c r="N266" t="s">
        <v>146</v>
      </c>
      <c r="O266" t="s">
        <v>74</v>
      </c>
      <c r="P266" t="s">
        <v>80</v>
      </c>
      <c r="Q266" t="s">
        <v>899</v>
      </c>
      <c r="R266" t="s">
        <v>59</v>
      </c>
      <c r="S266" t="str">
        <f t="shared" si="56"/>
        <v>Standard Class</v>
      </c>
      <c r="T266">
        <v>4</v>
      </c>
      <c r="U266">
        <v>1503.07</v>
      </c>
      <c r="V266">
        <v>0</v>
      </c>
      <c r="W266">
        <f t="shared" si="57"/>
        <v>0</v>
      </c>
      <c r="X266" t="str">
        <f t="shared" si="58"/>
        <v/>
      </c>
      <c r="Y266">
        <v>6012.28</v>
      </c>
      <c r="Z266">
        <f t="shared" si="59"/>
        <v>6012.28</v>
      </c>
      <c r="AA266">
        <v>3927.64</v>
      </c>
      <c r="AB266">
        <v>2084.64</v>
      </c>
      <c r="AC266">
        <f t="shared" si="60"/>
        <v>4509.21</v>
      </c>
      <c r="AD266" s="6">
        <f t="shared" si="61"/>
        <v>0.75</v>
      </c>
      <c r="AE266" t="s">
        <v>32</v>
      </c>
      <c r="AF266" t="s">
        <v>33</v>
      </c>
      <c r="AG266">
        <f t="shared" si="62"/>
        <v>5</v>
      </c>
      <c r="AH266">
        <f t="shared" si="63"/>
        <v>2024</v>
      </c>
      <c r="AI266" t="str">
        <f t="shared" si="64"/>
        <v>CLEAN</v>
      </c>
    </row>
    <row r="267" spans="1:35">
      <c r="A267" t="s">
        <v>900</v>
      </c>
      <c r="B267">
        <f t="shared" si="52"/>
        <v>1</v>
      </c>
      <c r="C267" t="str">
        <f>IF(COUNTIF($A$2:A267, A267)&gt;1, "DUPLICATE_FLAGGED_FOR_REVIEW", "")</f>
        <v/>
      </c>
      <c r="D267" s="3">
        <v>45610</v>
      </c>
      <c r="E267" s="2">
        <v>45618</v>
      </c>
      <c r="F267" s="2" t="str">
        <f t="shared" si="53"/>
        <v>OK</v>
      </c>
      <c r="G267" s="4">
        <f t="shared" si="54"/>
        <v>8</v>
      </c>
      <c r="H267" t="s">
        <v>901</v>
      </c>
      <c r="I267" t="s">
        <v>114</v>
      </c>
      <c r="J267" t="s">
        <v>90</v>
      </c>
      <c r="K267" t="s">
        <v>38</v>
      </c>
      <c r="L267" t="str">
        <f t="shared" si="55"/>
        <v>East</v>
      </c>
      <c r="M267" t="s">
        <v>145</v>
      </c>
      <c r="N267" t="s">
        <v>146</v>
      </c>
      <c r="O267" t="s">
        <v>41</v>
      </c>
      <c r="P267" t="s">
        <v>158</v>
      </c>
      <c r="Q267" t="s">
        <v>902</v>
      </c>
      <c r="R267" t="s">
        <v>44</v>
      </c>
      <c r="S267" t="str">
        <f t="shared" si="56"/>
        <v>Same Day</v>
      </c>
      <c r="T267">
        <v>1</v>
      </c>
      <c r="U267">
        <v>582.37</v>
      </c>
      <c r="V267">
        <v>0.15</v>
      </c>
      <c r="W267">
        <f t="shared" si="57"/>
        <v>0.15</v>
      </c>
      <c r="X267" t="str">
        <f t="shared" si="58"/>
        <v/>
      </c>
      <c r="Y267">
        <v>495.01</v>
      </c>
      <c r="Z267">
        <f t="shared" si="59"/>
        <v>495.0145</v>
      </c>
      <c r="AA267">
        <v>285.13</v>
      </c>
      <c r="AB267">
        <v>209.88</v>
      </c>
      <c r="AC267">
        <f t="shared" si="60"/>
        <v>-87.355500000000006</v>
      </c>
      <c r="AD267" s="6">
        <f t="shared" si="61"/>
        <v>-0.17647058823529413</v>
      </c>
      <c r="AE267" t="s">
        <v>102</v>
      </c>
      <c r="AF267" t="s">
        <v>68</v>
      </c>
      <c r="AG267">
        <f t="shared" si="62"/>
        <v>11</v>
      </c>
      <c r="AH267">
        <f t="shared" si="63"/>
        <v>2024</v>
      </c>
      <c r="AI267" t="str">
        <f t="shared" si="64"/>
        <v>CLEAN</v>
      </c>
    </row>
    <row r="268" spans="1:35">
      <c r="A268" t="s">
        <v>903</v>
      </c>
      <c r="B268">
        <f t="shared" si="52"/>
        <v>1</v>
      </c>
      <c r="C268" t="str">
        <f>IF(COUNTIF($A$2:A268, A268)&gt;1, "DUPLICATE_FLAGGED_FOR_REVIEW", "")</f>
        <v/>
      </c>
      <c r="D268" s="3">
        <v>45780</v>
      </c>
      <c r="E268" s="2">
        <v>45787</v>
      </c>
      <c r="F268" s="2" t="str">
        <f t="shared" si="53"/>
        <v>OK</v>
      </c>
      <c r="G268" s="4">
        <f t="shared" si="54"/>
        <v>7</v>
      </c>
      <c r="H268" t="s">
        <v>904</v>
      </c>
      <c r="I268" t="s">
        <v>79</v>
      </c>
      <c r="J268" t="s">
        <v>95</v>
      </c>
      <c r="K268" t="s">
        <v>63</v>
      </c>
      <c r="L268" t="str">
        <f t="shared" si="55"/>
        <v>West</v>
      </c>
      <c r="M268" t="s">
        <v>64</v>
      </c>
      <c r="N268" t="s">
        <v>65</v>
      </c>
      <c r="O268" t="s">
        <v>28</v>
      </c>
      <c r="P268" t="s">
        <v>124</v>
      </c>
      <c r="Q268" t="s">
        <v>905</v>
      </c>
      <c r="R268" t="s">
        <v>31</v>
      </c>
      <c r="S268" t="str">
        <f t="shared" si="56"/>
        <v>Second Class</v>
      </c>
      <c r="T268">
        <v>3</v>
      </c>
      <c r="U268">
        <v>4339.24</v>
      </c>
      <c r="V268">
        <v>0</v>
      </c>
      <c r="W268">
        <f t="shared" si="57"/>
        <v>0</v>
      </c>
      <c r="X268" t="str">
        <f t="shared" si="58"/>
        <v/>
      </c>
      <c r="Y268">
        <v>13017.72</v>
      </c>
      <c r="Z268">
        <f t="shared" si="59"/>
        <v>13017.72</v>
      </c>
      <c r="AA268">
        <v>10170.57</v>
      </c>
      <c r="AB268">
        <v>2847.15</v>
      </c>
      <c r="AC268">
        <f t="shared" si="60"/>
        <v>8678.48</v>
      </c>
      <c r="AD268" s="6">
        <f t="shared" si="61"/>
        <v>0.66666666666666663</v>
      </c>
      <c r="AE268" t="s">
        <v>32</v>
      </c>
      <c r="AF268" t="s">
        <v>33</v>
      </c>
      <c r="AG268">
        <f t="shared" si="62"/>
        <v>5</v>
      </c>
      <c r="AH268">
        <f t="shared" si="63"/>
        <v>2025</v>
      </c>
      <c r="AI268" t="str">
        <f t="shared" si="64"/>
        <v>CLEAN</v>
      </c>
    </row>
    <row r="269" spans="1:35">
      <c r="A269" t="s">
        <v>906</v>
      </c>
      <c r="B269">
        <f t="shared" si="52"/>
        <v>1</v>
      </c>
      <c r="C269" t="str">
        <f>IF(COUNTIF($A$2:A269, A269)&gt;1, "DUPLICATE_FLAGGED_FOR_REVIEW", "")</f>
        <v/>
      </c>
      <c r="D269" s="3">
        <v>45805</v>
      </c>
      <c r="E269" s="2">
        <v>45812</v>
      </c>
      <c r="F269" s="2" t="str">
        <f t="shared" si="53"/>
        <v>OK</v>
      </c>
      <c r="G269" s="4">
        <f t="shared" si="54"/>
        <v>7</v>
      </c>
      <c r="H269" t="s">
        <v>907</v>
      </c>
      <c r="I269" t="s">
        <v>162</v>
      </c>
      <c r="J269" t="s">
        <v>90</v>
      </c>
      <c r="K269" t="s">
        <v>38</v>
      </c>
      <c r="L269" t="str">
        <f t="shared" si="55"/>
        <v>East</v>
      </c>
      <c r="M269" t="s">
        <v>228</v>
      </c>
      <c r="N269" t="s">
        <v>229</v>
      </c>
      <c r="O269" t="s">
        <v>41</v>
      </c>
      <c r="P269" t="s">
        <v>57</v>
      </c>
      <c r="Q269" t="s">
        <v>908</v>
      </c>
      <c r="R269" t="s">
        <v>50</v>
      </c>
      <c r="S269" t="str">
        <f t="shared" si="56"/>
        <v>First Class</v>
      </c>
      <c r="T269">
        <v>4</v>
      </c>
      <c r="U269">
        <v>261.8</v>
      </c>
      <c r="V269">
        <v>0.25</v>
      </c>
      <c r="W269">
        <f t="shared" si="57"/>
        <v>0.25</v>
      </c>
      <c r="X269" t="str">
        <f t="shared" si="58"/>
        <v/>
      </c>
      <c r="Y269">
        <v>785.4</v>
      </c>
      <c r="Z269">
        <f t="shared" si="59"/>
        <v>785.40000000000009</v>
      </c>
      <c r="AA269">
        <v>557.22</v>
      </c>
      <c r="AB269">
        <v>228.18</v>
      </c>
      <c r="AC269">
        <f t="shared" si="60"/>
        <v>523.60000000000014</v>
      </c>
      <c r="AD269" s="6">
        <f t="shared" si="61"/>
        <v>0.66666666666666674</v>
      </c>
      <c r="AE269" t="s">
        <v>32</v>
      </c>
      <c r="AF269" t="s">
        <v>33</v>
      </c>
      <c r="AG269">
        <f t="shared" si="62"/>
        <v>5</v>
      </c>
      <c r="AH269">
        <f t="shared" si="63"/>
        <v>2025</v>
      </c>
      <c r="AI269" t="str">
        <f t="shared" si="64"/>
        <v>CLEAN</v>
      </c>
    </row>
    <row r="270" spans="1:35">
      <c r="A270" t="s">
        <v>909</v>
      </c>
      <c r="B270">
        <f t="shared" si="52"/>
        <v>1</v>
      </c>
      <c r="C270" t="str">
        <f>IF(COUNTIF($A$2:A270, A270)&gt;1, "DUPLICATE_FLAGGED_FOR_REVIEW", "")</f>
        <v/>
      </c>
      <c r="D270" s="3">
        <v>45886</v>
      </c>
      <c r="E270" s="2">
        <v>45886</v>
      </c>
      <c r="F270" s="2" t="str">
        <f t="shared" si="53"/>
        <v>OK</v>
      </c>
      <c r="G270" s="4">
        <f t="shared" si="54"/>
        <v>0</v>
      </c>
      <c r="H270" t="s">
        <v>910</v>
      </c>
      <c r="I270" t="s">
        <v>128</v>
      </c>
      <c r="J270" t="s">
        <v>95</v>
      </c>
      <c r="K270" t="s">
        <v>25</v>
      </c>
      <c r="L270" t="str">
        <f t="shared" si="55"/>
        <v>North</v>
      </c>
      <c r="M270" t="s">
        <v>122</v>
      </c>
      <c r="N270" t="s">
        <v>123</v>
      </c>
      <c r="O270" t="s">
        <v>74</v>
      </c>
      <c r="P270" t="s">
        <v>75</v>
      </c>
      <c r="Q270" t="s">
        <v>911</v>
      </c>
      <c r="R270" t="s">
        <v>50</v>
      </c>
      <c r="S270" t="str">
        <f t="shared" si="56"/>
        <v>First Class</v>
      </c>
      <c r="T270">
        <v>7</v>
      </c>
      <c r="U270">
        <v>632.20000000000005</v>
      </c>
      <c r="V270">
        <v>0.25</v>
      </c>
      <c r="W270">
        <f t="shared" si="57"/>
        <v>0.25</v>
      </c>
      <c r="X270" t="str">
        <f t="shared" si="58"/>
        <v/>
      </c>
      <c r="Y270">
        <v>3319.05</v>
      </c>
      <c r="Z270">
        <f t="shared" si="59"/>
        <v>3319.05</v>
      </c>
      <c r="AA270">
        <v>2124.6</v>
      </c>
      <c r="AB270">
        <v>1194.45</v>
      </c>
      <c r="AC270">
        <f t="shared" si="60"/>
        <v>2686.8500000000004</v>
      </c>
      <c r="AD270" s="6">
        <f t="shared" si="61"/>
        <v>0.80952380952380953</v>
      </c>
      <c r="AE270" t="s">
        <v>32</v>
      </c>
      <c r="AF270" t="s">
        <v>33</v>
      </c>
      <c r="AG270">
        <f t="shared" si="62"/>
        <v>8</v>
      </c>
      <c r="AH270">
        <f t="shared" si="63"/>
        <v>2025</v>
      </c>
      <c r="AI270" t="str">
        <f t="shared" si="64"/>
        <v>CLEAN</v>
      </c>
    </row>
    <row r="271" spans="1:35">
      <c r="A271" t="s">
        <v>912</v>
      </c>
      <c r="B271">
        <f t="shared" si="52"/>
        <v>1</v>
      </c>
      <c r="C271" t="str">
        <f>IF(COUNTIF($A$2:A271, A271)&gt;1, "DUPLICATE_FLAGGED_FOR_REVIEW", "")</f>
        <v/>
      </c>
      <c r="D271" s="3">
        <v>45932</v>
      </c>
      <c r="E271" s="2">
        <v>45993</v>
      </c>
      <c r="F271" s="2" t="str">
        <f t="shared" si="53"/>
        <v>OK</v>
      </c>
      <c r="G271" s="4">
        <f t="shared" si="54"/>
        <v>61</v>
      </c>
      <c r="H271" t="s">
        <v>913</v>
      </c>
      <c r="I271" t="s">
        <v>118</v>
      </c>
      <c r="J271" t="s">
        <v>37</v>
      </c>
      <c r="K271" t="s">
        <v>63</v>
      </c>
      <c r="L271" t="str">
        <f t="shared" si="55"/>
        <v>West</v>
      </c>
      <c r="M271" t="s">
        <v>26</v>
      </c>
      <c r="N271" t="s">
        <v>109</v>
      </c>
      <c r="O271" t="s">
        <v>41</v>
      </c>
      <c r="P271" t="s">
        <v>42</v>
      </c>
      <c r="Q271" t="s">
        <v>914</v>
      </c>
      <c r="R271" t="s">
        <v>44</v>
      </c>
      <c r="S271" t="str">
        <f t="shared" si="56"/>
        <v>Same Day</v>
      </c>
      <c r="T271">
        <v>1</v>
      </c>
      <c r="U271">
        <v>1925.86</v>
      </c>
      <c r="V271">
        <v>0</v>
      </c>
      <c r="W271">
        <f t="shared" si="57"/>
        <v>0</v>
      </c>
      <c r="X271" t="str">
        <f t="shared" si="58"/>
        <v/>
      </c>
      <c r="Y271">
        <v>1925.86</v>
      </c>
      <c r="Z271">
        <f t="shared" si="59"/>
        <v>1925.86</v>
      </c>
      <c r="AA271">
        <v>1321.89</v>
      </c>
      <c r="AB271">
        <v>603.97</v>
      </c>
      <c r="AC271">
        <f t="shared" si="60"/>
        <v>0</v>
      </c>
      <c r="AD271" s="6">
        <f t="shared" si="61"/>
        <v>0</v>
      </c>
      <c r="AE271" t="s">
        <v>32</v>
      </c>
      <c r="AF271" t="s">
        <v>33</v>
      </c>
      <c r="AG271">
        <f t="shared" si="62"/>
        <v>10</v>
      </c>
      <c r="AH271">
        <f t="shared" si="63"/>
        <v>2025</v>
      </c>
      <c r="AI271" t="str">
        <f t="shared" si="64"/>
        <v>CLEAN</v>
      </c>
    </row>
    <row r="272" spans="1:35">
      <c r="A272" t="s">
        <v>915</v>
      </c>
      <c r="B272">
        <f t="shared" si="52"/>
        <v>1</v>
      </c>
      <c r="C272" t="str">
        <f>IF(COUNTIF($A$2:A272, A272)&gt;1, "DUPLICATE_FLAGGED_FOR_REVIEW", "")</f>
        <v/>
      </c>
      <c r="D272" s="3">
        <v>45627</v>
      </c>
      <c r="E272" s="2">
        <v>45304</v>
      </c>
      <c r="F272" s="2" t="str">
        <f t="shared" si="53"/>
        <v>ERROR: Ship before order</v>
      </c>
      <c r="G272" s="4">
        <f t="shared" si="54"/>
        <v>-323</v>
      </c>
      <c r="H272" t="s">
        <v>916</v>
      </c>
      <c r="I272" t="s">
        <v>89</v>
      </c>
      <c r="J272" t="s">
        <v>90</v>
      </c>
      <c r="K272" t="s">
        <v>25</v>
      </c>
      <c r="L272" t="str">
        <f t="shared" si="55"/>
        <v>North</v>
      </c>
      <c r="M272" t="s">
        <v>136</v>
      </c>
      <c r="N272" t="s">
        <v>137</v>
      </c>
      <c r="O272" t="s">
        <v>74</v>
      </c>
      <c r="P272" t="s">
        <v>274</v>
      </c>
      <c r="Q272" t="s">
        <v>917</v>
      </c>
      <c r="R272" t="s">
        <v>44</v>
      </c>
      <c r="S272" t="str">
        <f t="shared" si="56"/>
        <v>Same Day</v>
      </c>
      <c r="T272">
        <v>3</v>
      </c>
      <c r="U272">
        <v>827.44</v>
      </c>
      <c r="V272">
        <v>0</v>
      </c>
      <c r="W272">
        <f t="shared" si="57"/>
        <v>0</v>
      </c>
      <c r="X272" t="str">
        <f t="shared" si="58"/>
        <v/>
      </c>
      <c r="Y272">
        <v>2482.3200000000002</v>
      </c>
      <c r="Z272">
        <f t="shared" si="59"/>
        <v>2482.3200000000002</v>
      </c>
      <c r="AA272">
        <v>1520.21</v>
      </c>
      <c r="AB272">
        <v>962.11</v>
      </c>
      <c r="AC272">
        <f t="shared" si="60"/>
        <v>1654.88</v>
      </c>
      <c r="AD272" s="6">
        <f t="shared" si="61"/>
        <v>0.66666666666666663</v>
      </c>
      <c r="AE272" t="s">
        <v>32</v>
      </c>
      <c r="AF272" t="s">
        <v>33</v>
      </c>
      <c r="AG272">
        <f t="shared" si="62"/>
        <v>12</v>
      </c>
      <c r="AH272">
        <f t="shared" si="63"/>
        <v>2024</v>
      </c>
      <c r="AI272" t="str">
        <f t="shared" si="64"/>
        <v>INVALID</v>
      </c>
    </row>
    <row r="273" spans="1:35">
      <c r="A273" t="s">
        <v>918</v>
      </c>
      <c r="B273">
        <f t="shared" si="52"/>
        <v>1</v>
      </c>
      <c r="C273" t="str">
        <f>IF(COUNTIF($A$2:A273, A273)&gt;1, "DUPLICATE_FLAGGED_FOR_REVIEW", "")</f>
        <v/>
      </c>
      <c r="D273" s="3">
        <v>45647</v>
      </c>
      <c r="E273" s="2">
        <v>45651</v>
      </c>
      <c r="F273" s="2" t="str">
        <f t="shared" si="53"/>
        <v>OK</v>
      </c>
      <c r="G273" s="4">
        <f t="shared" si="54"/>
        <v>4</v>
      </c>
      <c r="H273" t="s">
        <v>919</v>
      </c>
      <c r="I273" t="s">
        <v>89</v>
      </c>
      <c r="J273" t="s">
        <v>24</v>
      </c>
      <c r="K273" t="s">
        <v>54</v>
      </c>
      <c r="L273" t="str">
        <f t="shared" si="55"/>
        <v>South</v>
      </c>
      <c r="M273" t="s">
        <v>55</v>
      </c>
      <c r="N273" t="s">
        <v>56</v>
      </c>
      <c r="O273" t="s">
        <v>28</v>
      </c>
      <c r="P273" t="s">
        <v>153</v>
      </c>
      <c r="Q273" t="s">
        <v>920</v>
      </c>
      <c r="R273" t="s">
        <v>59</v>
      </c>
      <c r="S273" t="str">
        <f t="shared" si="56"/>
        <v>Standard Class</v>
      </c>
      <c r="T273">
        <v>7</v>
      </c>
      <c r="U273">
        <v>1667.75</v>
      </c>
      <c r="V273">
        <v>0</v>
      </c>
      <c r="W273">
        <f t="shared" si="57"/>
        <v>0</v>
      </c>
      <c r="X273" t="str">
        <f t="shared" si="58"/>
        <v/>
      </c>
      <c r="Y273">
        <v>11674.25</v>
      </c>
      <c r="Z273">
        <f t="shared" si="59"/>
        <v>11674.25</v>
      </c>
      <c r="AA273">
        <v>9621.19</v>
      </c>
      <c r="AB273">
        <v>2053.06</v>
      </c>
      <c r="AC273">
        <f t="shared" si="60"/>
        <v>10006.5</v>
      </c>
      <c r="AD273" s="6">
        <f t="shared" si="61"/>
        <v>0.8571428571428571</v>
      </c>
      <c r="AE273" t="s">
        <v>155</v>
      </c>
      <c r="AF273" t="s">
        <v>68</v>
      </c>
      <c r="AG273">
        <f t="shared" si="62"/>
        <v>12</v>
      </c>
      <c r="AH273">
        <f t="shared" si="63"/>
        <v>2024</v>
      </c>
      <c r="AI273" t="str">
        <f t="shared" si="64"/>
        <v>CLEAN</v>
      </c>
    </row>
    <row r="274" spans="1:35">
      <c r="A274" t="s">
        <v>921</v>
      </c>
      <c r="B274">
        <f t="shared" si="52"/>
        <v>2</v>
      </c>
      <c r="C274" t="str">
        <f>IF(COUNTIF($A$2:A274, A274)&gt;1, "DUPLICATE_FLAGGED_FOR_REVIEW", "")</f>
        <v/>
      </c>
      <c r="D274" s="3">
        <v>45522</v>
      </c>
      <c r="E274" s="2">
        <v>45528</v>
      </c>
      <c r="F274" s="2" t="str">
        <f t="shared" si="53"/>
        <v>OK</v>
      </c>
      <c r="G274" s="4">
        <f t="shared" si="54"/>
        <v>6</v>
      </c>
      <c r="H274" t="s">
        <v>922</v>
      </c>
      <c r="I274" t="s">
        <v>53</v>
      </c>
      <c r="J274" t="s">
        <v>24</v>
      </c>
      <c r="K274" t="s">
        <v>54</v>
      </c>
      <c r="L274" t="str">
        <f t="shared" si="55"/>
        <v>South</v>
      </c>
      <c r="M274" t="s">
        <v>84</v>
      </c>
      <c r="N274" t="s">
        <v>85</v>
      </c>
      <c r="O274" t="s">
        <v>41</v>
      </c>
      <c r="P274" t="s">
        <v>66</v>
      </c>
      <c r="Q274" t="s">
        <v>923</v>
      </c>
      <c r="R274" t="s">
        <v>50</v>
      </c>
      <c r="S274" t="str">
        <f t="shared" si="56"/>
        <v>First Class</v>
      </c>
      <c r="T274">
        <v>7</v>
      </c>
      <c r="U274">
        <v>557.21</v>
      </c>
      <c r="V274">
        <v>0.1</v>
      </c>
      <c r="W274">
        <f t="shared" si="57"/>
        <v>0.1</v>
      </c>
      <c r="X274" t="str">
        <f t="shared" si="58"/>
        <v/>
      </c>
      <c r="Y274">
        <v>3510.42</v>
      </c>
      <c r="Z274">
        <f t="shared" si="59"/>
        <v>3510.4230000000002</v>
      </c>
      <c r="AA274">
        <v>2191.5</v>
      </c>
      <c r="AB274">
        <v>1213.48</v>
      </c>
      <c r="AC274">
        <f t="shared" si="60"/>
        <v>2953.2130000000002</v>
      </c>
      <c r="AD274" s="6">
        <f t="shared" si="61"/>
        <v>0.84126984126984128</v>
      </c>
      <c r="AE274" t="s">
        <v>32</v>
      </c>
      <c r="AF274" t="s">
        <v>33</v>
      </c>
      <c r="AG274">
        <f t="shared" si="62"/>
        <v>8</v>
      </c>
      <c r="AH274">
        <f t="shared" si="63"/>
        <v>2024</v>
      </c>
      <c r="AI274" t="str">
        <f t="shared" si="64"/>
        <v>CLEAN</v>
      </c>
    </row>
    <row r="275" spans="1:35">
      <c r="A275" t="s">
        <v>924</v>
      </c>
      <c r="B275">
        <f t="shared" si="52"/>
        <v>1</v>
      </c>
      <c r="C275" t="str">
        <f>IF(COUNTIF($A$2:A275, A275)&gt;1, "DUPLICATE_FLAGGED_FOR_REVIEW", "")</f>
        <v/>
      </c>
      <c r="D275" s="3">
        <v>45701</v>
      </c>
      <c r="E275" s="2">
        <v>45701</v>
      </c>
      <c r="F275" s="2" t="str">
        <f t="shared" si="53"/>
        <v>OK</v>
      </c>
      <c r="G275" s="4">
        <f t="shared" si="54"/>
        <v>0</v>
      </c>
      <c r="H275" t="s">
        <v>925</v>
      </c>
      <c r="I275" t="s">
        <v>47</v>
      </c>
      <c r="J275" t="s">
        <v>24</v>
      </c>
      <c r="K275" t="s">
        <v>38</v>
      </c>
      <c r="L275" t="str">
        <f t="shared" si="55"/>
        <v>East</v>
      </c>
      <c r="M275" t="s">
        <v>145</v>
      </c>
      <c r="N275" t="s">
        <v>146</v>
      </c>
      <c r="O275" t="s">
        <v>28</v>
      </c>
      <c r="P275" t="s">
        <v>29</v>
      </c>
      <c r="Q275" t="s">
        <v>926</v>
      </c>
      <c r="R275" t="s">
        <v>31</v>
      </c>
      <c r="S275" t="str">
        <f t="shared" si="56"/>
        <v>Second Class</v>
      </c>
      <c r="T275">
        <v>9</v>
      </c>
      <c r="U275">
        <v>2521.63</v>
      </c>
      <c r="V275">
        <v>0</v>
      </c>
      <c r="W275">
        <f t="shared" si="57"/>
        <v>0</v>
      </c>
      <c r="X275" t="str">
        <f t="shared" si="58"/>
        <v/>
      </c>
      <c r="Y275">
        <v>22694.67</v>
      </c>
      <c r="Z275">
        <f t="shared" si="59"/>
        <v>22694.670000000002</v>
      </c>
      <c r="AA275">
        <v>15405.36</v>
      </c>
      <c r="AB275">
        <v>7289.31</v>
      </c>
      <c r="AC275">
        <f t="shared" si="60"/>
        <v>20173.04</v>
      </c>
      <c r="AD275" s="6">
        <f t="shared" si="61"/>
        <v>0.88888888888888884</v>
      </c>
      <c r="AE275" t="s">
        <v>32</v>
      </c>
      <c r="AF275" t="s">
        <v>103</v>
      </c>
      <c r="AG275">
        <f t="shared" si="62"/>
        <v>2</v>
      </c>
      <c r="AH275">
        <f t="shared" si="63"/>
        <v>2025</v>
      </c>
      <c r="AI275" t="str">
        <f t="shared" si="64"/>
        <v>CLEAN</v>
      </c>
    </row>
    <row r="276" spans="1:35">
      <c r="A276" t="s">
        <v>927</v>
      </c>
      <c r="B276">
        <f t="shared" si="52"/>
        <v>1</v>
      </c>
      <c r="C276" t="str">
        <f>IF(COUNTIF($A$2:A276, A276)&gt;1, "DUPLICATE_FLAGGED_FOR_REVIEW", "")</f>
        <v/>
      </c>
      <c r="D276" s="3">
        <v>45389</v>
      </c>
      <c r="E276" s="2">
        <v>45396</v>
      </c>
      <c r="F276" s="2" t="str">
        <f t="shared" si="53"/>
        <v>OK</v>
      </c>
      <c r="G276" s="4">
        <f t="shared" si="54"/>
        <v>7</v>
      </c>
      <c r="H276" t="s">
        <v>928</v>
      </c>
      <c r="I276" t="s">
        <v>141</v>
      </c>
      <c r="J276" t="s">
        <v>24</v>
      </c>
      <c r="K276" t="s">
        <v>54</v>
      </c>
      <c r="L276" t="str">
        <f t="shared" si="55"/>
        <v>South</v>
      </c>
      <c r="M276" t="s">
        <v>185</v>
      </c>
      <c r="N276" t="s">
        <v>186</v>
      </c>
      <c r="O276" t="s">
        <v>74</v>
      </c>
      <c r="P276" t="s">
        <v>80</v>
      </c>
      <c r="Q276" t="s">
        <v>929</v>
      </c>
      <c r="R276" t="s">
        <v>59</v>
      </c>
      <c r="S276" t="str">
        <f t="shared" si="56"/>
        <v>Standard Class</v>
      </c>
      <c r="T276">
        <v>6</v>
      </c>
      <c r="U276">
        <v>4246.71</v>
      </c>
      <c r="V276">
        <v>0.15</v>
      </c>
      <c r="W276">
        <f t="shared" si="57"/>
        <v>0.15</v>
      </c>
      <c r="X276" t="str">
        <f t="shared" si="58"/>
        <v/>
      </c>
      <c r="Y276">
        <v>21658.22</v>
      </c>
      <c r="Z276">
        <f t="shared" si="59"/>
        <v>21658.221000000001</v>
      </c>
      <c r="AA276">
        <v>15490.69</v>
      </c>
      <c r="AB276">
        <v>6167.53</v>
      </c>
      <c r="AC276">
        <f t="shared" si="60"/>
        <v>17411.511000000002</v>
      </c>
      <c r="AD276" s="6">
        <f t="shared" si="61"/>
        <v>0.80392156862745101</v>
      </c>
      <c r="AE276" t="s">
        <v>155</v>
      </c>
      <c r="AF276" t="s">
        <v>103</v>
      </c>
      <c r="AG276">
        <f t="shared" si="62"/>
        <v>4</v>
      </c>
      <c r="AH276">
        <f t="shared" si="63"/>
        <v>2024</v>
      </c>
      <c r="AI276" t="str">
        <f t="shared" si="64"/>
        <v>CLEAN</v>
      </c>
    </row>
    <row r="277" spans="1:35">
      <c r="A277" t="s">
        <v>930</v>
      </c>
      <c r="B277">
        <f t="shared" si="52"/>
        <v>1</v>
      </c>
      <c r="C277" t="str">
        <f>IF(COUNTIF($A$2:A277, A277)&gt;1, "DUPLICATE_FLAGGED_FOR_REVIEW", "")</f>
        <v/>
      </c>
      <c r="D277" s="3">
        <v>45337</v>
      </c>
      <c r="E277" s="2">
        <v>45344</v>
      </c>
      <c r="F277" s="2" t="str">
        <f t="shared" si="53"/>
        <v>OK</v>
      </c>
      <c r="G277" s="4">
        <f t="shared" si="54"/>
        <v>7</v>
      </c>
      <c r="H277" t="s">
        <v>931</v>
      </c>
      <c r="I277" t="s">
        <v>114</v>
      </c>
      <c r="J277" t="s">
        <v>37</v>
      </c>
      <c r="K277" t="s">
        <v>38</v>
      </c>
      <c r="L277" t="str">
        <f t="shared" si="55"/>
        <v>East</v>
      </c>
      <c r="M277" t="s">
        <v>99</v>
      </c>
      <c r="N277" t="s">
        <v>100</v>
      </c>
      <c r="O277" t="s">
        <v>41</v>
      </c>
      <c r="P277" t="s">
        <v>57</v>
      </c>
      <c r="Q277" t="s">
        <v>932</v>
      </c>
      <c r="R277" t="s">
        <v>44</v>
      </c>
      <c r="S277" t="str">
        <f t="shared" si="56"/>
        <v>Same Day</v>
      </c>
      <c r="T277">
        <v>1</v>
      </c>
      <c r="U277">
        <v>980.51</v>
      </c>
      <c r="V277">
        <v>0</v>
      </c>
      <c r="W277">
        <f t="shared" si="57"/>
        <v>0</v>
      </c>
      <c r="X277" t="str">
        <f t="shared" si="58"/>
        <v/>
      </c>
      <c r="Y277">
        <v>980.51</v>
      </c>
      <c r="Z277">
        <f t="shared" si="59"/>
        <v>980.51</v>
      </c>
      <c r="AA277">
        <v>660.92</v>
      </c>
      <c r="AB277">
        <v>319.58999999999997</v>
      </c>
      <c r="AC277">
        <f t="shared" si="60"/>
        <v>0</v>
      </c>
      <c r="AD277" s="6">
        <f t="shared" si="61"/>
        <v>0</v>
      </c>
      <c r="AE277" t="s">
        <v>32</v>
      </c>
      <c r="AF277" t="s">
        <v>33</v>
      </c>
      <c r="AG277">
        <f t="shared" si="62"/>
        <v>2</v>
      </c>
      <c r="AH277">
        <f t="shared" si="63"/>
        <v>2024</v>
      </c>
      <c r="AI277" t="str">
        <f t="shared" si="64"/>
        <v>CLEAN</v>
      </c>
    </row>
    <row r="278" spans="1:35">
      <c r="A278" t="s">
        <v>933</v>
      </c>
      <c r="B278">
        <f t="shared" si="52"/>
        <v>1</v>
      </c>
      <c r="C278" t="str">
        <f>IF(COUNTIF($A$2:A278, A278)&gt;1, "DUPLICATE_FLAGGED_FOR_REVIEW", "")</f>
        <v/>
      </c>
      <c r="D278" s="3">
        <v>45313</v>
      </c>
      <c r="E278" s="2">
        <v>45314</v>
      </c>
      <c r="F278" s="2" t="str">
        <f t="shared" si="53"/>
        <v>OK</v>
      </c>
      <c r="G278" s="4">
        <f t="shared" si="54"/>
        <v>1</v>
      </c>
      <c r="H278" t="s">
        <v>934</v>
      </c>
      <c r="I278" t="s">
        <v>128</v>
      </c>
      <c r="J278" t="s">
        <v>37</v>
      </c>
      <c r="K278" t="s">
        <v>2760</v>
      </c>
      <c r="L278" t="str">
        <f t="shared" si="55"/>
        <v>Unknown</v>
      </c>
      <c r="M278" t="s">
        <v>166</v>
      </c>
      <c r="N278" t="s">
        <v>167</v>
      </c>
      <c r="O278" t="s">
        <v>41</v>
      </c>
      <c r="P278" t="s">
        <v>66</v>
      </c>
      <c r="Q278" t="s">
        <v>935</v>
      </c>
      <c r="R278" t="s">
        <v>31</v>
      </c>
      <c r="S278" t="str">
        <f t="shared" si="56"/>
        <v>Second Class</v>
      </c>
      <c r="T278">
        <v>6</v>
      </c>
      <c r="U278">
        <v>3391.53</v>
      </c>
      <c r="V278">
        <v>-0.14000000000000001</v>
      </c>
      <c r="W278">
        <f t="shared" si="57"/>
        <v>-0.14000000000000001</v>
      </c>
      <c r="X278" t="str">
        <f t="shared" si="58"/>
        <v>INVALID_NEGATIVE_DISCOUNT</v>
      </c>
      <c r="Y278">
        <v>15261.89</v>
      </c>
      <c r="Z278">
        <f t="shared" si="59"/>
        <v>23198.065200000005</v>
      </c>
      <c r="AA278">
        <v>8413.5300000000007</v>
      </c>
      <c r="AB278">
        <v>6848.36</v>
      </c>
      <c r="AC278">
        <f t="shared" si="60"/>
        <v>19806.535200000006</v>
      </c>
      <c r="AD278" s="6">
        <f t="shared" si="61"/>
        <v>0.85380116959064334</v>
      </c>
      <c r="AE278" t="s">
        <v>32</v>
      </c>
      <c r="AF278" t="s">
        <v>33</v>
      </c>
      <c r="AG278">
        <f t="shared" si="62"/>
        <v>1</v>
      </c>
      <c r="AH278">
        <f t="shared" si="63"/>
        <v>2024</v>
      </c>
      <c r="AI278" t="str">
        <f t="shared" si="64"/>
        <v>INVALID</v>
      </c>
    </row>
    <row r="279" spans="1:35">
      <c r="A279" t="s">
        <v>936</v>
      </c>
      <c r="B279">
        <f t="shared" si="52"/>
        <v>1</v>
      </c>
      <c r="C279" t="str">
        <f>IF(COUNTIF($A$2:A279, A279)&gt;1, "DUPLICATE_FLAGGED_FOR_REVIEW", "")</f>
        <v/>
      </c>
      <c r="D279" s="3">
        <v>45812</v>
      </c>
      <c r="E279" s="2">
        <v>45812</v>
      </c>
      <c r="F279" s="2" t="str">
        <f t="shared" si="53"/>
        <v>OK</v>
      </c>
      <c r="G279" s="4">
        <f t="shared" si="54"/>
        <v>0</v>
      </c>
      <c r="H279" t="s">
        <v>788</v>
      </c>
      <c r="I279" t="s">
        <v>47</v>
      </c>
      <c r="J279" t="s">
        <v>90</v>
      </c>
      <c r="K279" t="s">
        <v>25</v>
      </c>
      <c r="L279" t="str">
        <f t="shared" si="55"/>
        <v>North</v>
      </c>
      <c r="M279" t="s">
        <v>236</v>
      </c>
      <c r="N279" t="s">
        <v>237</v>
      </c>
      <c r="O279" t="s">
        <v>74</v>
      </c>
      <c r="P279" t="s">
        <v>75</v>
      </c>
      <c r="Q279" t="s">
        <v>937</v>
      </c>
      <c r="R279" t="s">
        <v>31</v>
      </c>
      <c r="S279" t="str">
        <f t="shared" si="56"/>
        <v>Second Class</v>
      </c>
      <c r="T279">
        <v>1</v>
      </c>
      <c r="U279">
        <v>2133.73</v>
      </c>
      <c r="V279">
        <v>0.15</v>
      </c>
      <c r="W279">
        <f t="shared" si="57"/>
        <v>0.15</v>
      </c>
      <c r="X279" t="str">
        <f t="shared" si="58"/>
        <v/>
      </c>
      <c r="Y279">
        <v>2008.39</v>
      </c>
      <c r="Z279">
        <f t="shared" si="59"/>
        <v>1813.6704999999999</v>
      </c>
      <c r="AA279">
        <v>1002.57</v>
      </c>
      <c r="AB279">
        <v>811.1</v>
      </c>
      <c r="AC279">
        <f t="shared" si="60"/>
        <v>-320.05950000000007</v>
      </c>
      <c r="AD279" s="6">
        <f t="shared" si="61"/>
        <v>-0.17647058823529416</v>
      </c>
      <c r="AE279" t="s">
        <v>111</v>
      </c>
      <c r="AF279" t="s">
        <v>68</v>
      </c>
      <c r="AG279">
        <f t="shared" si="62"/>
        <v>6</v>
      </c>
      <c r="AH279">
        <f t="shared" si="63"/>
        <v>2025</v>
      </c>
      <c r="AI279" t="str">
        <f t="shared" si="64"/>
        <v>CLEAN</v>
      </c>
    </row>
    <row r="280" spans="1:35">
      <c r="A280" t="s">
        <v>938</v>
      </c>
      <c r="B280">
        <f t="shared" si="52"/>
        <v>1</v>
      </c>
      <c r="C280" t="str">
        <f>IF(COUNTIF($A$2:A280, A280)&gt;1, "DUPLICATE_FLAGGED_FOR_REVIEW", "")</f>
        <v/>
      </c>
      <c r="D280" s="3">
        <v>45723</v>
      </c>
      <c r="E280" s="2">
        <v>45730</v>
      </c>
      <c r="F280" s="2" t="str">
        <f t="shared" si="53"/>
        <v>OK</v>
      </c>
      <c r="G280" s="4">
        <f t="shared" si="54"/>
        <v>7</v>
      </c>
      <c r="H280" t="s">
        <v>939</v>
      </c>
      <c r="I280" t="s">
        <v>114</v>
      </c>
      <c r="J280" t="s">
        <v>37</v>
      </c>
      <c r="K280" t="s">
        <v>25</v>
      </c>
      <c r="L280" t="str">
        <f t="shared" si="55"/>
        <v>North</v>
      </c>
      <c r="M280" t="s">
        <v>350</v>
      </c>
      <c r="N280" t="s">
        <v>351</v>
      </c>
      <c r="O280" t="s">
        <v>74</v>
      </c>
      <c r="P280" t="s">
        <v>75</v>
      </c>
      <c r="Q280" t="s">
        <v>940</v>
      </c>
      <c r="R280" t="s">
        <v>44</v>
      </c>
      <c r="S280" t="str">
        <f t="shared" si="56"/>
        <v>Same Day</v>
      </c>
      <c r="T280">
        <v>1</v>
      </c>
      <c r="U280">
        <v>3979.64</v>
      </c>
      <c r="V280">
        <v>0.05</v>
      </c>
      <c r="W280">
        <f t="shared" si="57"/>
        <v>0.05</v>
      </c>
      <c r="X280" t="str">
        <f t="shared" si="58"/>
        <v/>
      </c>
      <c r="Y280">
        <v>3780.66</v>
      </c>
      <c r="Z280">
        <f t="shared" si="59"/>
        <v>3780.6579999999999</v>
      </c>
      <c r="AA280">
        <v>2148.31</v>
      </c>
      <c r="AB280">
        <v>1632.35</v>
      </c>
      <c r="AC280">
        <f t="shared" si="60"/>
        <v>-198.98199999999997</v>
      </c>
      <c r="AD280" s="6">
        <f t="shared" si="61"/>
        <v>-5.2631578947368418E-2</v>
      </c>
      <c r="AE280" t="s">
        <v>32</v>
      </c>
      <c r="AF280" t="s">
        <v>103</v>
      </c>
      <c r="AG280">
        <f t="shared" si="62"/>
        <v>3</v>
      </c>
      <c r="AH280">
        <f t="shared" si="63"/>
        <v>2025</v>
      </c>
      <c r="AI280" t="str">
        <f t="shared" si="64"/>
        <v>CLEAN</v>
      </c>
    </row>
    <row r="281" spans="1:35">
      <c r="A281" t="s">
        <v>941</v>
      </c>
      <c r="B281">
        <f t="shared" si="52"/>
        <v>1</v>
      </c>
      <c r="C281" t="str">
        <f>IF(COUNTIF($A$2:A281, A281)&gt;1, "DUPLICATE_FLAGGED_FOR_REVIEW", "")</f>
        <v/>
      </c>
      <c r="D281" s="3">
        <v>45539</v>
      </c>
      <c r="E281" s="2">
        <v>45392</v>
      </c>
      <c r="F281" s="2" t="str">
        <f t="shared" si="53"/>
        <v>ERROR: Ship before order</v>
      </c>
      <c r="G281" s="4">
        <f t="shared" si="54"/>
        <v>-147</v>
      </c>
      <c r="H281" t="s">
        <v>942</v>
      </c>
      <c r="I281" t="s">
        <v>141</v>
      </c>
      <c r="J281" t="s">
        <v>37</v>
      </c>
      <c r="K281" t="s">
        <v>63</v>
      </c>
      <c r="L281" t="str">
        <f t="shared" si="55"/>
        <v>West</v>
      </c>
      <c r="M281" t="s">
        <v>64</v>
      </c>
      <c r="N281" t="s">
        <v>65</v>
      </c>
      <c r="O281" t="s">
        <v>28</v>
      </c>
      <c r="P281" t="s">
        <v>124</v>
      </c>
      <c r="Q281" t="s">
        <v>943</v>
      </c>
      <c r="R281" t="s">
        <v>50</v>
      </c>
      <c r="S281" t="str">
        <f t="shared" si="56"/>
        <v>First Class</v>
      </c>
      <c r="T281">
        <v>1</v>
      </c>
      <c r="U281">
        <v>4359.12</v>
      </c>
      <c r="V281">
        <v>0.05</v>
      </c>
      <c r="W281">
        <f t="shared" si="57"/>
        <v>0.05</v>
      </c>
      <c r="X281" t="str">
        <f t="shared" si="58"/>
        <v/>
      </c>
      <c r="Y281">
        <v>4141.16</v>
      </c>
      <c r="Z281">
        <f t="shared" si="59"/>
        <v>4141.1639999999998</v>
      </c>
      <c r="AA281">
        <v>2754.17</v>
      </c>
      <c r="AB281">
        <v>1386.99</v>
      </c>
      <c r="AC281">
        <f t="shared" si="60"/>
        <v>-217.95600000000013</v>
      </c>
      <c r="AD281" s="6">
        <f t="shared" si="61"/>
        <v>-5.2631578947368453E-2</v>
      </c>
      <c r="AE281" t="s">
        <v>32</v>
      </c>
      <c r="AF281" t="s">
        <v>33</v>
      </c>
      <c r="AG281">
        <f t="shared" si="62"/>
        <v>9</v>
      </c>
      <c r="AH281">
        <f t="shared" si="63"/>
        <v>2024</v>
      </c>
      <c r="AI281" t="str">
        <f t="shared" si="64"/>
        <v>INVALID</v>
      </c>
    </row>
    <row r="282" spans="1:35">
      <c r="A282" t="s">
        <v>944</v>
      </c>
      <c r="B282">
        <f t="shared" si="52"/>
        <v>1</v>
      </c>
      <c r="C282" t="str">
        <f>IF(COUNTIF($A$2:A282, A282)&gt;1, "DUPLICATE_FLAGGED_FOR_REVIEW", "")</f>
        <v/>
      </c>
      <c r="D282" s="3">
        <v>45649</v>
      </c>
      <c r="E282" s="2">
        <v>45652</v>
      </c>
      <c r="F282" s="2" t="str">
        <f t="shared" si="53"/>
        <v>OK</v>
      </c>
      <c r="G282" s="4">
        <f t="shared" si="54"/>
        <v>3</v>
      </c>
      <c r="H282" t="s">
        <v>945</v>
      </c>
      <c r="I282" t="s">
        <v>89</v>
      </c>
      <c r="J282" t="s">
        <v>24</v>
      </c>
      <c r="K282" t="s">
        <v>54</v>
      </c>
      <c r="L282" t="str">
        <f t="shared" si="55"/>
        <v>South</v>
      </c>
      <c r="M282" t="s">
        <v>175</v>
      </c>
      <c r="N282" t="s">
        <v>176</v>
      </c>
      <c r="O282" t="s">
        <v>74</v>
      </c>
      <c r="P282" t="s">
        <v>80</v>
      </c>
      <c r="Q282" t="s">
        <v>946</v>
      </c>
      <c r="R282" t="s">
        <v>59</v>
      </c>
      <c r="S282" t="str">
        <f t="shared" si="56"/>
        <v>Standard Class</v>
      </c>
      <c r="T282">
        <v>9</v>
      </c>
      <c r="U282">
        <v>993.67</v>
      </c>
      <c r="V282">
        <v>0</v>
      </c>
      <c r="W282">
        <f t="shared" si="57"/>
        <v>0</v>
      </c>
      <c r="X282" t="str">
        <f t="shared" si="58"/>
        <v/>
      </c>
      <c r="Y282">
        <v>8943.0300000000007</v>
      </c>
      <c r="Z282">
        <f t="shared" si="59"/>
        <v>8943.0299999999988</v>
      </c>
      <c r="AA282">
        <v>5165.38</v>
      </c>
      <c r="AB282">
        <v>3777.65</v>
      </c>
      <c r="AC282">
        <f t="shared" si="60"/>
        <v>7949.3599999999988</v>
      </c>
      <c r="AD282" s="6">
        <f t="shared" si="61"/>
        <v>0.88888888888888884</v>
      </c>
      <c r="AE282" t="s">
        <v>32</v>
      </c>
      <c r="AF282" t="s">
        <v>33</v>
      </c>
      <c r="AG282">
        <f t="shared" si="62"/>
        <v>12</v>
      </c>
      <c r="AH282">
        <f t="shared" si="63"/>
        <v>2024</v>
      </c>
      <c r="AI282" t="str">
        <f t="shared" si="64"/>
        <v>CLEAN</v>
      </c>
    </row>
    <row r="283" spans="1:35">
      <c r="A283" t="s">
        <v>947</v>
      </c>
      <c r="B283">
        <f t="shared" si="52"/>
        <v>1</v>
      </c>
      <c r="C283" t="str">
        <f>IF(COUNTIF($A$2:A283, A283)&gt;1, "DUPLICATE_FLAGGED_FOR_REVIEW", "")</f>
        <v/>
      </c>
      <c r="D283" s="3">
        <v>45863</v>
      </c>
      <c r="E283" s="2">
        <v>45865</v>
      </c>
      <c r="F283" s="2" t="str">
        <f t="shared" si="53"/>
        <v>OK</v>
      </c>
      <c r="G283" s="4">
        <f t="shared" si="54"/>
        <v>2</v>
      </c>
      <c r="H283" t="s">
        <v>948</v>
      </c>
      <c r="I283" t="s">
        <v>264</v>
      </c>
      <c r="J283" t="s">
        <v>24</v>
      </c>
      <c r="K283" t="s">
        <v>38</v>
      </c>
      <c r="L283" t="str">
        <f t="shared" si="55"/>
        <v>East</v>
      </c>
      <c r="M283" t="s">
        <v>228</v>
      </c>
      <c r="N283" t="s">
        <v>229</v>
      </c>
      <c r="O283" t="s">
        <v>28</v>
      </c>
      <c r="P283" t="s">
        <v>153</v>
      </c>
      <c r="Q283" t="s">
        <v>949</v>
      </c>
      <c r="R283" t="s">
        <v>31</v>
      </c>
      <c r="S283" t="str">
        <f t="shared" si="56"/>
        <v>Second Class</v>
      </c>
      <c r="T283">
        <v>6</v>
      </c>
      <c r="U283">
        <v>3438.38</v>
      </c>
      <c r="V283">
        <v>0.2</v>
      </c>
      <c r="W283">
        <f t="shared" si="57"/>
        <v>0.2</v>
      </c>
      <c r="X283" t="str">
        <f t="shared" si="58"/>
        <v/>
      </c>
      <c r="Y283">
        <v>16504.22</v>
      </c>
      <c r="Z283">
        <f t="shared" si="59"/>
        <v>16504.223999999998</v>
      </c>
      <c r="AA283">
        <v>11262.71</v>
      </c>
      <c r="AB283">
        <v>5241.51</v>
      </c>
      <c r="AC283">
        <f t="shared" si="60"/>
        <v>13065.843999999997</v>
      </c>
      <c r="AD283" s="6">
        <f t="shared" si="61"/>
        <v>0.79166666666666663</v>
      </c>
      <c r="AE283" t="s">
        <v>32</v>
      </c>
      <c r="AF283" t="s">
        <v>33</v>
      </c>
      <c r="AG283">
        <f t="shared" si="62"/>
        <v>7</v>
      </c>
      <c r="AH283">
        <f t="shared" si="63"/>
        <v>2025</v>
      </c>
      <c r="AI283" t="str">
        <f t="shared" si="64"/>
        <v>CLEAN</v>
      </c>
    </row>
    <row r="284" spans="1:35">
      <c r="A284" t="s">
        <v>950</v>
      </c>
      <c r="B284">
        <f t="shared" si="52"/>
        <v>1</v>
      </c>
      <c r="C284" t="str">
        <f>IF(COUNTIF($A$2:A284, A284)&gt;1, "DUPLICATE_FLAGGED_FOR_REVIEW", "")</f>
        <v/>
      </c>
      <c r="D284" s="3">
        <v>45566</v>
      </c>
      <c r="E284" s="2">
        <v>45332</v>
      </c>
      <c r="F284" s="2" t="str">
        <f t="shared" si="53"/>
        <v>ERROR: Ship before order</v>
      </c>
      <c r="G284" s="4">
        <f t="shared" si="54"/>
        <v>-234</v>
      </c>
      <c r="H284" t="s">
        <v>951</v>
      </c>
      <c r="I284" t="s">
        <v>23</v>
      </c>
      <c r="J284" t="s">
        <v>95</v>
      </c>
      <c r="K284" t="s">
        <v>38</v>
      </c>
      <c r="L284" t="str">
        <f t="shared" si="55"/>
        <v>East</v>
      </c>
      <c r="M284" t="s">
        <v>166</v>
      </c>
      <c r="N284" t="s">
        <v>167</v>
      </c>
      <c r="O284" t="s">
        <v>41</v>
      </c>
      <c r="P284" t="s">
        <v>42</v>
      </c>
      <c r="Q284" t="s">
        <v>952</v>
      </c>
      <c r="R284" t="s">
        <v>31</v>
      </c>
      <c r="S284" t="str">
        <f t="shared" si="56"/>
        <v>Second Class</v>
      </c>
      <c r="T284">
        <v>2</v>
      </c>
      <c r="U284">
        <v>2298</v>
      </c>
      <c r="V284">
        <v>0</v>
      </c>
      <c r="W284">
        <f t="shared" si="57"/>
        <v>0</v>
      </c>
      <c r="X284" t="str">
        <f t="shared" si="58"/>
        <v/>
      </c>
      <c r="Y284">
        <v>4596</v>
      </c>
      <c r="Z284">
        <f t="shared" si="59"/>
        <v>4596</v>
      </c>
      <c r="AA284">
        <v>3220.33</v>
      </c>
      <c r="AB284">
        <v>1375.67</v>
      </c>
      <c r="AC284">
        <f t="shared" si="60"/>
        <v>2298</v>
      </c>
      <c r="AD284" s="6">
        <f t="shared" si="61"/>
        <v>0.5</v>
      </c>
      <c r="AE284" t="s">
        <v>32</v>
      </c>
      <c r="AF284" t="s">
        <v>33</v>
      </c>
      <c r="AG284">
        <f t="shared" si="62"/>
        <v>10</v>
      </c>
      <c r="AH284">
        <f t="shared" si="63"/>
        <v>2024</v>
      </c>
      <c r="AI284" t="str">
        <f t="shared" si="64"/>
        <v>INVALID</v>
      </c>
    </row>
    <row r="285" spans="1:35">
      <c r="A285" t="s">
        <v>953</v>
      </c>
      <c r="B285">
        <f t="shared" si="52"/>
        <v>1</v>
      </c>
      <c r="C285" t="str">
        <f>IF(COUNTIF($A$2:A285, A285)&gt;1, "DUPLICATE_FLAGGED_FOR_REVIEW", "")</f>
        <v/>
      </c>
      <c r="D285" s="3">
        <v>45729</v>
      </c>
      <c r="E285" s="2">
        <v>45736</v>
      </c>
      <c r="F285" s="2" t="str">
        <f t="shared" si="53"/>
        <v>OK</v>
      </c>
      <c r="G285" s="4">
        <f t="shared" si="54"/>
        <v>7</v>
      </c>
      <c r="H285" t="s">
        <v>954</v>
      </c>
      <c r="I285" t="s">
        <v>71</v>
      </c>
      <c r="J285" t="s">
        <v>24</v>
      </c>
      <c r="K285" t="s">
        <v>63</v>
      </c>
      <c r="L285" t="str">
        <f t="shared" si="55"/>
        <v>West</v>
      </c>
      <c r="M285" t="s">
        <v>64</v>
      </c>
      <c r="N285" t="s">
        <v>65</v>
      </c>
      <c r="O285" t="s">
        <v>41</v>
      </c>
      <c r="P285" t="s">
        <v>57</v>
      </c>
      <c r="Q285" t="s">
        <v>955</v>
      </c>
      <c r="R285" t="s">
        <v>50</v>
      </c>
      <c r="S285" t="str">
        <f t="shared" si="56"/>
        <v>First Class</v>
      </c>
      <c r="T285">
        <v>1</v>
      </c>
      <c r="U285">
        <v>1814.01</v>
      </c>
      <c r="V285">
        <v>0</v>
      </c>
      <c r="W285">
        <f t="shared" si="57"/>
        <v>0</v>
      </c>
      <c r="X285" t="str">
        <f t="shared" si="58"/>
        <v/>
      </c>
      <c r="Y285">
        <v>1814.01</v>
      </c>
      <c r="Z285">
        <f t="shared" si="59"/>
        <v>1814.01</v>
      </c>
      <c r="AA285">
        <v>1033.47</v>
      </c>
      <c r="AB285">
        <v>780.54</v>
      </c>
      <c r="AC285">
        <f t="shared" si="60"/>
        <v>0</v>
      </c>
      <c r="AD285" s="6">
        <f t="shared" si="61"/>
        <v>0</v>
      </c>
      <c r="AE285" t="s">
        <v>32</v>
      </c>
      <c r="AF285" t="s">
        <v>33</v>
      </c>
      <c r="AG285">
        <f t="shared" si="62"/>
        <v>3</v>
      </c>
      <c r="AH285">
        <f t="shared" si="63"/>
        <v>2025</v>
      </c>
      <c r="AI285" t="str">
        <f t="shared" si="64"/>
        <v>CLEAN</v>
      </c>
    </row>
    <row r="286" spans="1:35">
      <c r="A286" t="s">
        <v>956</v>
      </c>
      <c r="B286">
        <f t="shared" si="52"/>
        <v>1</v>
      </c>
      <c r="C286" t="str">
        <f>IF(COUNTIF($A$2:A286, A286)&gt;1, "DUPLICATE_FLAGGED_FOR_REVIEW", "")</f>
        <v/>
      </c>
      <c r="D286" s="3">
        <v>45516</v>
      </c>
      <c r="E286" s="2">
        <v>45640</v>
      </c>
      <c r="F286" s="2" t="str">
        <f t="shared" si="53"/>
        <v>OK</v>
      </c>
      <c r="G286" s="4">
        <f t="shared" si="54"/>
        <v>124</v>
      </c>
      <c r="H286" t="s">
        <v>957</v>
      </c>
      <c r="I286" t="s">
        <v>23</v>
      </c>
      <c r="J286" t="s">
        <v>24</v>
      </c>
      <c r="K286" t="s">
        <v>38</v>
      </c>
      <c r="L286" t="str">
        <f t="shared" si="55"/>
        <v>East</v>
      </c>
      <c r="M286" t="s">
        <v>39</v>
      </c>
      <c r="N286" t="s">
        <v>40</v>
      </c>
      <c r="O286" t="s">
        <v>41</v>
      </c>
      <c r="P286" t="s">
        <v>42</v>
      </c>
      <c r="Q286" t="s">
        <v>958</v>
      </c>
      <c r="R286" t="s">
        <v>44</v>
      </c>
      <c r="S286" t="str">
        <f t="shared" si="56"/>
        <v>Same Day</v>
      </c>
      <c r="T286">
        <v>3</v>
      </c>
      <c r="U286">
        <v>1576.92</v>
      </c>
      <c r="V286">
        <v>0</v>
      </c>
      <c r="W286">
        <f t="shared" si="57"/>
        <v>0</v>
      </c>
      <c r="X286" t="str">
        <f t="shared" si="58"/>
        <v/>
      </c>
      <c r="Y286">
        <v>4730.76</v>
      </c>
      <c r="Z286">
        <f t="shared" si="59"/>
        <v>4730.76</v>
      </c>
      <c r="AA286">
        <v>3139.73</v>
      </c>
      <c r="AB286">
        <v>1591.03</v>
      </c>
      <c r="AC286">
        <f t="shared" si="60"/>
        <v>3153.84</v>
      </c>
      <c r="AD286" s="6">
        <f t="shared" si="61"/>
        <v>0.66666666666666663</v>
      </c>
      <c r="AE286" t="s">
        <v>32</v>
      </c>
      <c r="AF286" t="s">
        <v>103</v>
      </c>
      <c r="AG286">
        <f t="shared" si="62"/>
        <v>8</v>
      </c>
      <c r="AH286">
        <f t="shared" si="63"/>
        <v>2024</v>
      </c>
      <c r="AI286" t="str">
        <f t="shared" si="64"/>
        <v>CLEAN</v>
      </c>
    </row>
    <row r="287" spans="1:35">
      <c r="A287" t="s">
        <v>959</v>
      </c>
      <c r="B287">
        <f t="shared" si="52"/>
        <v>1</v>
      </c>
      <c r="C287" t="str">
        <f>IF(COUNTIF($A$2:A287, A287)&gt;1, "DUPLICATE_FLAGGED_FOR_REVIEW", "")</f>
        <v/>
      </c>
      <c r="D287" s="3">
        <v>45884</v>
      </c>
      <c r="E287" s="2">
        <v>45889</v>
      </c>
      <c r="F287" s="2" t="str">
        <f t="shared" si="53"/>
        <v>OK</v>
      </c>
      <c r="G287" s="4">
        <f t="shared" si="54"/>
        <v>5</v>
      </c>
      <c r="H287" t="s">
        <v>960</v>
      </c>
      <c r="I287" t="s">
        <v>79</v>
      </c>
      <c r="J287" t="s">
        <v>95</v>
      </c>
      <c r="K287" t="s">
        <v>25</v>
      </c>
      <c r="L287" t="str">
        <f t="shared" si="55"/>
        <v>North</v>
      </c>
      <c r="M287" t="s">
        <v>26</v>
      </c>
      <c r="N287" t="s">
        <v>27</v>
      </c>
      <c r="O287" t="s">
        <v>28</v>
      </c>
      <c r="P287" t="s">
        <v>124</v>
      </c>
      <c r="Q287" t="s">
        <v>961</v>
      </c>
      <c r="R287" t="s">
        <v>59</v>
      </c>
      <c r="S287" t="str">
        <f t="shared" si="56"/>
        <v>Standard Class</v>
      </c>
      <c r="T287">
        <v>9</v>
      </c>
      <c r="U287">
        <v>4081.77</v>
      </c>
      <c r="V287">
        <v>0</v>
      </c>
      <c r="W287">
        <f t="shared" si="57"/>
        <v>0</v>
      </c>
      <c r="X287" t="str">
        <f t="shared" si="58"/>
        <v/>
      </c>
      <c r="Y287">
        <v>36735.93</v>
      </c>
      <c r="Z287">
        <f t="shared" si="59"/>
        <v>36735.93</v>
      </c>
      <c r="AA287">
        <v>30820.84</v>
      </c>
      <c r="AB287">
        <v>5915.09</v>
      </c>
      <c r="AC287">
        <f t="shared" si="60"/>
        <v>32654.16</v>
      </c>
      <c r="AD287" s="6">
        <f t="shared" si="61"/>
        <v>0.88888888888888884</v>
      </c>
      <c r="AE287" t="s">
        <v>32</v>
      </c>
      <c r="AF287" t="s">
        <v>33</v>
      </c>
      <c r="AG287">
        <f t="shared" si="62"/>
        <v>8</v>
      </c>
      <c r="AH287">
        <f t="shared" si="63"/>
        <v>2025</v>
      </c>
      <c r="AI287" t="str">
        <f t="shared" si="64"/>
        <v>CLEAN</v>
      </c>
    </row>
    <row r="288" spans="1:35">
      <c r="A288" t="s">
        <v>962</v>
      </c>
      <c r="B288">
        <f t="shared" si="52"/>
        <v>1</v>
      </c>
      <c r="C288" t="str">
        <f>IF(COUNTIF($A$2:A288, A288)&gt;1, "DUPLICATE_FLAGGED_FOR_REVIEW", "")</f>
        <v/>
      </c>
      <c r="D288" s="3">
        <v>45350</v>
      </c>
      <c r="E288" s="2">
        <v>45325</v>
      </c>
      <c r="F288" s="2" t="str">
        <f t="shared" si="53"/>
        <v>ERROR: Ship before order</v>
      </c>
      <c r="G288" s="4">
        <f t="shared" si="54"/>
        <v>-25</v>
      </c>
      <c r="H288" t="s">
        <v>963</v>
      </c>
      <c r="I288" t="s">
        <v>114</v>
      </c>
      <c r="J288" t="s">
        <v>37</v>
      </c>
      <c r="K288" t="s">
        <v>25</v>
      </c>
      <c r="L288" t="str">
        <f t="shared" si="55"/>
        <v>North</v>
      </c>
      <c r="M288" t="s">
        <v>350</v>
      </c>
      <c r="N288" t="s">
        <v>351</v>
      </c>
      <c r="O288" t="s">
        <v>41</v>
      </c>
      <c r="P288" t="s">
        <v>57</v>
      </c>
      <c r="Q288" t="s">
        <v>964</v>
      </c>
      <c r="R288" t="s">
        <v>50</v>
      </c>
      <c r="S288" t="str">
        <f t="shared" si="56"/>
        <v>First Class</v>
      </c>
      <c r="T288">
        <v>7</v>
      </c>
      <c r="U288">
        <v>701.8</v>
      </c>
      <c r="V288">
        <v>0.1</v>
      </c>
      <c r="W288">
        <f t="shared" si="57"/>
        <v>0.1</v>
      </c>
      <c r="X288" t="str">
        <f t="shared" si="58"/>
        <v/>
      </c>
      <c r="Y288">
        <v>4421.34</v>
      </c>
      <c r="Z288">
        <f t="shared" si="59"/>
        <v>4421.3399999999992</v>
      </c>
      <c r="AA288">
        <v>2489.98</v>
      </c>
      <c r="AB288">
        <v>1931.36</v>
      </c>
      <c r="AC288">
        <f t="shared" si="60"/>
        <v>3719.5399999999991</v>
      </c>
      <c r="AD288" s="6">
        <f t="shared" si="61"/>
        <v>0.84126984126984117</v>
      </c>
      <c r="AE288" t="s">
        <v>111</v>
      </c>
      <c r="AF288" t="s">
        <v>103</v>
      </c>
      <c r="AG288">
        <f t="shared" si="62"/>
        <v>2</v>
      </c>
      <c r="AH288">
        <f t="shared" si="63"/>
        <v>2024</v>
      </c>
      <c r="AI288" t="str">
        <f t="shared" si="64"/>
        <v>INVALID</v>
      </c>
    </row>
    <row r="289" spans="1:35">
      <c r="A289" t="s">
        <v>965</v>
      </c>
      <c r="B289">
        <f t="shared" si="52"/>
        <v>1</v>
      </c>
      <c r="C289" t="str">
        <f>IF(COUNTIF($A$2:A289, A289)&gt;1, "DUPLICATE_FLAGGED_FOR_REVIEW", "")</f>
        <v/>
      </c>
      <c r="D289" s="3">
        <v>45421</v>
      </c>
      <c r="E289" s="2">
        <v>45542</v>
      </c>
      <c r="F289" s="2" t="str">
        <f t="shared" si="53"/>
        <v>OK</v>
      </c>
      <c r="G289" s="4">
        <f t="shared" si="54"/>
        <v>121</v>
      </c>
      <c r="H289" t="s">
        <v>966</v>
      </c>
      <c r="I289" t="s">
        <v>79</v>
      </c>
      <c r="J289" t="s">
        <v>37</v>
      </c>
      <c r="K289" t="s">
        <v>54</v>
      </c>
      <c r="L289" t="str">
        <f t="shared" si="55"/>
        <v>South</v>
      </c>
      <c r="M289" t="s">
        <v>247</v>
      </c>
      <c r="N289" t="s">
        <v>248</v>
      </c>
      <c r="O289" t="s">
        <v>74</v>
      </c>
      <c r="P289" t="s">
        <v>80</v>
      </c>
      <c r="Q289" t="s">
        <v>967</v>
      </c>
      <c r="R289" t="s">
        <v>59</v>
      </c>
      <c r="S289" t="str">
        <f t="shared" si="56"/>
        <v>Standard Class</v>
      </c>
      <c r="T289">
        <v>3</v>
      </c>
      <c r="U289">
        <v>2555.66</v>
      </c>
      <c r="V289">
        <v>0.15</v>
      </c>
      <c r="W289">
        <f t="shared" si="57"/>
        <v>0.15</v>
      </c>
      <c r="X289" t="str">
        <f t="shared" si="58"/>
        <v/>
      </c>
      <c r="Y289">
        <v>6516.93</v>
      </c>
      <c r="Z289">
        <f t="shared" si="59"/>
        <v>6516.9329999999991</v>
      </c>
      <c r="AA289">
        <v>4511.54</v>
      </c>
      <c r="AB289">
        <v>2005.39</v>
      </c>
      <c r="AC289">
        <f t="shared" si="60"/>
        <v>3961.2729999999992</v>
      </c>
      <c r="AD289" s="6">
        <f t="shared" si="61"/>
        <v>0.60784313725490191</v>
      </c>
      <c r="AE289" t="s">
        <v>32</v>
      </c>
      <c r="AF289" t="s">
        <v>68</v>
      </c>
      <c r="AG289">
        <f t="shared" si="62"/>
        <v>5</v>
      </c>
      <c r="AH289">
        <f t="shared" si="63"/>
        <v>2024</v>
      </c>
      <c r="AI289" t="str">
        <f t="shared" si="64"/>
        <v>CLEAN</v>
      </c>
    </row>
    <row r="290" spans="1:35">
      <c r="A290" t="s">
        <v>968</v>
      </c>
      <c r="B290">
        <f t="shared" si="52"/>
        <v>1</v>
      </c>
      <c r="C290" t="str">
        <f>IF(COUNTIF($A$2:A290, A290)&gt;1, "DUPLICATE_FLAGGED_FOR_REVIEW", "")</f>
        <v/>
      </c>
      <c r="D290" s="3">
        <v>45467</v>
      </c>
      <c r="E290" s="2">
        <v>45467</v>
      </c>
      <c r="F290" s="2" t="str">
        <f t="shared" si="53"/>
        <v>OK</v>
      </c>
      <c r="G290" s="4">
        <f t="shared" si="54"/>
        <v>0</v>
      </c>
      <c r="H290" t="s">
        <v>969</v>
      </c>
      <c r="I290" t="s">
        <v>141</v>
      </c>
      <c r="J290" t="s">
        <v>37</v>
      </c>
      <c r="K290" t="s">
        <v>38</v>
      </c>
      <c r="L290" t="str">
        <f t="shared" si="55"/>
        <v>East</v>
      </c>
      <c r="M290" t="s">
        <v>145</v>
      </c>
      <c r="N290" t="s">
        <v>146</v>
      </c>
      <c r="O290" t="s">
        <v>28</v>
      </c>
      <c r="P290" t="s">
        <v>153</v>
      </c>
      <c r="Q290" t="s">
        <v>970</v>
      </c>
      <c r="R290" t="s">
        <v>44</v>
      </c>
      <c r="S290" t="str">
        <f t="shared" si="56"/>
        <v>Same Day</v>
      </c>
      <c r="T290">
        <v>2</v>
      </c>
      <c r="U290">
        <v>4359.8999999999996</v>
      </c>
      <c r="V290">
        <v>0.15</v>
      </c>
      <c r="W290">
        <f t="shared" si="57"/>
        <v>0.15</v>
      </c>
      <c r="X290" t="str">
        <f t="shared" si="58"/>
        <v/>
      </c>
      <c r="Y290">
        <v>7411.83</v>
      </c>
      <c r="Z290">
        <f t="shared" si="59"/>
        <v>7411.829999999999</v>
      </c>
      <c r="AA290">
        <v>4904.63</v>
      </c>
      <c r="AB290">
        <v>2507.1999999999998</v>
      </c>
      <c r="AC290">
        <f t="shared" si="60"/>
        <v>3051.9299999999994</v>
      </c>
      <c r="AD290" s="6">
        <f t="shared" si="61"/>
        <v>0.41176470588235292</v>
      </c>
      <c r="AE290" t="s">
        <v>32</v>
      </c>
      <c r="AF290" t="s">
        <v>33</v>
      </c>
      <c r="AG290">
        <f t="shared" si="62"/>
        <v>6</v>
      </c>
      <c r="AH290">
        <f t="shared" si="63"/>
        <v>2024</v>
      </c>
      <c r="AI290" t="str">
        <f t="shared" si="64"/>
        <v>CLEAN</v>
      </c>
    </row>
    <row r="291" spans="1:35">
      <c r="A291" t="s">
        <v>971</v>
      </c>
      <c r="B291">
        <f t="shared" si="52"/>
        <v>1</v>
      </c>
      <c r="C291" t="str">
        <f>IF(COUNTIF($A$2:A291, A291)&gt;1, "DUPLICATE_FLAGGED_FOR_REVIEW", "")</f>
        <v/>
      </c>
      <c r="D291" s="3">
        <v>45827</v>
      </c>
      <c r="E291" s="2">
        <v>45835</v>
      </c>
      <c r="F291" s="2" t="str">
        <f t="shared" si="53"/>
        <v>OK</v>
      </c>
      <c r="G291" s="4">
        <f t="shared" si="54"/>
        <v>8</v>
      </c>
      <c r="H291" t="s">
        <v>972</v>
      </c>
      <c r="I291" t="s">
        <v>23</v>
      </c>
      <c r="J291" t="s">
        <v>95</v>
      </c>
      <c r="K291" t="s">
        <v>54</v>
      </c>
      <c r="L291" t="str">
        <f t="shared" si="55"/>
        <v>South</v>
      </c>
      <c r="M291" t="s">
        <v>247</v>
      </c>
      <c r="N291" t="s">
        <v>248</v>
      </c>
      <c r="O291" t="s">
        <v>41</v>
      </c>
      <c r="P291" t="s">
        <v>158</v>
      </c>
      <c r="Q291" t="s">
        <v>973</v>
      </c>
      <c r="R291" t="s">
        <v>50</v>
      </c>
      <c r="S291" t="str">
        <f t="shared" si="56"/>
        <v>First Class</v>
      </c>
      <c r="T291">
        <v>2</v>
      </c>
      <c r="U291">
        <v>4346.6899999999996</v>
      </c>
      <c r="V291">
        <v>0.05</v>
      </c>
      <c r="W291">
        <f t="shared" si="57"/>
        <v>0.05</v>
      </c>
      <c r="X291" t="str">
        <f t="shared" si="58"/>
        <v/>
      </c>
      <c r="Y291">
        <v>8258.7099999999991</v>
      </c>
      <c r="Z291">
        <f t="shared" si="59"/>
        <v>8258.7109999999993</v>
      </c>
      <c r="AA291">
        <v>7018.97</v>
      </c>
      <c r="AB291">
        <v>1239.74</v>
      </c>
      <c r="AC291">
        <f t="shared" si="60"/>
        <v>3912.0209999999997</v>
      </c>
      <c r="AD291" s="6">
        <f t="shared" si="61"/>
        <v>0.47368421052631582</v>
      </c>
      <c r="AE291" t="s">
        <v>32</v>
      </c>
      <c r="AF291" t="s">
        <v>33</v>
      </c>
      <c r="AG291">
        <f t="shared" si="62"/>
        <v>6</v>
      </c>
      <c r="AH291">
        <f t="shared" si="63"/>
        <v>2025</v>
      </c>
      <c r="AI291" t="str">
        <f t="shared" si="64"/>
        <v>CLEAN</v>
      </c>
    </row>
    <row r="292" spans="1:35">
      <c r="A292" t="s">
        <v>974</v>
      </c>
      <c r="B292">
        <f t="shared" si="52"/>
        <v>1</v>
      </c>
      <c r="C292" t="str">
        <f>IF(COUNTIF($A$2:A292, A292)&gt;1, "DUPLICATE_FLAGGED_FOR_REVIEW", "")</f>
        <v/>
      </c>
      <c r="D292" s="3">
        <v>45891</v>
      </c>
      <c r="E292" s="2">
        <v>45895</v>
      </c>
      <c r="F292" s="2" t="str">
        <f t="shared" si="53"/>
        <v>OK</v>
      </c>
      <c r="G292" s="4">
        <f t="shared" si="54"/>
        <v>4</v>
      </c>
      <c r="H292" t="s">
        <v>975</v>
      </c>
      <c r="I292" t="s">
        <v>162</v>
      </c>
      <c r="J292" t="s">
        <v>95</v>
      </c>
      <c r="K292" t="s">
        <v>38</v>
      </c>
      <c r="L292" t="str">
        <f t="shared" si="55"/>
        <v>East</v>
      </c>
      <c r="M292" t="s">
        <v>228</v>
      </c>
      <c r="N292" t="s">
        <v>229</v>
      </c>
      <c r="O292" t="s">
        <v>41</v>
      </c>
      <c r="P292" t="s">
        <v>42</v>
      </c>
      <c r="Q292" t="s">
        <v>976</v>
      </c>
      <c r="R292" t="s">
        <v>59</v>
      </c>
      <c r="S292" t="str">
        <f t="shared" si="56"/>
        <v>Standard Class</v>
      </c>
      <c r="T292">
        <v>1</v>
      </c>
      <c r="U292">
        <v>1842.63</v>
      </c>
      <c r="V292">
        <v>0.1</v>
      </c>
      <c r="W292">
        <f t="shared" si="57"/>
        <v>0.1</v>
      </c>
      <c r="X292" t="str">
        <f t="shared" si="58"/>
        <v/>
      </c>
      <c r="Y292">
        <v>1658.37</v>
      </c>
      <c r="Z292">
        <f t="shared" si="59"/>
        <v>1658.3670000000002</v>
      </c>
      <c r="AA292">
        <v>971.12</v>
      </c>
      <c r="AB292">
        <v>687.25</v>
      </c>
      <c r="AC292">
        <f t="shared" si="60"/>
        <v>-184.26299999999992</v>
      </c>
      <c r="AD292" s="6">
        <f t="shared" si="61"/>
        <v>-0.11111111111111105</v>
      </c>
      <c r="AE292" t="s">
        <v>32</v>
      </c>
      <c r="AF292" t="s">
        <v>33</v>
      </c>
      <c r="AG292">
        <f t="shared" si="62"/>
        <v>8</v>
      </c>
      <c r="AH292">
        <f t="shared" si="63"/>
        <v>2025</v>
      </c>
      <c r="AI292" t="str">
        <f t="shared" si="64"/>
        <v>CLEAN</v>
      </c>
    </row>
    <row r="293" spans="1:35">
      <c r="A293" t="s">
        <v>977</v>
      </c>
      <c r="B293">
        <f t="shared" si="52"/>
        <v>1</v>
      </c>
      <c r="C293" t="str">
        <f>IF(COUNTIF($A$2:A293, A293)&gt;1, "DUPLICATE_FLAGGED_FOR_REVIEW", "")</f>
        <v/>
      </c>
      <c r="D293" s="3">
        <v>45416</v>
      </c>
      <c r="E293" s="2">
        <v>45392</v>
      </c>
      <c r="F293" s="2" t="str">
        <f t="shared" si="53"/>
        <v>ERROR: Ship before order</v>
      </c>
      <c r="G293" s="4">
        <f t="shared" si="54"/>
        <v>-24</v>
      </c>
      <c r="H293" t="s">
        <v>978</v>
      </c>
      <c r="I293" t="s">
        <v>114</v>
      </c>
      <c r="J293" t="s">
        <v>95</v>
      </c>
      <c r="K293" t="s">
        <v>25</v>
      </c>
      <c r="L293" t="str">
        <f t="shared" si="55"/>
        <v>North</v>
      </c>
      <c r="M293" t="s">
        <v>26</v>
      </c>
      <c r="N293" t="s">
        <v>27</v>
      </c>
      <c r="O293" t="s">
        <v>28</v>
      </c>
      <c r="P293" t="s">
        <v>153</v>
      </c>
      <c r="Q293" t="s">
        <v>979</v>
      </c>
      <c r="R293" t="s">
        <v>59</v>
      </c>
      <c r="S293" t="str">
        <f t="shared" si="56"/>
        <v>Standard Class</v>
      </c>
      <c r="T293">
        <v>4</v>
      </c>
      <c r="U293">
        <v>3228.66</v>
      </c>
      <c r="V293">
        <v>0.25</v>
      </c>
      <c r="W293">
        <f t="shared" si="57"/>
        <v>0.25</v>
      </c>
      <c r="X293" t="str">
        <f t="shared" si="58"/>
        <v/>
      </c>
      <c r="Y293">
        <v>9685.98</v>
      </c>
      <c r="Z293">
        <f t="shared" si="59"/>
        <v>9685.98</v>
      </c>
      <c r="AA293">
        <v>7730.04</v>
      </c>
      <c r="AB293">
        <v>1955.94</v>
      </c>
      <c r="AC293">
        <f t="shared" si="60"/>
        <v>6457.32</v>
      </c>
      <c r="AD293" s="6">
        <f t="shared" si="61"/>
        <v>0.66666666666666663</v>
      </c>
      <c r="AE293" t="s">
        <v>32</v>
      </c>
      <c r="AF293" t="s">
        <v>33</v>
      </c>
      <c r="AG293">
        <f t="shared" si="62"/>
        <v>5</v>
      </c>
      <c r="AH293">
        <f t="shared" si="63"/>
        <v>2024</v>
      </c>
      <c r="AI293" t="str">
        <f t="shared" si="64"/>
        <v>INVALID</v>
      </c>
    </row>
    <row r="294" spans="1:35">
      <c r="A294" t="s">
        <v>980</v>
      </c>
      <c r="B294">
        <f t="shared" si="52"/>
        <v>1</v>
      </c>
      <c r="C294" t="str">
        <f>IF(COUNTIF($A$2:A294, A294)&gt;1, "DUPLICATE_FLAGGED_FOR_REVIEW", "")</f>
        <v/>
      </c>
      <c r="D294" s="3">
        <v>45716</v>
      </c>
      <c r="E294" s="2">
        <v>45719</v>
      </c>
      <c r="F294" s="2" t="str">
        <f t="shared" si="53"/>
        <v>OK</v>
      </c>
      <c r="G294" s="4">
        <f t="shared" si="54"/>
        <v>3</v>
      </c>
      <c r="H294" t="s">
        <v>981</v>
      </c>
      <c r="I294" t="s">
        <v>264</v>
      </c>
      <c r="J294" t="s">
        <v>95</v>
      </c>
      <c r="K294" t="s">
        <v>25</v>
      </c>
      <c r="L294" t="str">
        <f t="shared" si="55"/>
        <v>North</v>
      </c>
      <c r="M294" t="s">
        <v>236</v>
      </c>
      <c r="N294" t="s">
        <v>237</v>
      </c>
      <c r="O294" t="s">
        <v>28</v>
      </c>
      <c r="P294" t="s">
        <v>48</v>
      </c>
      <c r="Q294" t="s">
        <v>982</v>
      </c>
      <c r="R294" t="s">
        <v>44</v>
      </c>
      <c r="S294" t="str">
        <f t="shared" si="56"/>
        <v>Same Day</v>
      </c>
      <c r="T294">
        <v>9</v>
      </c>
      <c r="U294">
        <v>3748.95</v>
      </c>
      <c r="V294">
        <v>0</v>
      </c>
      <c r="W294">
        <f t="shared" si="57"/>
        <v>0</v>
      </c>
      <c r="X294" t="str">
        <f t="shared" si="58"/>
        <v/>
      </c>
      <c r="Y294">
        <v>33740.550000000003</v>
      </c>
      <c r="Z294">
        <f t="shared" si="59"/>
        <v>33740.549999999996</v>
      </c>
      <c r="AA294">
        <v>24621.89</v>
      </c>
      <c r="AB294">
        <v>9118.66</v>
      </c>
      <c r="AC294">
        <f t="shared" si="60"/>
        <v>29991.599999999995</v>
      </c>
      <c r="AD294" s="6">
        <f t="shared" si="61"/>
        <v>0.88888888888888884</v>
      </c>
      <c r="AE294" t="s">
        <v>111</v>
      </c>
      <c r="AF294" t="s">
        <v>68</v>
      </c>
      <c r="AG294">
        <f t="shared" si="62"/>
        <v>2</v>
      </c>
      <c r="AH294">
        <f t="shared" si="63"/>
        <v>2025</v>
      </c>
      <c r="AI294" t="str">
        <f t="shared" si="64"/>
        <v>CLEAN</v>
      </c>
    </row>
    <row r="295" spans="1:35">
      <c r="A295" t="s">
        <v>983</v>
      </c>
      <c r="B295">
        <f t="shared" si="52"/>
        <v>1</v>
      </c>
      <c r="C295" t="str">
        <f>IF(COUNTIF($A$2:A295, A295)&gt;1, "DUPLICATE_FLAGGED_FOR_REVIEW", "")</f>
        <v/>
      </c>
      <c r="D295" s="3">
        <v>45476</v>
      </c>
      <c r="E295" s="2">
        <v>45362</v>
      </c>
      <c r="F295" s="2" t="str">
        <f t="shared" si="53"/>
        <v>ERROR: Ship before order</v>
      </c>
      <c r="G295" s="4">
        <f t="shared" si="54"/>
        <v>-114</v>
      </c>
      <c r="H295" t="s">
        <v>984</v>
      </c>
      <c r="I295" t="s">
        <v>53</v>
      </c>
      <c r="J295" t="s">
        <v>95</v>
      </c>
      <c r="K295" t="s">
        <v>54</v>
      </c>
      <c r="L295" t="str">
        <f t="shared" si="55"/>
        <v>South</v>
      </c>
      <c r="M295" t="s">
        <v>55</v>
      </c>
      <c r="N295" t="s">
        <v>56</v>
      </c>
      <c r="O295" t="s">
        <v>74</v>
      </c>
      <c r="P295" t="s">
        <v>171</v>
      </c>
      <c r="Q295" t="s">
        <v>985</v>
      </c>
      <c r="R295" t="s">
        <v>50</v>
      </c>
      <c r="S295" t="str">
        <f t="shared" si="56"/>
        <v>First Class</v>
      </c>
      <c r="T295">
        <v>2</v>
      </c>
      <c r="U295">
        <v>4401.51</v>
      </c>
      <c r="V295">
        <v>0.65</v>
      </c>
      <c r="W295">
        <f t="shared" si="57"/>
        <v>0.65</v>
      </c>
      <c r="X295" t="str">
        <f t="shared" si="58"/>
        <v>INVALID_DISCOUNT_ABOVE_50PCT</v>
      </c>
      <c r="Y295">
        <v>8362.8700000000008</v>
      </c>
      <c r="Z295">
        <f t="shared" si="59"/>
        <v>3081.0569999999998</v>
      </c>
      <c r="AA295">
        <v>6541.04</v>
      </c>
      <c r="AB295">
        <v>1821.83</v>
      </c>
      <c r="AC295">
        <f t="shared" si="60"/>
        <v>-1320.4530000000004</v>
      </c>
      <c r="AD295" s="6">
        <f t="shared" si="61"/>
        <v>-0.42857142857142871</v>
      </c>
      <c r="AE295" t="s">
        <v>32</v>
      </c>
      <c r="AF295" t="s">
        <v>33</v>
      </c>
      <c r="AG295">
        <f t="shared" si="62"/>
        <v>7</v>
      </c>
      <c r="AH295">
        <f t="shared" si="63"/>
        <v>2024</v>
      </c>
      <c r="AI295" t="str">
        <f t="shared" si="64"/>
        <v>INVALID</v>
      </c>
    </row>
    <row r="296" spans="1:35">
      <c r="A296" t="s">
        <v>986</v>
      </c>
      <c r="B296">
        <f t="shared" si="52"/>
        <v>1</v>
      </c>
      <c r="C296" t="str">
        <f>IF(COUNTIF($A$2:A296, A296)&gt;1, "DUPLICATE_FLAGGED_FOR_REVIEW", "")</f>
        <v/>
      </c>
      <c r="D296" s="3">
        <v>45854</v>
      </c>
      <c r="E296" s="2">
        <v>45860</v>
      </c>
      <c r="F296" s="2" t="str">
        <f t="shared" si="53"/>
        <v>OK</v>
      </c>
      <c r="G296" s="4">
        <f t="shared" si="54"/>
        <v>6</v>
      </c>
      <c r="H296" t="s">
        <v>987</v>
      </c>
      <c r="I296" t="s">
        <v>114</v>
      </c>
      <c r="J296" t="s">
        <v>24</v>
      </c>
      <c r="K296" t="s">
        <v>38</v>
      </c>
      <c r="L296" t="str">
        <f t="shared" si="55"/>
        <v>East</v>
      </c>
      <c r="M296" t="s">
        <v>39</v>
      </c>
      <c r="N296" t="s">
        <v>40</v>
      </c>
      <c r="O296" t="s">
        <v>74</v>
      </c>
      <c r="P296" t="s">
        <v>171</v>
      </c>
      <c r="Q296" t="s">
        <v>988</v>
      </c>
      <c r="R296" t="s">
        <v>31</v>
      </c>
      <c r="S296" t="str">
        <f t="shared" si="56"/>
        <v>Second Class</v>
      </c>
      <c r="T296">
        <v>6</v>
      </c>
      <c r="U296">
        <v>4159.33</v>
      </c>
      <c r="V296">
        <v>0.25</v>
      </c>
      <c r="W296">
        <f t="shared" si="57"/>
        <v>0.25</v>
      </c>
      <c r="X296" t="str">
        <f t="shared" si="58"/>
        <v/>
      </c>
      <c r="Y296">
        <v>18716.990000000002</v>
      </c>
      <c r="Z296">
        <f t="shared" si="59"/>
        <v>18716.985000000001</v>
      </c>
      <c r="AA296">
        <v>12282.43</v>
      </c>
      <c r="AB296">
        <v>6434.56</v>
      </c>
      <c r="AC296">
        <f t="shared" si="60"/>
        <v>14557.655000000001</v>
      </c>
      <c r="AD296" s="6">
        <f t="shared" si="61"/>
        <v>0.77777777777777779</v>
      </c>
      <c r="AE296" t="s">
        <v>32</v>
      </c>
      <c r="AF296" t="s">
        <v>103</v>
      </c>
      <c r="AG296">
        <f t="shared" si="62"/>
        <v>7</v>
      </c>
      <c r="AH296">
        <f t="shared" si="63"/>
        <v>2025</v>
      </c>
      <c r="AI296" t="str">
        <f t="shared" si="64"/>
        <v>CLEAN</v>
      </c>
    </row>
    <row r="297" spans="1:35">
      <c r="A297" t="s">
        <v>989</v>
      </c>
      <c r="B297">
        <f t="shared" si="52"/>
        <v>1</v>
      </c>
      <c r="C297" t="str">
        <f>IF(COUNTIF($A$2:A297, A297)&gt;1, "DUPLICATE_FLAGGED_FOR_REVIEW", "")</f>
        <v/>
      </c>
      <c r="D297" s="3">
        <v>45833</v>
      </c>
      <c r="E297" s="2">
        <v>45836</v>
      </c>
      <c r="F297" s="2" t="str">
        <f t="shared" si="53"/>
        <v>OK</v>
      </c>
      <c r="G297" s="4">
        <f t="shared" si="54"/>
        <v>3</v>
      </c>
      <c r="H297" t="s">
        <v>990</v>
      </c>
      <c r="I297" t="s">
        <v>89</v>
      </c>
      <c r="J297" t="s">
        <v>37</v>
      </c>
      <c r="K297" t="s">
        <v>38</v>
      </c>
      <c r="L297" t="str">
        <f t="shared" si="55"/>
        <v>East</v>
      </c>
      <c r="M297" t="s">
        <v>166</v>
      </c>
      <c r="N297" t="s">
        <v>167</v>
      </c>
      <c r="O297" t="s">
        <v>28</v>
      </c>
      <c r="P297" t="s">
        <v>153</v>
      </c>
      <c r="Q297" t="s">
        <v>991</v>
      </c>
      <c r="R297" t="s">
        <v>59</v>
      </c>
      <c r="S297" t="str">
        <f t="shared" si="56"/>
        <v>Standard Class</v>
      </c>
      <c r="T297">
        <v>3</v>
      </c>
      <c r="U297">
        <v>3476.05</v>
      </c>
      <c r="V297">
        <v>0.1</v>
      </c>
      <c r="W297">
        <f t="shared" si="57"/>
        <v>0.1</v>
      </c>
      <c r="X297" t="str">
        <f t="shared" si="58"/>
        <v/>
      </c>
      <c r="Y297">
        <v>9385.34</v>
      </c>
      <c r="Z297">
        <f t="shared" si="59"/>
        <v>9385.3350000000009</v>
      </c>
      <c r="AA297">
        <v>5828.54</v>
      </c>
      <c r="AB297">
        <v>3556.8</v>
      </c>
      <c r="AC297">
        <f t="shared" si="60"/>
        <v>5909.2850000000008</v>
      </c>
      <c r="AD297" s="6">
        <f t="shared" si="61"/>
        <v>0.62962962962962965</v>
      </c>
      <c r="AE297" t="s">
        <v>32</v>
      </c>
      <c r="AF297" t="s">
        <v>33</v>
      </c>
      <c r="AG297">
        <f t="shared" si="62"/>
        <v>6</v>
      </c>
      <c r="AH297">
        <f t="shared" si="63"/>
        <v>2025</v>
      </c>
      <c r="AI297" t="str">
        <f t="shared" si="64"/>
        <v>CLEAN</v>
      </c>
    </row>
    <row r="298" spans="1:35">
      <c r="A298" t="s">
        <v>992</v>
      </c>
      <c r="B298">
        <f t="shared" si="52"/>
        <v>1</v>
      </c>
      <c r="C298" t="str">
        <f>IF(COUNTIF($A$2:A298, A298)&gt;1, "DUPLICATE_FLAGGED_FOR_REVIEW", "")</f>
        <v/>
      </c>
      <c r="D298" s="3">
        <v>45801</v>
      </c>
      <c r="E298" s="2">
        <v>45803</v>
      </c>
      <c r="F298" s="2" t="str">
        <f t="shared" si="53"/>
        <v>OK</v>
      </c>
      <c r="G298" s="4">
        <f t="shared" si="54"/>
        <v>2</v>
      </c>
      <c r="H298" t="s">
        <v>993</v>
      </c>
      <c r="I298" t="s">
        <v>89</v>
      </c>
      <c r="J298" t="s">
        <v>95</v>
      </c>
      <c r="K298" t="s">
        <v>25</v>
      </c>
      <c r="L298" t="str">
        <f t="shared" si="55"/>
        <v>North</v>
      </c>
      <c r="M298" t="s">
        <v>236</v>
      </c>
      <c r="N298" t="s">
        <v>237</v>
      </c>
      <c r="O298" t="s">
        <v>41</v>
      </c>
      <c r="P298" t="s">
        <v>57</v>
      </c>
      <c r="Q298" t="s">
        <v>994</v>
      </c>
      <c r="R298" t="s">
        <v>44</v>
      </c>
      <c r="S298" t="str">
        <f t="shared" si="56"/>
        <v>Same Day</v>
      </c>
      <c r="T298">
        <v>6</v>
      </c>
      <c r="U298">
        <v>3495.41</v>
      </c>
      <c r="V298">
        <v>0.15</v>
      </c>
      <c r="W298">
        <f t="shared" si="57"/>
        <v>0.15</v>
      </c>
      <c r="X298" t="str">
        <f t="shared" si="58"/>
        <v/>
      </c>
      <c r="Y298">
        <v>17826.59</v>
      </c>
      <c r="Z298">
        <f t="shared" si="59"/>
        <v>17826.591</v>
      </c>
      <c r="AA298">
        <v>10855.35</v>
      </c>
      <c r="AB298">
        <v>6971.24</v>
      </c>
      <c r="AC298">
        <f t="shared" si="60"/>
        <v>14331.181</v>
      </c>
      <c r="AD298" s="6">
        <f t="shared" si="61"/>
        <v>0.80392156862745101</v>
      </c>
      <c r="AE298" t="s">
        <v>32</v>
      </c>
      <c r="AF298" t="s">
        <v>33</v>
      </c>
      <c r="AG298">
        <f t="shared" si="62"/>
        <v>5</v>
      </c>
      <c r="AH298">
        <f t="shared" si="63"/>
        <v>2025</v>
      </c>
      <c r="AI298" t="str">
        <f t="shared" si="64"/>
        <v>CLEAN</v>
      </c>
    </row>
    <row r="299" spans="1:35">
      <c r="A299" t="s">
        <v>995</v>
      </c>
      <c r="B299">
        <f t="shared" si="52"/>
        <v>1</v>
      </c>
      <c r="C299" t="str">
        <f>IF(COUNTIF($A$2:A299, A299)&gt;1, "DUPLICATE_FLAGGED_FOR_REVIEW", "")</f>
        <v/>
      </c>
      <c r="D299" s="3">
        <v>45594</v>
      </c>
      <c r="E299" s="2">
        <v>45602</v>
      </c>
      <c r="F299" s="2" t="str">
        <f t="shared" si="53"/>
        <v>OK</v>
      </c>
      <c r="G299" s="4">
        <f t="shared" si="54"/>
        <v>8</v>
      </c>
      <c r="H299" t="s">
        <v>996</v>
      </c>
      <c r="I299" t="s">
        <v>132</v>
      </c>
      <c r="J299" t="s">
        <v>90</v>
      </c>
      <c r="K299" t="s">
        <v>54</v>
      </c>
      <c r="L299" t="str">
        <f t="shared" si="55"/>
        <v>South</v>
      </c>
      <c r="M299" t="s">
        <v>247</v>
      </c>
      <c r="N299" t="s">
        <v>248</v>
      </c>
      <c r="O299" t="s">
        <v>74</v>
      </c>
      <c r="P299" t="s">
        <v>80</v>
      </c>
      <c r="Q299" t="s">
        <v>997</v>
      </c>
      <c r="R299" t="s">
        <v>44</v>
      </c>
      <c r="S299" t="str">
        <f t="shared" si="56"/>
        <v>Same Day</v>
      </c>
      <c r="T299">
        <v>6</v>
      </c>
      <c r="U299">
        <v>1169.92</v>
      </c>
      <c r="V299">
        <v>0.15</v>
      </c>
      <c r="W299">
        <f t="shared" si="57"/>
        <v>0.15</v>
      </c>
      <c r="X299" t="str">
        <f t="shared" si="58"/>
        <v/>
      </c>
      <c r="Y299">
        <v>5966.59</v>
      </c>
      <c r="Z299">
        <f t="shared" si="59"/>
        <v>5966.5920000000006</v>
      </c>
      <c r="AA299">
        <v>3994.72</v>
      </c>
      <c r="AB299">
        <v>1971.87</v>
      </c>
      <c r="AC299">
        <f t="shared" si="60"/>
        <v>4796.6720000000005</v>
      </c>
      <c r="AD299" s="6">
        <f t="shared" si="61"/>
        <v>0.80392156862745101</v>
      </c>
      <c r="AE299" t="s">
        <v>32</v>
      </c>
      <c r="AF299" t="s">
        <v>33</v>
      </c>
      <c r="AG299">
        <f t="shared" si="62"/>
        <v>10</v>
      </c>
      <c r="AH299">
        <f t="shared" si="63"/>
        <v>2024</v>
      </c>
      <c r="AI299" t="str">
        <f t="shared" si="64"/>
        <v>CLEAN</v>
      </c>
    </row>
    <row r="300" spans="1:35">
      <c r="A300" t="s">
        <v>998</v>
      </c>
      <c r="B300">
        <f t="shared" si="52"/>
        <v>1</v>
      </c>
      <c r="C300" t="str">
        <f>IF(COUNTIF($A$2:A300, A300)&gt;1, "DUPLICATE_FLAGGED_FOR_REVIEW", "")</f>
        <v/>
      </c>
      <c r="D300" s="3">
        <v>45680</v>
      </c>
      <c r="E300" s="2">
        <v>45683</v>
      </c>
      <c r="F300" s="2" t="str">
        <f t="shared" si="53"/>
        <v>OK</v>
      </c>
      <c r="G300" s="4">
        <f t="shared" si="54"/>
        <v>3</v>
      </c>
      <c r="H300" t="s">
        <v>999</v>
      </c>
      <c r="I300" t="s">
        <v>47</v>
      </c>
      <c r="J300" t="s">
        <v>24</v>
      </c>
      <c r="K300" t="s">
        <v>54</v>
      </c>
      <c r="L300" t="str">
        <f t="shared" si="55"/>
        <v>South</v>
      </c>
      <c r="M300" t="s">
        <v>185</v>
      </c>
      <c r="N300" t="s">
        <v>186</v>
      </c>
      <c r="O300" t="s">
        <v>74</v>
      </c>
      <c r="P300" t="s">
        <v>80</v>
      </c>
      <c r="Q300" t="s">
        <v>1000</v>
      </c>
      <c r="R300" t="s">
        <v>50</v>
      </c>
      <c r="S300" t="str">
        <f t="shared" si="56"/>
        <v>First Class</v>
      </c>
      <c r="T300">
        <v>7</v>
      </c>
      <c r="U300">
        <v>348.49</v>
      </c>
      <c r="V300">
        <v>0.2</v>
      </c>
      <c r="W300">
        <f t="shared" si="57"/>
        <v>0.2</v>
      </c>
      <c r="X300" t="str">
        <f t="shared" si="58"/>
        <v/>
      </c>
      <c r="Y300">
        <v>1951.54</v>
      </c>
      <c r="Z300">
        <f t="shared" si="59"/>
        <v>1951.5440000000003</v>
      </c>
      <c r="AA300">
        <v>1609.95</v>
      </c>
      <c r="AB300">
        <v>341.59</v>
      </c>
      <c r="AC300">
        <f t="shared" si="60"/>
        <v>1603.0540000000003</v>
      </c>
      <c r="AD300" s="6">
        <f t="shared" si="61"/>
        <v>0.82142857142857151</v>
      </c>
      <c r="AE300" t="s">
        <v>155</v>
      </c>
      <c r="AF300" t="s">
        <v>103</v>
      </c>
      <c r="AG300">
        <f t="shared" si="62"/>
        <v>1</v>
      </c>
      <c r="AH300">
        <f t="shared" si="63"/>
        <v>2025</v>
      </c>
      <c r="AI300" t="str">
        <f t="shared" si="64"/>
        <v>CLEAN</v>
      </c>
    </row>
    <row r="301" spans="1:35">
      <c r="A301" t="s">
        <v>1001</v>
      </c>
      <c r="B301">
        <f t="shared" si="52"/>
        <v>1</v>
      </c>
      <c r="C301" t="str">
        <f>IF(COUNTIF($A$2:A301, A301)&gt;1, "DUPLICATE_FLAGGED_FOR_REVIEW", "")</f>
        <v/>
      </c>
      <c r="D301" s="3">
        <v>45602</v>
      </c>
      <c r="E301" s="2">
        <v>45608</v>
      </c>
      <c r="F301" s="2" t="str">
        <f t="shared" si="53"/>
        <v>OK</v>
      </c>
      <c r="G301" s="4">
        <f t="shared" si="54"/>
        <v>6</v>
      </c>
      <c r="H301" t="s">
        <v>1002</v>
      </c>
      <c r="I301" t="s">
        <v>118</v>
      </c>
      <c r="J301" t="s">
        <v>37</v>
      </c>
      <c r="K301" t="s">
        <v>63</v>
      </c>
      <c r="L301" t="str">
        <f t="shared" si="55"/>
        <v>West</v>
      </c>
      <c r="M301" t="s">
        <v>180</v>
      </c>
      <c r="N301" t="s">
        <v>181</v>
      </c>
      <c r="O301" t="s">
        <v>74</v>
      </c>
      <c r="P301" t="s">
        <v>75</v>
      </c>
      <c r="Q301" t="s">
        <v>1003</v>
      </c>
      <c r="R301" t="s">
        <v>59</v>
      </c>
      <c r="S301" t="str">
        <f t="shared" si="56"/>
        <v>Standard Class</v>
      </c>
      <c r="T301">
        <v>7</v>
      </c>
      <c r="U301">
        <v>1719.05</v>
      </c>
      <c r="V301">
        <v>0.1</v>
      </c>
      <c r="W301">
        <f t="shared" si="57"/>
        <v>0.1</v>
      </c>
      <c r="X301" t="str">
        <f t="shared" si="58"/>
        <v/>
      </c>
      <c r="Y301">
        <v>10830.02</v>
      </c>
      <c r="Z301">
        <f t="shared" si="59"/>
        <v>10830.015000000001</v>
      </c>
      <c r="AA301">
        <v>7055.31</v>
      </c>
      <c r="AB301">
        <v>3774.71</v>
      </c>
      <c r="AC301">
        <f t="shared" si="60"/>
        <v>9110.965000000002</v>
      </c>
      <c r="AD301" s="6">
        <f t="shared" si="61"/>
        <v>0.84126984126984139</v>
      </c>
      <c r="AE301" t="s">
        <v>32</v>
      </c>
      <c r="AF301" t="s">
        <v>33</v>
      </c>
      <c r="AG301">
        <f t="shared" si="62"/>
        <v>11</v>
      </c>
      <c r="AH301">
        <f t="shared" si="63"/>
        <v>2024</v>
      </c>
      <c r="AI301" t="str">
        <f t="shared" si="64"/>
        <v>CLEAN</v>
      </c>
    </row>
    <row r="302" spans="1:35">
      <c r="A302" t="s">
        <v>1004</v>
      </c>
      <c r="B302">
        <f t="shared" si="52"/>
        <v>1</v>
      </c>
      <c r="C302" t="str">
        <f>IF(COUNTIF($A$2:A302, A302)&gt;1, "DUPLICATE_FLAGGED_FOR_REVIEW", "")</f>
        <v/>
      </c>
      <c r="D302" s="3">
        <v>45397</v>
      </c>
      <c r="E302" s="2">
        <v>45405</v>
      </c>
      <c r="F302" s="2" t="str">
        <f t="shared" si="53"/>
        <v>OK</v>
      </c>
      <c r="G302" s="4">
        <f t="shared" si="54"/>
        <v>8</v>
      </c>
      <c r="H302" t="s">
        <v>1005</v>
      </c>
      <c r="I302" t="s">
        <v>162</v>
      </c>
      <c r="J302" t="s">
        <v>37</v>
      </c>
      <c r="K302" t="s">
        <v>25</v>
      </c>
      <c r="L302" t="str">
        <f t="shared" si="55"/>
        <v>North</v>
      </c>
      <c r="M302" t="s">
        <v>122</v>
      </c>
      <c r="N302" t="s">
        <v>123</v>
      </c>
      <c r="O302" t="s">
        <v>74</v>
      </c>
      <c r="P302" t="s">
        <v>75</v>
      </c>
      <c r="Q302" t="s">
        <v>1006</v>
      </c>
      <c r="R302" t="s">
        <v>31</v>
      </c>
      <c r="S302" t="str">
        <f t="shared" si="56"/>
        <v>Second Class</v>
      </c>
      <c r="T302">
        <v>9</v>
      </c>
      <c r="U302">
        <v>3893.74</v>
      </c>
      <c r="V302">
        <v>0.1</v>
      </c>
      <c r="W302">
        <f t="shared" si="57"/>
        <v>0.1</v>
      </c>
      <c r="X302" t="str">
        <f t="shared" si="58"/>
        <v/>
      </c>
      <c r="Y302">
        <v>31539.29</v>
      </c>
      <c r="Z302">
        <f t="shared" si="59"/>
        <v>31539.293999999998</v>
      </c>
      <c r="AA302">
        <v>22100.14</v>
      </c>
      <c r="AB302">
        <v>9439.15</v>
      </c>
      <c r="AC302">
        <f t="shared" si="60"/>
        <v>27645.553999999996</v>
      </c>
      <c r="AD302" s="6">
        <f t="shared" si="61"/>
        <v>0.87654320987654311</v>
      </c>
      <c r="AE302" t="s">
        <v>32</v>
      </c>
      <c r="AF302" t="s">
        <v>33</v>
      </c>
      <c r="AG302">
        <f t="shared" si="62"/>
        <v>4</v>
      </c>
      <c r="AH302">
        <f t="shared" si="63"/>
        <v>2024</v>
      </c>
      <c r="AI302" t="str">
        <f t="shared" si="64"/>
        <v>CLEAN</v>
      </c>
    </row>
    <row r="303" spans="1:35">
      <c r="A303" t="s">
        <v>1007</v>
      </c>
      <c r="B303">
        <f t="shared" si="52"/>
        <v>1</v>
      </c>
      <c r="C303" t="str">
        <f>IF(COUNTIF($A$2:A303, A303)&gt;1, "DUPLICATE_FLAGGED_FOR_REVIEW", "")</f>
        <v/>
      </c>
      <c r="D303" s="3">
        <v>45805</v>
      </c>
      <c r="E303" s="2">
        <v>45809</v>
      </c>
      <c r="F303" s="2" t="str">
        <f t="shared" si="53"/>
        <v>OK</v>
      </c>
      <c r="G303" s="4">
        <f t="shared" si="54"/>
        <v>4</v>
      </c>
      <c r="H303" t="s">
        <v>1008</v>
      </c>
      <c r="I303" t="s">
        <v>47</v>
      </c>
      <c r="J303" t="s">
        <v>95</v>
      </c>
      <c r="K303" t="s">
        <v>38</v>
      </c>
      <c r="L303" t="str">
        <f t="shared" si="55"/>
        <v>East</v>
      </c>
      <c r="M303" t="s">
        <v>145</v>
      </c>
      <c r="N303" t="s">
        <v>146</v>
      </c>
      <c r="O303" t="s">
        <v>74</v>
      </c>
      <c r="P303" t="s">
        <v>171</v>
      </c>
      <c r="Q303" t="s">
        <v>1009</v>
      </c>
      <c r="R303" t="s">
        <v>44</v>
      </c>
      <c r="S303" t="str">
        <f t="shared" si="56"/>
        <v>Same Day</v>
      </c>
      <c r="T303">
        <v>4</v>
      </c>
      <c r="U303">
        <v>1654.11</v>
      </c>
      <c r="V303">
        <v>0.05</v>
      </c>
      <c r="W303">
        <f t="shared" si="57"/>
        <v>0.05</v>
      </c>
      <c r="X303" t="str">
        <f t="shared" si="58"/>
        <v/>
      </c>
      <c r="Y303">
        <v>6285.62</v>
      </c>
      <c r="Z303">
        <f t="shared" si="59"/>
        <v>6285.6179999999995</v>
      </c>
      <c r="AA303">
        <v>3705.38</v>
      </c>
      <c r="AB303">
        <v>2580.2399999999998</v>
      </c>
      <c r="AC303">
        <f t="shared" si="60"/>
        <v>4631.5079999999998</v>
      </c>
      <c r="AD303" s="6">
        <f t="shared" si="61"/>
        <v>0.73684210526315796</v>
      </c>
      <c r="AE303" t="s">
        <v>32</v>
      </c>
      <c r="AF303" t="s">
        <v>33</v>
      </c>
      <c r="AG303">
        <f t="shared" si="62"/>
        <v>5</v>
      </c>
      <c r="AH303">
        <f t="shared" si="63"/>
        <v>2025</v>
      </c>
      <c r="AI303" t="str">
        <f t="shared" si="64"/>
        <v>CLEAN</v>
      </c>
    </row>
    <row r="304" spans="1:35">
      <c r="A304" t="s">
        <v>1010</v>
      </c>
      <c r="B304">
        <f t="shared" si="52"/>
        <v>1</v>
      </c>
      <c r="C304" t="str">
        <f>IF(COUNTIF($A$2:A304, A304)&gt;1, "DUPLICATE_FLAGGED_FOR_REVIEW", "")</f>
        <v/>
      </c>
      <c r="D304" s="3">
        <v>45812</v>
      </c>
      <c r="E304" s="2">
        <v>45820</v>
      </c>
      <c r="F304" s="2" t="str">
        <f t="shared" si="53"/>
        <v>OK</v>
      </c>
      <c r="G304" s="4">
        <f t="shared" si="54"/>
        <v>8</v>
      </c>
      <c r="H304" t="s">
        <v>1011</v>
      </c>
      <c r="I304" t="s">
        <v>79</v>
      </c>
      <c r="J304" t="s">
        <v>24</v>
      </c>
      <c r="K304" t="s">
        <v>63</v>
      </c>
      <c r="L304" t="str">
        <f t="shared" si="55"/>
        <v>West</v>
      </c>
      <c r="M304" t="s">
        <v>190</v>
      </c>
      <c r="N304" t="s">
        <v>191</v>
      </c>
      <c r="O304" t="s">
        <v>28</v>
      </c>
      <c r="P304" t="s">
        <v>124</v>
      </c>
      <c r="Q304" t="s">
        <v>1012</v>
      </c>
      <c r="R304" t="s">
        <v>44</v>
      </c>
      <c r="S304" t="str">
        <f t="shared" si="56"/>
        <v>Same Day</v>
      </c>
      <c r="T304">
        <v>2</v>
      </c>
      <c r="U304">
        <v>2703.28</v>
      </c>
      <c r="V304">
        <v>0.25</v>
      </c>
      <c r="W304">
        <f t="shared" si="57"/>
        <v>0.25</v>
      </c>
      <c r="X304" t="str">
        <f t="shared" si="58"/>
        <v/>
      </c>
      <c r="Y304">
        <v>4054.92</v>
      </c>
      <c r="Z304">
        <f t="shared" si="59"/>
        <v>4054.92</v>
      </c>
      <c r="AA304">
        <v>2424.83</v>
      </c>
      <c r="AB304">
        <v>1630.09</v>
      </c>
      <c r="AC304">
        <f t="shared" si="60"/>
        <v>1351.6399999999999</v>
      </c>
      <c r="AD304" s="6">
        <f t="shared" si="61"/>
        <v>0.33333333333333331</v>
      </c>
      <c r="AE304" t="s">
        <v>32</v>
      </c>
      <c r="AF304" t="s">
        <v>33</v>
      </c>
      <c r="AG304">
        <f t="shared" si="62"/>
        <v>6</v>
      </c>
      <c r="AH304">
        <f t="shared" si="63"/>
        <v>2025</v>
      </c>
      <c r="AI304" t="str">
        <f t="shared" si="64"/>
        <v>CLEAN</v>
      </c>
    </row>
    <row r="305" spans="1:35">
      <c r="A305" t="s">
        <v>1013</v>
      </c>
      <c r="B305">
        <f t="shared" si="52"/>
        <v>1</v>
      </c>
      <c r="C305" t="str">
        <f>IF(COUNTIF($A$2:A305, A305)&gt;1, "DUPLICATE_FLAGGED_FOR_REVIEW", "")</f>
        <v/>
      </c>
      <c r="D305" s="3">
        <v>45466</v>
      </c>
      <c r="E305" s="2">
        <v>45471</v>
      </c>
      <c r="F305" s="2" t="str">
        <f t="shared" si="53"/>
        <v>OK</v>
      </c>
      <c r="G305" s="4">
        <f t="shared" si="54"/>
        <v>5</v>
      </c>
      <c r="H305" t="s">
        <v>1014</v>
      </c>
      <c r="I305" t="s">
        <v>162</v>
      </c>
      <c r="J305" t="s">
        <v>95</v>
      </c>
      <c r="K305" t="s">
        <v>63</v>
      </c>
      <c r="L305" t="str">
        <f t="shared" si="55"/>
        <v>West</v>
      </c>
      <c r="M305" t="s">
        <v>180</v>
      </c>
      <c r="N305" t="s">
        <v>181</v>
      </c>
      <c r="O305" t="s">
        <v>41</v>
      </c>
      <c r="P305" t="s">
        <v>66</v>
      </c>
      <c r="Q305" t="s">
        <v>1015</v>
      </c>
      <c r="R305" t="s">
        <v>59</v>
      </c>
      <c r="S305" t="str">
        <f t="shared" si="56"/>
        <v>Standard Class</v>
      </c>
      <c r="T305">
        <v>2</v>
      </c>
      <c r="U305">
        <v>1313.14</v>
      </c>
      <c r="V305">
        <v>0.1</v>
      </c>
      <c r="W305">
        <f t="shared" si="57"/>
        <v>0.1</v>
      </c>
      <c r="X305" t="str">
        <f t="shared" si="58"/>
        <v/>
      </c>
      <c r="Y305">
        <v>2363.65</v>
      </c>
      <c r="Z305">
        <f t="shared" si="59"/>
        <v>2363.652</v>
      </c>
      <c r="AA305">
        <v>1876.1</v>
      </c>
      <c r="AB305">
        <v>487.55</v>
      </c>
      <c r="AC305">
        <f t="shared" si="60"/>
        <v>1050.5119999999999</v>
      </c>
      <c r="AD305" s="6">
        <f t="shared" si="61"/>
        <v>0.44444444444444442</v>
      </c>
      <c r="AE305" t="s">
        <v>111</v>
      </c>
      <c r="AF305" t="s">
        <v>103</v>
      </c>
      <c r="AG305">
        <f t="shared" si="62"/>
        <v>6</v>
      </c>
      <c r="AH305">
        <f t="shared" si="63"/>
        <v>2024</v>
      </c>
      <c r="AI305" t="str">
        <f t="shared" si="64"/>
        <v>CLEAN</v>
      </c>
    </row>
    <row r="306" spans="1:35">
      <c r="A306" t="s">
        <v>1016</v>
      </c>
      <c r="B306">
        <f t="shared" si="52"/>
        <v>1</v>
      </c>
      <c r="C306" t="str">
        <f>IF(COUNTIF($A$2:A306, A306)&gt;1, "DUPLICATE_FLAGGED_FOR_REVIEW", "")</f>
        <v/>
      </c>
      <c r="D306" s="3">
        <v>45446</v>
      </c>
      <c r="E306" s="2">
        <v>45364</v>
      </c>
      <c r="F306" s="2" t="str">
        <f t="shared" si="53"/>
        <v>ERROR: Ship before order</v>
      </c>
      <c r="G306" s="4">
        <f t="shared" si="54"/>
        <v>-82</v>
      </c>
      <c r="H306" t="s">
        <v>1017</v>
      </c>
      <c r="I306" t="s">
        <v>23</v>
      </c>
      <c r="J306" t="s">
        <v>24</v>
      </c>
      <c r="K306" t="s">
        <v>25</v>
      </c>
      <c r="L306" t="str">
        <f t="shared" si="55"/>
        <v>North</v>
      </c>
      <c r="M306" t="s">
        <v>122</v>
      </c>
      <c r="N306" t="s">
        <v>123</v>
      </c>
      <c r="O306" t="s">
        <v>41</v>
      </c>
      <c r="P306" t="s">
        <v>57</v>
      </c>
      <c r="Q306" t="s">
        <v>1018</v>
      </c>
      <c r="R306" t="s">
        <v>59</v>
      </c>
      <c r="S306" t="str">
        <f t="shared" si="56"/>
        <v>Standard Class</v>
      </c>
      <c r="T306">
        <v>6</v>
      </c>
      <c r="U306">
        <v>2403.0500000000002</v>
      </c>
      <c r="V306">
        <v>0.1</v>
      </c>
      <c r="W306">
        <f t="shared" si="57"/>
        <v>0.1</v>
      </c>
      <c r="X306" t="str">
        <f t="shared" si="58"/>
        <v/>
      </c>
      <c r="Y306">
        <v>12976.47</v>
      </c>
      <c r="Z306">
        <f t="shared" si="59"/>
        <v>12976.470000000001</v>
      </c>
      <c r="AA306">
        <v>10019.98</v>
      </c>
      <c r="AB306">
        <v>2956.49</v>
      </c>
      <c r="AC306">
        <f t="shared" si="60"/>
        <v>10573.420000000002</v>
      </c>
      <c r="AD306" s="6">
        <f t="shared" si="61"/>
        <v>0.81481481481481488</v>
      </c>
      <c r="AE306" t="s">
        <v>32</v>
      </c>
      <c r="AF306" t="s">
        <v>33</v>
      </c>
      <c r="AG306">
        <f t="shared" si="62"/>
        <v>6</v>
      </c>
      <c r="AH306">
        <f t="shared" si="63"/>
        <v>2024</v>
      </c>
      <c r="AI306" t="str">
        <f t="shared" si="64"/>
        <v>INVALID</v>
      </c>
    </row>
    <row r="307" spans="1:35">
      <c r="A307" t="s">
        <v>1019</v>
      </c>
      <c r="B307">
        <f t="shared" si="52"/>
        <v>1</v>
      </c>
      <c r="C307" t="str">
        <f>IF(COUNTIF($A$2:A307, A307)&gt;1, "DUPLICATE_FLAGGED_FOR_REVIEW", "")</f>
        <v/>
      </c>
      <c r="D307" s="3">
        <v>45413</v>
      </c>
      <c r="E307" s="2">
        <v>45327</v>
      </c>
      <c r="F307" s="2" t="str">
        <f t="shared" si="53"/>
        <v>ERROR: Ship before order</v>
      </c>
      <c r="G307" s="4">
        <f t="shared" si="54"/>
        <v>-86</v>
      </c>
      <c r="H307" t="s">
        <v>1020</v>
      </c>
      <c r="I307" t="s">
        <v>62</v>
      </c>
      <c r="J307" t="s">
        <v>24</v>
      </c>
      <c r="K307" t="s">
        <v>38</v>
      </c>
      <c r="L307" t="str">
        <f t="shared" si="55"/>
        <v>East</v>
      </c>
      <c r="M307" t="s">
        <v>166</v>
      </c>
      <c r="N307" t="s">
        <v>167</v>
      </c>
      <c r="O307" t="s">
        <v>41</v>
      </c>
      <c r="P307" t="s">
        <v>66</v>
      </c>
      <c r="Q307" t="s">
        <v>1021</v>
      </c>
      <c r="R307" t="s">
        <v>50</v>
      </c>
      <c r="S307" t="str">
        <f t="shared" si="56"/>
        <v>First Class</v>
      </c>
      <c r="T307">
        <v>4</v>
      </c>
      <c r="U307">
        <v>4156.0600000000004</v>
      </c>
      <c r="V307">
        <v>0.55000000000000004</v>
      </c>
      <c r="W307">
        <f t="shared" si="57"/>
        <v>0.55000000000000004</v>
      </c>
      <c r="X307" t="str">
        <f t="shared" si="58"/>
        <v>INVALID_DISCOUNT_ABOVE_50PCT</v>
      </c>
      <c r="Y307">
        <v>13299.39</v>
      </c>
      <c r="Z307">
        <f t="shared" si="59"/>
        <v>7480.9080000000004</v>
      </c>
      <c r="AA307">
        <v>9851.91</v>
      </c>
      <c r="AB307">
        <v>3447.48</v>
      </c>
      <c r="AC307">
        <f t="shared" si="60"/>
        <v>3324.848</v>
      </c>
      <c r="AD307" s="6">
        <f t="shared" si="61"/>
        <v>0.44444444444444442</v>
      </c>
      <c r="AE307" t="s">
        <v>32</v>
      </c>
      <c r="AF307" t="s">
        <v>68</v>
      </c>
      <c r="AG307">
        <f t="shared" si="62"/>
        <v>5</v>
      </c>
      <c r="AH307">
        <f t="shared" si="63"/>
        <v>2024</v>
      </c>
      <c r="AI307" t="str">
        <f t="shared" si="64"/>
        <v>INVALID</v>
      </c>
    </row>
    <row r="308" spans="1:35">
      <c r="A308" t="s">
        <v>1022</v>
      </c>
      <c r="B308">
        <f t="shared" si="52"/>
        <v>1</v>
      </c>
      <c r="C308" t="str">
        <f>IF(COUNTIF($A$2:A308, A308)&gt;1, "DUPLICATE_FLAGGED_FOR_REVIEW", "")</f>
        <v/>
      </c>
      <c r="D308" s="3">
        <v>45708</v>
      </c>
      <c r="E308" s="2">
        <v>45711</v>
      </c>
      <c r="F308" s="2" t="str">
        <f t="shared" si="53"/>
        <v>OK</v>
      </c>
      <c r="G308" s="4">
        <f t="shared" si="54"/>
        <v>3</v>
      </c>
      <c r="H308" t="s">
        <v>1023</v>
      </c>
      <c r="I308" t="s">
        <v>128</v>
      </c>
      <c r="J308" t="s">
        <v>24</v>
      </c>
      <c r="K308" t="s">
        <v>25</v>
      </c>
      <c r="L308" t="str">
        <f t="shared" si="55"/>
        <v>North</v>
      </c>
      <c r="M308" t="s">
        <v>26</v>
      </c>
      <c r="N308" t="s">
        <v>27</v>
      </c>
      <c r="O308" t="s">
        <v>74</v>
      </c>
      <c r="P308" t="s">
        <v>171</v>
      </c>
      <c r="Q308" t="s">
        <v>1024</v>
      </c>
      <c r="R308" t="s">
        <v>31</v>
      </c>
      <c r="S308" t="str">
        <f t="shared" si="56"/>
        <v>Second Class</v>
      </c>
      <c r="T308">
        <v>4</v>
      </c>
      <c r="U308">
        <v>3673.11</v>
      </c>
      <c r="V308">
        <v>0</v>
      </c>
      <c r="W308">
        <f t="shared" si="57"/>
        <v>0</v>
      </c>
      <c r="X308" t="str">
        <f t="shared" si="58"/>
        <v/>
      </c>
      <c r="Y308">
        <v>14692.44</v>
      </c>
      <c r="Z308">
        <f t="shared" si="59"/>
        <v>14692.44</v>
      </c>
      <c r="AA308">
        <v>10082.19</v>
      </c>
      <c r="AB308">
        <v>4610.25</v>
      </c>
      <c r="AC308">
        <f t="shared" si="60"/>
        <v>11019.33</v>
      </c>
      <c r="AD308" s="6">
        <f t="shared" si="61"/>
        <v>0.75</v>
      </c>
      <c r="AE308" t="s">
        <v>32</v>
      </c>
      <c r="AF308" t="s">
        <v>33</v>
      </c>
      <c r="AG308">
        <f t="shared" si="62"/>
        <v>2</v>
      </c>
      <c r="AH308">
        <f t="shared" si="63"/>
        <v>2025</v>
      </c>
      <c r="AI308" t="str">
        <f t="shared" si="64"/>
        <v>CLEAN</v>
      </c>
    </row>
    <row r="309" spans="1:35">
      <c r="A309" t="s">
        <v>1025</v>
      </c>
      <c r="B309">
        <f t="shared" si="52"/>
        <v>1</v>
      </c>
      <c r="C309" t="str">
        <f>IF(COUNTIF($A$2:A309, A309)&gt;1, "DUPLICATE_FLAGGED_FOR_REVIEW", "")</f>
        <v/>
      </c>
      <c r="D309" s="3">
        <v>45850</v>
      </c>
      <c r="E309" s="2">
        <v>45857</v>
      </c>
      <c r="F309" s="2" t="str">
        <f t="shared" si="53"/>
        <v>OK</v>
      </c>
      <c r="G309" s="4">
        <f t="shared" si="54"/>
        <v>7</v>
      </c>
      <c r="H309" t="s">
        <v>1026</v>
      </c>
      <c r="I309" t="s">
        <v>62</v>
      </c>
      <c r="J309" t="s">
        <v>90</v>
      </c>
      <c r="K309" t="s">
        <v>25</v>
      </c>
      <c r="L309" t="str">
        <f t="shared" si="55"/>
        <v>North</v>
      </c>
      <c r="M309" t="s">
        <v>136</v>
      </c>
      <c r="N309" t="s">
        <v>137</v>
      </c>
      <c r="O309" t="s">
        <v>41</v>
      </c>
      <c r="P309" t="s">
        <v>42</v>
      </c>
      <c r="Q309" t="s">
        <v>1027</v>
      </c>
      <c r="R309" t="s">
        <v>50</v>
      </c>
      <c r="S309" t="str">
        <f t="shared" si="56"/>
        <v>First Class</v>
      </c>
      <c r="T309">
        <v>9</v>
      </c>
      <c r="U309">
        <v>4093.04</v>
      </c>
      <c r="V309">
        <v>0.2</v>
      </c>
      <c r="W309">
        <f t="shared" si="57"/>
        <v>0.2</v>
      </c>
      <c r="X309" t="str">
        <f t="shared" si="58"/>
        <v/>
      </c>
      <c r="Y309">
        <v>29469.89</v>
      </c>
      <c r="Z309">
        <f t="shared" si="59"/>
        <v>29469.888000000003</v>
      </c>
      <c r="AA309">
        <v>18935.509999999998</v>
      </c>
      <c r="AB309">
        <v>10534.38</v>
      </c>
      <c r="AC309">
        <f t="shared" si="60"/>
        <v>25376.848000000002</v>
      </c>
      <c r="AD309" s="6">
        <f t="shared" si="61"/>
        <v>0.86111111111111105</v>
      </c>
      <c r="AE309" t="s">
        <v>111</v>
      </c>
      <c r="AF309" t="s">
        <v>68</v>
      </c>
      <c r="AG309">
        <f t="shared" si="62"/>
        <v>7</v>
      </c>
      <c r="AH309">
        <f t="shared" si="63"/>
        <v>2025</v>
      </c>
      <c r="AI309" t="str">
        <f t="shared" si="64"/>
        <v>CLEAN</v>
      </c>
    </row>
    <row r="310" spans="1:35">
      <c r="A310" t="s">
        <v>1028</v>
      </c>
      <c r="B310">
        <f t="shared" si="52"/>
        <v>1</v>
      </c>
      <c r="C310" t="str">
        <f>IF(COUNTIF($A$2:A310, A310)&gt;1, "DUPLICATE_FLAGGED_FOR_REVIEW", "")</f>
        <v/>
      </c>
      <c r="D310" s="3">
        <v>45821</v>
      </c>
      <c r="E310" s="2">
        <v>45827</v>
      </c>
      <c r="F310" s="2" t="str">
        <f t="shared" si="53"/>
        <v>OK</v>
      </c>
      <c r="G310" s="4">
        <f t="shared" si="54"/>
        <v>6</v>
      </c>
      <c r="H310" t="s">
        <v>1029</v>
      </c>
      <c r="I310" t="s">
        <v>141</v>
      </c>
      <c r="J310" t="s">
        <v>24</v>
      </c>
      <c r="K310" t="s">
        <v>25</v>
      </c>
      <c r="L310" t="str">
        <f t="shared" si="55"/>
        <v>North</v>
      </c>
      <c r="M310" t="s">
        <v>26</v>
      </c>
      <c r="N310" t="s">
        <v>27</v>
      </c>
      <c r="O310" t="s">
        <v>41</v>
      </c>
      <c r="P310" t="s">
        <v>42</v>
      </c>
      <c r="Q310" t="s">
        <v>1030</v>
      </c>
      <c r="R310" t="s">
        <v>50</v>
      </c>
      <c r="S310" t="str">
        <f t="shared" si="56"/>
        <v>First Class</v>
      </c>
      <c r="T310">
        <v>4</v>
      </c>
      <c r="U310">
        <v>731.57</v>
      </c>
      <c r="V310">
        <v>0.2</v>
      </c>
      <c r="W310">
        <f t="shared" si="57"/>
        <v>0.2</v>
      </c>
      <c r="X310" t="str">
        <f t="shared" si="58"/>
        <v/>
      </c>
      <c r="Y310">
        <v>2341.02</v>
      </c>
      <c r="Z310">
        <f t="shared" si="59"/>
        <v>2341.0240000000003</v>
      </c>
      <c r="AA310">
        <v>1565.49</v>
      </c>
      <c r="AB310">
        <v>775.53</v>
      </c>
      <c r="AC310">
        <f t="shared" si="60"/>
        <v>1609.4540000000002</v>
      </c>
      <c r="AD310" s="6">
        <f t="shared" si="61"/>
        <v>0.6875</v>
      </c>
      <c r="AE310" t="s">
        <v>32</v>
      </c>
      <c r="AF310" t="s">
        <v>33</v>
      </c>
      <c r="AG310">
        <f t="shared" si="62"/>
        <v>6</v>
      </c>
      <c r="AH310">
        <f t="shared" si="63"/>
        <v>2025</v>
      </c>
      <c r="AI310" t="str">
        <f t="shared" si="64"/>
        <v>CLEAN</v>
      </c>
    </row>
    <row r="311" spans="1:35">
      <c r="A311" t="s">
        <v>1031</v>
      </c>
      <c r="B311">
        <f t="shared" si="52"/>
        <v>1</v>
      </c>
      <c r="C311" t="str">
        <f>IF(COUNTIF($A$2:A311, A311)&gt;1, "DUPLICATE_FLAGGED_FOR_REVIEW", "")</f>
        <v/>
      </c>
      <c r="D311" s="3">
        <v>45493</v>
      </c>
      <c r="E311" s="2">
        <v>45495</v>
      </c>
      <c r="F311" s="2" t="str">
        <f t="shared" si="53"/>
        <v>OK</v>
      </c>
      <c r="G311" s="4">
        <f t="shared" si="54"/>
        <v>2</v>
      </c>
      <c r="H311" t="s">
        <v>1032</v>
      </c>
      <c r="I311" t="s">
        <v>62</v>
      </c>
      <c r="J311" t="s">
        <v>24</v>
      </c>
      <c r="K311" t="s">
        <v>54</v>
      </c>
      <c r="L311" t="str">
        <f t="shared" si="55"/>
        <v>South</v>
      </c>
      <c r="M311" t="s">
        <v>247</v>
      </c>
      <c r="N311" t="s">
        <v>248</v>
      </c>
      <c r="O311" t="s">
        <v>41</v>
      </c>
      <c r="P311" t="s">
        <v>42</v>
      </c>
      <c r="Q311" t="s">
        <v>1033</v>
      </c>
      <c r="R311" t="s">
        <v>50</v>
      </c>
      <c r="S311" t="str">
        <f t="shared" si="56"/>
        <v>First Class</v>
      </c>
      <c r="T311">
        <v>7</v>
      </c>
      <c r="U311">
        <v>2060.73</v>
      </c>
      <c r="V311">
        <v>0.1</v>
      </c>
      <c r="W311">
        <f t="shared" si="57"/>
        <v>0.1</v>
      </c>
      <c r="X311" t="str">
        <f t="shared" si="58"/>
        <v/>
      </c>
      <c r="Y311">
        <v>12982.6</v>
      </c>
      <c r="Z311">
        <f t="shared" si="59"/>
        <v>12982.599</v>
      </c>
      <c r="AA311">
        <v>7246.36</v>
      </c>
      <c r="AB311">
        <v>5736.24</v>
      </c>
      <c r="AC311">
        <f t="shared" si="60"/>
        <v>10921.869000000001</v>
      </c>
      <c r="AD311" s="6">
        <f t="shared" si="61"/>
        <v>0.84126984126984128</v>
      </c>
      <c r="AE311" t="s">
        <v>32</v>
      </c>
      <c r="AF311" t="s">
        <v>68</v>
      </c>
      <c r="AG311">
        <f t="shared" si="62"/>
        <v>7</v>
      </c>
      <c r="AH311">
        <f t="shared" si="63"/>
        <v>2024</v>
      </c>
      <c r="AI311" t="str">
        <f t="shared" si="64"/>
        <v>CLEAN</v>
      </c>
    </row>
    <row r="312" spans="1:35">
      <c r="A312" t="s">
        <v>1034</v>
      </c>
      <c r="B312">
        <f t="shared" si="52"/>
        <v>1</v>
      </c>
      <c r="C312" t="str">
        <f>IF(COUNTIF($A$2:A312, A312)&gt;1, "DUPLICATE_FLAGGED_FOR_REVIEW", "")</f>
        <v/>
      </c>
      <c r="D312" s="3">
        <v>45477</v>
      </c>
      <c r="E312" s="2">
        <v>45481</v>
      </c>
      <c r="F312" s="2" t="str">
        <f t="shared" si="53"/>
        <v>OK</v>
      </c>
      <c r="G312" s="4">
        <f t="shared" si="54"/>
        <v>4</v>
      </c>
      <c r="H312" t="s">
        <v>1035</v>
      </c>
      <c r="I312" t="s">
        <v>141</v>
      </c>
      <c r="J312" t="s">
        <v>37</v>
      </c>
      <c r="K312" t="s">
        <v>54</v>
      </c>
      <c r="L312" t="str">
        <f t="shared" si="55"/>
        <v>South</v>
      </c>
      <c r="M312" t="s">
        <v>247</v>
      </c>
      <c r="N312" t="s">
        <v>248</v>
      </c>
      <c r="O312" t="s">
        <v>74</v>
      </c>
      <c r="P312" t="s">
        <v>274</v>
      </c>
      <c r="Q312" t="s">
        <v>1036</v>
      </c>
      <c r="R312" t="s">
        <v>50</v>
      </c>
      <c r="S312" t="str">
        <f t="shared" si="56"/>
        <v>First Class</v>
      </c>
      <c r="T312">
        <v>8</v>
      </c>
      <c r="U312">
        <v>2034.25</v>
      </c>
      <c r="V312">
        <v>0</v>
      </c>
      <c r="W312">
        <f t="shared" si="57"/>
        <v>0</v>
      </c>
      <c r="X312" t="str">
        <f t="shared" si="58"/>
        <v/>
      </c>
      <c r="Y312">
        <v>16274</v>
      </c>
      <c r="Z312">
        <f t="shared" si="59"/>
        <v>16274</v>
      </c>
      <c r="AA312">
        <v>9424.25</v>
      </c>
      <c r="AB312">
        <v>6849.75</v>
      </c>
      <c r="AC312">
        <f t="shared" si="60"/>
        <v>14239.75</v>
      </c>
      <c r="AD312" s="6">
        <f t="shared" si="61"/>
        <v>0.875</v>
      </c>
      <c r="AE312" t="s">
        <v>32</v>
      </c>
      <c r="AF312" t="s">
        <v>33</v>
      </c>
      <c r="AG312">
        <f t="shared" si="62"/>
        <v>7</v>
      </c>
      <c r="AH312">
        <f t="shared" si="63"/>
        <v>2024</v>
      </c>
      <c r="AI312" t="str">
        <f t="shared" si="64"/>
        <v>CLEAN</v>
      </c>
    </row>
    <row r="313" spans="1:35">
      <c r="A313" t="s">
        <v>1037</v>
      </c>
      <c r="B313">
        <f t="shared" si="52"/>
        <v>1</v>
      </c>
      <c r="C313" t="str">
        <f>IF(COUNTIF($A$2:A313, A313)&gt;1, "DUPLICATE_FLAGGED_FOR_REVIEW", "")</f>
        <v/>
      </c>
      <c r="D313" s="3">
        <v>45409</v>
      </c>
      <c r="E313" s="2">
        <v>45414</v>
      </c>
      <c r="F313" s="2" t="str">
        <f t="shared" si="53"/>
        <v>OK</v>
      </c>
      <c r="G313" s="4">
        <f t="shared" si="54"/>
        <v>5</v>
      </c>
      <c r="H313" t="s">
        <v>1038</v>
      </c>
      <c r="I313" t="s">
        <v>36</v>
      </c>
      <c r="J313" t="s">
        <v>90</v>
      </c>
      <c r="K313" t="s">
        <v>54</v>
      </c>
      <c r="L313" t="str">
        <f t="shared" si="55"/>
        <v>South</v>
      </c>
      <c r="M313" t="s">
        <v>175</v>
      </c>
      <c r="N313" t="s">
        <v>176</v>
      </c>
      <c r="O313" t="s">
        <v>28</v>
      </c>
      <c r="P313" t="s">
        <v>153</v>
      </c>
      <c r="Q313" t="s">
        <v>1039</v>
      </c>
      <c r="R313" t="s">
        <v>31</v>
      </c>
      <c r="S313" t="str">
        <f t="shared" si="56"/>
        <v>Second Class</v>
      </c>
      <c r="T313">
        <v>5</v>
      </c>
      <c r="U313">
        <v>554.04</v>
      </c>
      <c r="V313">
        <v>0.1</v>
      </c>
      <c r="W313">
        <f t="shared" si="57"/>
        <v>0.1</v>
      </c>
      <c r="X313" t="str">
        <f t="shared" si="58"/>
        <v/>
      </c>
      <c r="Y313">
        <v>2493.1799999999998</v>
      </c>
      <c r="Z313">
        <f t="shared" si="59"/>
        <v>2493.1799999999998</v>
      </c>
      <c r="AA313">
        <v>1764</v>
      </c>
      <c r="AB313">
        <v>729.18</v>
      </c>
      <c r="AC313">
        <f t="shared" si="60"/>
        <v>1939.1399999999999</v>
      </c>
      <c r="AD313" s="6">
        <f t="shared" si="61"/>
        <v>0.77777777777777779</v>
      </c>
      <c r="AE313" t="s">
        <v>32</v>
      </c>
      <c r="AF313" t="s">
        <v>33</v>
      </c>
      <c r="AG313">
        <f t="shared" si="62"/>
        <v>4</v>
      </c>
      <c r="AH313">
        <f t="shared" si="63"/>
        <v>2024</v>
      </c>
      <c r="AI313" t="str">
        <f t="shared" si="64"/>
        <v>CLEAN</v>
      </c>
    </row>
    <row r="314" spans="1:35">
      <c r="A314" t="s">
        <v>1040</v>
      </c>
      <c r="B314">
        <f t="shared" si="52"/>
        <v>1</v>
      </c>
      <c r="C314" t="str">
        <f>IF(COUNTIF($A$2:A314, A314)&gt;1, "DUPLICATE_FLAGGED_FOR_REVIEW", "")</f>
        <v/>
      </c>
      <c r="D314" s="3">
        <v>45504</v>
      </c>
      <c r="E314" s="2">
        <v>45508</v>
      </c>
      <c r="F314" s="2" t="str">
        <f t="shared" si="53"/>
        <v>OK</v>
      </c>
      <c r="G314" s="4">
        <f t="shared" si="54"/>
        <v>4</v>
      </c>
      <c r="H314" t="s">
        <v>1041</v>
      </c>
      <c r="I314" t="s">
        <v>23</v>
      </c>
      <c r="J314" t="s">
        <v>37</v>
      </c>
      <c r="K314" t="s">
        <v>38</v>
      </c>
      <c r="L314" t="str">
        <f t="shared" si="55"/>
        <v>East</v>
      </c>
      <c r="M314" t="s">
        <v>166</v>
      </c>
      <c r="N314" t="s">
        <v>167</v>
      </c>
      <c r="O314" t="s">
        <v>74</v>
      </c>
      <c r="P314" t="s">
        <v>171</v>
      </c>
      <c r="Q314" t="s">
        <v>1042</v>
      </c>
      <c r="R314" t="s">
        <v>59</v>
      </c>
      <c r="S314" t="str">
        <f t="shared" si="56"/>
        <v>Standard Class</v>
      </c>
      <c r="T314">
        <v>8</v>
      </c>
      <c r="U314">
        <v>2614.7399999999998</v>
      </c>
      <c r="W314">
        <f t="shared" si="57"/>
        <v>0</v>
      </c>
      <c r="X314" t="str">
        <f t="shared" si="58"/>
        <v>DISCOUNT_MISSING_SET_TO_0</v>
      </c>
      <c r="Y314">
        <v>15688.44</v>
      </c>
      <c r="Z314">
        <f t="shared" si="59"/>
        <v>20917.919999999998</v>
      </c>
      <c r="AA314">
        <v>10047.33</v>
      </c>
      <c r="AB314">
        <v>5641.11</v>
      </c>
      <c r="AC314">
        <f t="shared" si="60"/>
        <v>18303.18</v>
      </c>
      <c r="AD314" s="6">
        <f t="shared" si="61"/>
        <v>0.87500000000000011</v>
      </c>
      <c r="AE314" t="s">
        <v>32</v>
      </c>
      <c r="AF314" t="s">
        <v>68</v>
      </c>
      <c r="AG314">
        <f t="shared" si="62"/>
        <v>7</v>
      </c>
      <c r="AH314">
        <f t="shared" si="63"/>
        <v>2024</v>
      </c>
      <c r="AI314" t="str">
        <f t="shared" si="64"/>
        <v>WARNING</v>
      </c>
    </row>
    <row r="315" spans="1:35">
      <c r="A315" t="s">
        <v>1043</v>
      </c>
      <c r="B315">
        <f t="shared" si="52"/>
        <v>1</v>
      </c>
      <c r="C315" t="str">
        <f>IF(COUNTIF($A$2:A315, A315)&gt;1, "DUPLICATE_FLAGGED_FOR_REVIEW", "")</f>
        <v/>
      </c>
      <c r="D315" s="3">
        <v>45807</v>
      </c>
      <c r="E315" s="2">
        <v>45808</v>
      </c>
      <c r="F315" s="2" t="str">
        <f t="shared" si="53"/>
        <v>OK</v>
      </c>
      <c r="G315" s="4">
        <f t="shared" si="54"/>
        <v>1</v>
      </c>
      <c r="H315" t="s">
        <v>1044</v>
      </c>
      <c r="I315" t="s">
        <v>118</v>
      </c>
      <c r="J315" t="s">
        <v>90</v>
      </c>
      <c r="K315" t="s">
        <v>25</v>
      </c>
      <c r="L315" t="str">
        <f t="shared" si="55"/>
        <v>North</v>
      </c>
      <c r="M315" t="s">
        <v>136</v>
      </c>
      <c r="N315" t="s">
        <v>137</v>
      </c>
      <c r="O315" t="s">
        <v>74</v>
      </c>
      <c r="P315" t="s">
        <v>171</v>
      </c>
      <c r="Q315" t="s">
        <v>1045</v>
      </c>
      <c r="R315" t="s">
        <v>50</v>
      </c>
      <c r="S315" t="str">
        <f t="shared" si="56"/>
        <v>First Class</v>
      </c>
      <c r="T315">
        <v>8</v>
      </c>
      <c r="U315">
        <v>2081.4299999999998</v>
      </c>
      <c r="V315">
        <v>0.25</v>
      </c>
      <c r="W315">
        <f t="shared" si="57"/>
        <v>0.25</v>
      </c>
      <c r="X315" t="str">
        <f t="shared" si="58"/>
        <v/>
      </c>
      <c r="Y315">
        <v>12488.58</v>
      </c>
      <c r="Z315">
        <f t="shared" si="59"/>
        <v>12488.579999999998</v>
      </c>
      <c r="AA315">
        <v>10717.4</v>
      </c>
      <c r="AB315">
        <v>1771.18</v>
      </c>
      <c r="AC315">
        <f t="shared" si="60"/>
        <v>10407.149999999998</v>
      </c>
      <c r="AD315" s="6">
        <f t="shared" si="61"/>
        <v>0.83333333333333326</v>
      </c>
      <c r="AE315" t="s">
        <v>102</v>
      </c>
      <c r="AF315" t="s">
        <v>68</v>
      </c>
      <c r="AG315">
        <f t="shared" si="62"/>
        <v>5</v>
      </c>
      <c r="AH315">
        <f t="shared" si="63"/>
        <v>2025</v>
      </c>
      <c r="AI315" t="str">
        <f t="shared" si="64"/>
        <v>CLEAN</v>
      </c>
    </row>
    <row r="316" spans="1:35">
      <c r="A316" t="s">
        <v>1046</v>
      </c>
      <c r="B316">
        <f t="shared" si="52"/>
        <v>2</v>
      </c>
      <c r="C316" t="str">
        <f>IF(COUNTIF($A$2:A316, A316)&gt;1, "DUPLICATE_FLAGGED_FOR_REVIEW", "")</f>
        <v/>
      </c>
      <c r="D316" s="3">
        <v>45795</v>
      </c>
      <c r="E316" s="2">
        <v>45797</v>
      </c>
      <c r="F316" s="2" t="str">
        <f t="shared" si="53"/>
        <v>OK</v>
      </c>
      <c r="G316" s="4">
        <f t="shared" si="54"/>
        <v>2</v>
      </c>
      <c r="H316" t="s">
        <v>1047</v>
      </c>
      <c r="I316" t="s">
        <v>47</v>
      </c>
      <c r="J316" t="s">
        <v>90</v>
      </c>
      <c r="K316" t="s">
        <v>63</v>
      </c>
      <c r="L316" t="str">
        <f t="shared" si="55"/>
        <v>West</v>
      </c>
      <c r="M316" t="s">
        <v>72</v>
      </c>
      <c r="N316" t="s">
        <v>73</v>
      </c>
      <c r="O316" t="s">
        <v>28</v>
      </c>
      <c r="P316" t="s">
        <v>91</v>
      </c>
      <c r="Q316" t="s">
        <v>1048</v>
      </c>
      <c r="R316" t="s">
        <v>59</v>
      </c>
      <c r="S316" t="str">
        <f t="shared" si="56"/>
        <v>Standard Class</v>
      </c>
      <c r="T316">
        <v>9</v>
      </c>
      <c r="U316">
        <v>847.76</v>
      </c>
      <c r="V316">
        <v>0.15</v>
      </c>
      <c r="W316">
        <f t="shared" si="57"/>
        <v>0.15</v>
      </c>
      <c r="X316" t="str">
        <f t="shared" si="58"/>
        <v/>
      </c>
      <c r="Y316">
        <v>6485.36</v>
      </c>
      <c r="Z316">
        <f t="shared" si="59"/>
        <v>6485.3639999999996</v>
      </c>
      <c r="AA316">
        <v>5376.17</v>
      </c>
      <c r="AB316">
        <v>1109.19</v>
      </c>
      <c r="AC316">
        <f t="shared" si="60"/>
        <v>5637.6039999999994</v>
      </c>
      <c r="AD316" s="6">
        <f t="shared" si="61"/>
        <v>0.8692810457516339</v>
      </c>
      <c r="AE316" t="s">
        <v>155</v>
      </c>
      <c r="AF316" t="s">
        <v>103</v>
      </c>
      <c r="AG316">
        <f t="shared" si="62"/>
        <v>5</v>
      </c>
      <c r="AH316">
        <f t="shared" si="63"/>
        <v>2025</v>
      </c>
      <c r="AI316" t="str">
        <f t="shared" si="64"/>
        <v>CLEAN</v>
      </c>
    </row>
    <row r="317" spans="1:35">
      <c r="A317" t="s">
        <v>1049</v>
      </c>
      <c r="B317">
        <f t="shared" si="52"/>
        <v>1</v>
      </c>
      <c r="C317" t="str">
        <f>IF(COUNTIF($A$2:A317, A317)&gt;1, "DUPLICATE_FLAGGED_FOR_REVIEW", "")</f>
        <v/>
      </c>
      <c r="D317" s="3">
        <v>45475</v>
      </c>
      <c r="E317" s="2">
        <v>45481</v>
      </c>
      <c r="F317" s="2" t="str">
        <f t="shared" si="53"/>
        <v>OK</v>
      </c>
      <c r="G317" s="4">
        <f t="shared" si="54"/>
        <v>6</v>
      </c>
      <c r="H317" t="s">
        <v>1050</v>
      </c>
      <c r="I317" t="s">
        <v>141</v>
      </c>
      <c r="J317" t="s">
        <v>24</v>
      </c>
      <c r="K317" t="s">
        <v>25</v>
      </c>
      <c r="L317" t="str">
        <f t="shared" si="55"/>
        <v>North</v>
      </c>
      <c r="M317" t="s">
        <v>350</v>
      </c>
      <c r="N317" t="s">
        <v>351</v>
      </c>
      <c r="O317" t="s">
        <v>28</v>
      </c>
      <c r="P317" t="s">
        <v>29</v>
      </c>
      <c r="Q317" t="s">
        <v>1051</v>
      </c>
      <c r="R317" t="s">
        <v>59</v>
      </c>
      <c r="S317" t="str">
        <f t="shared" si="56"/>
        <v>Standard Class</v>
      </c>
      <c r="T317">
        <v>9</v>
      </c>
      <c r="U317">
        <v>3450.4</v>
      </c>
      <c r="V317">
        <v>0.05</v>
      </c>
      <c r="W317">
        <f t="shared" si="57"/>
        <v>0.05</v>
      </c>
      <c r="X317" t="str">
        <f t="shared" si="58"/>
        <v/>
      </c>
      <c r="Y317">
        <v>29500.92</v>
      </c>
      <c r="Z317">
        <f t="shared" si="59"/>
        <v>29500.920000000002</v>
      </c>
      <c r="AA317">
        <v>17989.68</v>
      </c>
      <c r="AB317">
        <v>11511.24</v>
      </c>
      <c r="AC317">
        <f t="shared" si="60"/>
        <v>26050.52</v>
      </c>
      <c r="AD317" s="6">
        <f t="shared" si="61"/>
        <v>0.88304093567251463</v>
      </c>
      <c r="AE317" t="s">
        <v>111</v>
      </c>
      <c r="AF317" t="s">
        <v>103</v>
      </c>
      <c r="AG317">
        <f t="shared" si="62"/>
        <v>7</v>
      </c>
      <c r="AH317">
        <f t="shared" si="63"/>
        <v>2024</v>
      </c>
      <c r="AI317" t="str">
        <f t="shared" si="64"/>
        <v>CLEAN</v>
      </c>
    </row>
    <row r="318" spans="1:35">
      <c r="A318" t="s">
        <v>1052</v>
      </c>
      <c r="B318">
        <f t="shared" si="52"/>
        <v>1</v>
      </c>
      <c r="C318" t="str">
        <f>IF(COUNTIF($A$2:A318, A318)&gt;1, "DUPLICATE_FLAGGED_FOR_REVIEW", "")</f>
        <v/>
      </c>
      <c r="D318" s="3">
        <v>45338</v>
      </c>
      <c r="E318" s="2">
        <v>45340</v>
      </c>
      <c r="F318" s="2" t="str">
        <f t="shared" si="53"/>
        <v>OK</v>
      </c>
      <c r="G318" s="4">
        <f t="shared" si="54"/>
        <v>2</v>
      </c>
      <c r="H318" t="s">
        <v>1053</v>
      </c>
      <c r="I318" t="s">
        <v>23</v>
      </c>
      <c r="J318" t="s">
        <v>90</v>
      </c>
      <c r="K318" t="s">
        <v>25</v>
      </c>
      <c r="L318" t="str">
        <f t="shared" si="55"/>
        <v>North</v>
      </c>
      <c r="M318" t="s">
        <v>122</v>
      </c>
      <c r="N318" t="s">
        <v>123</v>
      </c>
      <c r="O318" t="s">
        <v>28</v>
      </c>
      <c r="P318" t="s">
        <v>91</v>
      </c>
      <c r="Q318" t="s">
        <v>1054</v>
      </c>
      <c r="R318" t="s">
        <v>59</v>
      </c>
      <c r="S318" t="str">
        <f t="shared" si="56"/>
        <v>Standard Class</v>
      </c>
      <c r="T318">
        <v>2</v>
      </c>
      <c r="U318">
        <v>1947.53</v>
      </c>
      <c r="V318">
        <v>0.2</v>
      </c>
      <c r="W318">
        <f t="shared" si="57"/>
        <v>0.2</v>
      </c>
      <c r="X318" t="str">
        <f t="shared" si="58"/>
        <v/>
      </c>
      <c r="Y318">
        <v>3116.05</v>
      </c>
      <c r="Z318">
        <f t="shared" si="59"/>
        <v>3116.0480000000002</v>
      </c>
      <c r="AA318">
        <v>1956.63</v>
      </c>
      <c r="AB318">
        <v>1159.42</v>
      </c>
      <c r="AC318">
        <f t="shared" si="60"/>
        <v>1168.5180000000003</v>
      </c>
      <c r="AD318" s="6">
        <f t="shared" si="61"/>
        <v>0.37500000000000006</v>
      </c>
      <c r="AE318" t="s">
        <v>32</v>
      </c>
      <c r="AF318" t="s">
        <v>68</v>
      </c>
      <c r="AG318">
        <f t="shared" si="62"/>
        <v>2</v>
      </c>
      <c r="AH318">
        <f t="shared" si="63"/>
        <v>2024</v>
      </c>
      <c r="AI318" t="str">
        <f t="shared" si="64"/>
        <v>CLEAN</v>
      </c>
    </row>
    <row r="319" spans="1:35">
      <c r="A319" t="s">
        <v>1055</v>
      </c>
      <c r="B319">
        <f t="shared" si="52"/>
        <v>1</v>
      </c>
      <c r="C319" t="str">
        <f>IF(COUNTIF($A$2:A319, A319)&gt;1, "DUPLICATE_FLAGGED_FOR_REVIEW", "")</f>
        <v/>
      </c>
      <c r="D319" s="3">
        <v>45898</v>
      </c>
      <c r="E319" s="2">
        <v>45904</v>
      </c>
      <c r="F319" s="2" t="str">
        <f t="shared" si="53"/>
        <v>OK</v>
      </c>
      <c r="G319" s="4">
        <f t="shared" si="54"/>
        <v>6</v>
      </c>
      <c r="H319" t="s">
        <v>1056</v>
      </c>
      <c r="I319" t="s">
        <v>79</v>
      </c>
      <c r="J319" t="s">
        <v>90</v>
      </c>
      <c r="K319" t="s">
        <v>54</v>
      </c>
      <c r="L319" t="str">
        <f t="shared" si="55"/>
        <v>South</v>
      </c>
      <c r="M319" t="s">
        <v>185</v>
      </c>
      <c r="N319" t="s">
        <v>186</v>
      </c>
      <c r="O319" t="s">
        <v>41</v>
      </c>
      <c r="P319" t="s">
        <v>42</v>
      </c>
      <c r="Q319" t="s">
        <v>1057</v>
      </c>
      <c r="R319" t="s">
        <v>50</v>
      </c>
      <c r="S319" t="str">
        <f t="shared" si="56"/>
        <v>First Class</v>
      </c>
      <c r="T319">
        <v>9</v>
      </c>
      <c r="U319">
        <v>2996.97</v>
      </c>
      <c r="V319">
        <v>0.15</v>
      </c>
      <c r="W319">
        <f t="shared" si="57"/>
        <v>0.15</v>
      </c>
      <c r="X319" t="str">
        <f t="shared" si="58"/>
        <v/>
      </c>
      <c r="Y319">
        <v>22926.82</v>
      </c>
      <c r="Z319">
        <f t="shared" si="59"/>
        <v>22926.820499999998</v>
      </c>
      <c r="AA319">
        <v>14621.59</v>
      </c>
      <c r="AB319">
        <v>8305.23</v>
      </c>
      <c r="AC319">
        <f t="shared" si="60"/>
        <v>19929.850499999997</v>
      </c>
      <c r="AD319" s="6">
        <f t="shared" si="61"/>
        <v>0.8692810457516339</v>
      </c>
      <c r="AE319" t="s">
        <v>32</v>
      </c>
      <c r="AF319" t="s">
        <v>33</v>
      </c>
      <c r="AG319">
        <f t="shared" si="62"/>
        <v>8</v>
      </c>
      <c r="AH319">
        <f t="shared" si="63"/>
        <v>2025</v>
      </c>
      <c r="AI319" t="str">
        <f t="shared" si="64"/>
        <v>CLEAN</v>
      </c>
    </row>
    <row r="320" spans="1:35">
      <c r="A320" t="s">
        <v>1058</v>
      </c>
      <c r="B320">
        <f t="shared" si="52"/>
        <v>1</v>
      </c>
      <c r="C320" t="str">
        <f>IF(COUNTIF($A$2:A320, A320)&gt;1, "DUPLICATE_FLAGGED_FOR_REVIEW", "")</f>
        <v/>
      </c>
      <c r="D320" s="3">
        <v>45407</v>
      </c>
      <c r="E320" s="2">
        <v>45412</v>
      </c>
      <c r="F320" s="2" t="str">
        <f t="shared" si="53"/>
        <v>OK</v>
      </c>
      <c r="G320" s="4">
        <f t="shared" si="54"/>
        <v>5</v>
      </c>
      <c r="H320" t="s">
        <v>1059</v>
      </c>
      <c r="I320" t="s">
        <v>36</v>
      </c>
      <c r="J320" t="s">
        <v>37</v>
      </c>
      <c r="K320" t="s">
        <v>54</v>
      </c>
      <c r="L320" t="str">
        <f t="shared" si="55"/>
        <v>South</v>
      </c>
      <c r="M320" t="s">
        <v>175</v>
      </c>
      <c r="N320" t="s">
        <v>176</v>
      </c>
      <c r="O320" t="s">
        <v>74</v>
      </c>
      <c r="P320" t="s">
        <v>171</v>
      </c>
      <c r="Q320" t="s">
        <v>1060</v>
      </c>
      <c r="R320" t="s">
        <v>59</v>
      </c>
      <c r="S320" t="str">
        <f t="shared" si="56"/>
        <v>Standard Class</v>
      </c>
      <c r="T320">
        <v>3</v>
      </c>
      <c r="U320">
        <v>4149.46</v>
      </c>
      <c r="V320">
        <v>0.1</v>
      </c>
      <c r="W320">
        <f t="shared" si="57"/>
        <v>0.1</v>
      </c>
      <c r="X320" t="str">
        <f t="shared" si="58"/>
        <v/>
      </c>
      <c r="Y320">
        <v>11203.54</v>
      </c>
      <c r="Z320">
        <f t="shared" si="59"/>
        <v>11203.542000000001</v>
      </c>
      <c r="AA320">
        <v>8452.93</v>
      </c>
      <c r="AB320">
        <v>2750.61</v>
      </c>
      <c r="AC320">
        <f t="shared" si="60"/>
        <v>7054.0820000000012</v>
      </c>
      <c r="AD320" s="6">
        <f t="shared" si="61"/>
        <v>0.62962962962962965</v>
      </c>
      <c r="AE320" t="s">
        <v>32</v>
      </c>
      <c r="AF320" t="s">
        <v>33</v>
      </c>
      <c r="AG320">
        <f t="shared" si="62"/>
        <v>4</v>
      </c>
      <c r="AH320">
        <f t="shared" si="63"/>
        <v>2024</v>
      </c>
      <c r="AI320" t="str">
        <f t="shared" si="64"/>
        <v>CLEAN</v>
      </c>
    </row>
    <row r="321" spans="1:35">
      <c r="A321" t="s">
        <v>1061</v>
      </c>
      <c r="B321">
        <f t="shared" si="52"/>
        <v>1</v>
      </c>
      <c r="C321" t="str">
        <f>IF(COUNTIF($A$2:A321, A321)&gt;1, "DUPLICATE_FLAGGED_FOR_REVIEW", "")</f>
        <v/>
      </c>
      <c r="D321" s="3">
        <v>45525</v>
      </c>
      <c r="E321" s="2">
        <v>45529</v>
      </c>
      <c r="F321" s="2" t="str">
        <f t="shared" si="53"/>
        <v>OK</v>
      </c>
      <c r="G321" s="4">
        <f t="shared" si="54"/>
        <v>4</v>
      </c>
      <c r="H321" t="s">
        <v>1062</v>
      </c>
      <c r="I321" t="s">
        <v>162</v>
      </c>
      <c r="J321" t="s">
        <v>24</v>
      </c>
      <c r="K321" t="s">
        <v>63</v>
      </c>
      <c r="L321" t="str">
        <f t="shared" si="55"/>
        <v>West</v>
      </c>
      <c r="M321" t="s">
        <v>180</v>
      </c>
      <c r="N321" t="s">
        <v>181</v>
      </c>
      <c r="O321" t="s">
        <v>28</v>
      </c>
      <c r="P321" t="s">
        <v>153</v>
      </c>
      <c r="Q321" t="s">
        <v>1063</v>
      </c>
      <c r="R321" t="s">
        <v>50</v>
      </c>
      <c r="S321" t="str">
        <f t="shared" si="56"/>
        <v>First Class</v>
      </c>
      <c r="T321">
        <v>1</v>
      </c>
      <c r="U321">
        <v>270.27999999999997</v>
      </c>
      <c r="V321">
        <v>0</v>
      </c>
      <c r="W321">
        <f t="shared" si="57"/>
        <v>0</v>
      </c>
      <c r="X321" t="str">
        <f t="shared" si="58"/>
        <v/>
      </c>
      <c r="Y321">
        <v>270.27999999999997</v>
      </c>
      <c r="Z321">
        <f t="shared" si="59"/>
        <v>270.27999999999997</v>
      </c>
      <c r="AA321">
        <v>156.34</v>
      </c>
      <c r="AB321">
        <v>113.94</v>
      </c>
      <c r="AC321">
        <f t="shared" si="60"/>
        <v>0</v>
      </c>
      <c r="AD321" s="6">
        <f t="shared" si="61"/>
        <v>0</v>
      </c>
      <c r="AE321" t="s">
        <v>32</v>
      </c>
      <c r="AF321" t="s">
        <v>33</v>
      </c>
      <c r="AG321">
        <f t="shared" si="62"/>
        <v>8</v>
      </c>
      <c r="AH321">
        <f t="shared" si="63"/>
        <v>2024</v>
      </c>
      <c r="AI321" t="str">
        <f t="shared" si="64"/>
        <v>CLEAN</v>
      </c>
    </row>
    <row r="322" spans="1:35">
      <c r="A322" t="s">
        <v>1064</v>
      </c>
      <c r="B322">
        <f t="shared" si="52"/>
        <v>1</v>
      </c>
      <c r="C322" t="str">
        <f>IF(COUNTIF($A$2:A322, A322)&gt;1, "DUPLICATE_FLAGGED_FOR_REVIEW", "")</f>
        <v/>
      </c>
      <c r="D322" s="3">
        <v>45394</v>
      </c>
      <c r="E322" s="2">
        <v>45455</v>
      </c>
      <c r="F322" s="2" t="str">
        <f t="shared" si="53"/>
        <v>OK</v>
      </c>
      <c r="G322" s="4">
        <f t="shared" si="54"/>
        <v>61</v>
      </c>
      <c r="H322" t="s">
        <v>1065</v>
      </c>
      <c r="I322" t="s">
        <v>128</v>
      </c>
      <c r="J322" t="s">
        <v>95</v>
      </c>
      <c r="K322" t="s">
        <v>38</v>
      </c>
      <c r="L322" t="str">
        <f t="shared" si="55"/>
        <v>East</v>
      </c>
      <c r="M322" t="s">
        <v>99</v>
      </c>
      <c r="N322" t="s">
        <v>100</v>
      </c>
      <c r="O322" t="s">
        <v>28</v>
      </c>
      <c r="P322" t="s">
        <v>48</v>
      </c>
      <c r="Q322" t="s">
        <v>1066</v>
      </c>
      <c r="R322" t="s">
        <v>31</v>
      </c>
      <c r="S322" t="str">
        <f t="shared" si="56"/>
        <v>Second Class</v>
      </c>
      <c r="T322">
        <v>3</v>
      </c>
      <c r="U322">
        <v>876.14</v>
      </c>
      <c r="V322">
        <v>0.7</v>
      </c>
      <c r="W322">
        <f t="shared" si="57"/>
        <v>0.7</v>
      </c>
      <c r="X322" t="str">
        <f t="shared" si="58"/>
        <v>INVALID_DISCOUNT_ABOVE_50PCT</v>
      </c>
      <c r="Y322">
        <v>2628.42</v>
      </c>
      <c r="Z322">
        <f t="shared" si="59"/>
        <v>788.52600000000018</v>
      </c>
      <c r="AA322">
        <v>1541.54</v>
      </c>
      <c r="AB322">
        <v>1086.8800000000001</v>
      </c>
      <c r="AC322">
        <f t="shared" si="60"/>
        <v>-87.613999999999805</v>
      </c>
      <c r="AD322" s="6">
        <f t="shared" si="61"/>
        <v>-0.11111111111111084</v>
      </c>
      <c r="AE322" t="s">
        <v>111</v>
      </c>
      <c r="AF322" t="s">
        <v>103</v>
      </c>
      <c r="AG322">
        <f t="shared" si="62"/>
        <v>4</v>
      </c>
      <c r="AH322">
        <f t="shared" si="63"/>
        <v>2024</v>
      </c>
      <c r="AI322" t="str">
        <f t="shared" si="64"/>
        <v>INVALID</v>
      </c>
    </row>
    <row r="323" spans="1:35">
      <c r="A323" t="s">
        <v>1067</v>
      </c>
      <c r="B323">
        <f t="shared" ref="B323:B386" si="65">COUNTIF($A$2:$A$932, A323)</f>
        <v>1</v>
      </c>
      <c r="C323" t="str">
        <f>IF(COUNTIF($A$2:A323, A323)&gt;1, "DUPLICATE_FLAGGED_FOR_REVIEW", "")</f>
        <v/>
      </c>
      <c r="D323" s="3">
        <v>45466</v>
      </c>
      <c r="E323" s="2">
        <v>45473</v>
      </c>
      <c r="F323" s="2" t="str">
        <f t="shared" ref="F323:F386" si="66">IF(E323&lt;D323, "ERROR: Ship before order", "OK")</f>
        <v>OK</v>
      </c>
      <c r="G323" s="4">
        <f t="shared" ref="G323:G386" si="67">IF(AND(ISNUMBER(E323),ISNUMBER(D323)), E323-D323, "")</f>
        <v>7</v>
      </c>
      <c r="H323" t="s">
        <v>1068</v>
      </c>
      <c r="I323" t="s">
        <v>79</v>
      </c>
      <c r="J323" t="s">
        <v>37</v>
      </c>
      <c r="K323" t="s">
        <v>63</v>
      </c>
      <c r="L323" t="str">
        <f t="shared" ref="L323:L386" si="68">IF(OR(K323="",ISBLANK(K323)), "Unknown", K323)</f>
        <v>West</v>
      </c>
      <c r="M323" t="s">
        <v>190</v>
      </c>
      <c r="N323" t="s">
        <v>191</v>
      </c>
      <c r="O323" t="s">
        <v>74</v>
      </c>
      <c r="P323" t="s">
        <v>75</v>
      </c>
      <c r="Q323" t="s">
        <v>1069</v>
      </c>
      <c r="R323" t="s">
        <v>44</v>
      </c>
      <c r="S323" t="str">
        <f t="shared" ref="S323:S386" si="69">IF(OR(R323="",ISBLANK(R323)), "Unknown", R323)</f>
        <v>Same Day</v>
      </c>
      <c r="T323">
        <v>4</v>
      </c>
      <c r="U323">
        <v>674.82</v>
      </c>
      <c r="V323">
        <v>0</v>
      </c>
      <c r="W323">
        <f t="shared" ref="W323:W386" si="70">IF(ISBLANK(V323), IF(AND(ISNUMBER(T323), ISNUMBER(U323)), 0, ""), IF(V323&lt;0, V323, IF(V323&gt;0.5, V323, V323)))</f>
        <v>0</v>
      </c>
      <c r="X323" t="str">
        <f t="shared" ref="X323:X386" si="71">IF(V323&lt;0,"INVALID_NEGATIVE_DISCOUNT",IF(V323&gt;0.5,"INVALID_DISCOUNT_ABOVE_50PCT",IF(AND(ISBLANK(V323), ISNUMBER(T323), ISNUMBER(U323)),"DISCOUNT_MISSING_SET_TO_0","")))</f>
        <v/>
      </c>
      <c r="Y323">
        <v>2699.28</v>
      </c>
      <c r="Z323">
        <f t="shared" ref="Z323:Z386" si="72">T323 * U323 * (1 - W323)</f>
        <v>2699.28</v>
      </c>
      <c r="AA323">
        <v>1759.76</v>
      </c>
      <c r="AB323">
        <v>939.52</v>
      </c>
      <c r="AC323">
        <f t="shared" ref="AC323:AC386" si="73">Z323-U323</f>
        <v>2024.46</v>
      </c>
      <c r="AD323" s="6">
        <f t="shared" ref="AD323:AD386" si="74">IF(Z323&lt;&gt;0, AC323 / Z323, 0)</f>
        <v>0.75</v>
      </c>
      <c r="AE323" t="s">
        <v>155</v>
      </c>
      <c r="AF323" t="s">
        <v>68</v>
      </c>
      <c r="AG323">
        <f t="shared" ref="AG323:AG386" si="75">MONTH(D323)</f>
        <v>6</v>
      </c>
      <c r="AH323">
        <f t="shared" ref="AH323:AH386" si="76">YEAR(D323)</f>
        <v>2024</v>
      </c>
      <c r="AI323" t="str">
        <f t="shared" ref="AI323:AI386" si="77">IF(OR(X323="INVALID_NEGATIVE_DISCOUNT",X323="INVALID_DISCOUNT_ABOVE_50PCT",F323="ERROR: Ship before order"),"INVALID",IF(OR(L323="Unknown",S323="Unknown",X323="DISCOUNT_MISSING_SET_TO_0"),"WARNING","CLEAN"))</f>
        <v>CLEAN</v>
      </c>
    </row>
    <row r="324" spans="1:35">
      <c r="A324" t="s">
        <v>1070</v>
      </c>
      <c r="B324">
        <f t="shared" si="65"/>
        <v>1</v>
      </c>
      <c r="C324" t="str">
        <f>IF(COUNTIF($A$2:A324, A324)&gt;1, "DUPLICATE_FLAGGED_FOR_REVIEW", "")</f>
        <v/>
      </c>
      <c r="D324" s="3">
        <v>45608</v>
      </c>
      <c r="E324" s="2">
        <v>45608</v>
      </c>
      <c r="F324" s="2" t="str">
        <f t="shared" si="66"/>
        <v>OK</v>
      </c>
      <c r="G324" s="4">
        <f t="shared" si="67"/>
        <v>0</v>
      </c>
      <c r="H324" t="s">
        <v>1071</v>
      </c>
      <c r="I324" t="s">
        <v>47</v>
      </c>
      <c r="J324" t="s">
        <v>24</v>
      </c>
      <c r="K324" t="s">
        <v>25</v>
      </c>
      <c r="L324" t="str">
        <f t="shared" si="68"/>
        <v>North</v>
      </c>
      <c r="M324" t="s">
        <v>136</v>
      </c>
      <c r="N324" t="s">
        <v>137</v>
      </c>
      <c r="O324" t="s">
        <v>74</v>
      </c>
      <c r="P324" t="s">
        <v>171</v>
      </c>
      <c r="Q324" t="s">
        <v>1072</v>
      </c>
      <c r="R324" t="s">
        <v>31</v>
      </c>
      <c r="S324" t="str">
        <f t="shared" si="69"/>
        <v>Second Class</v>
      </c>
      <c r="T324">
        <v>6</v>
      </c>
      <c r="U324">
        <v>1369.48</v>
      </c>
      <c r="V324">
        <v>0.15</v>
      </c>
      <c r="W324">
        <f t="shared" si="70"/>
        <v>0.15</v>
      </c>
      <c r="X324" t="str">
        <f t="shared" si="71"/>
        <v/>
      </c>
      <c r="Y324">
        <v>6984.35</v>
      </c>
      <c r="Z324">
        <f t="shared" si="72"/>
        <v>6984.3480000000009</v>
      </c>
      <c r="AA324">
        <v>4023.63</v>
      </c>
      <c r="AB324">
        <v>2960.72</v>
      </c>
      <c r="AC324">
        <f t="shared" si="73"/>
        <v>5614.8680000000004</v>
      </c>
      <c r="AD324" s="6">
        <f t="shared" si="74"/>
        <v>0.8039215686274509</v>
      </c>
      <c r="AE324" t="s">
        <v>32</v>
      </c>
      <c r="AF324" t="s">
        <v>33</v>
      </c>
      <c r="AG324">
        <f t="shared" si="75"/>
        <v>11</v>
      </c>
      <c r="AH324">
        <f t="shared" si="76"/>
        <v>2024</v>
      </c>
      <c r="AI324" t="str">
        <f t="shared" si="77"/>
        <v>CLEAN</v>
      </c>
    </row>
    <row r="325" spans="1:35">
      <c r="A325" t="s">
        <v>1073</v>
      </c>
      <c r="B325">
        <f t="shared" si="65"/>
        <v>1</v>
      </c>
      <c r="C325" t="str">
        <f>IF(COUNTIF($A$2:A325, A325)&gt;1, "DUPLICATE_FLAGGED_FOR_REVIEW", "")</f>
        <v/>
      </c>
      <c r="D325" s="3">
        <v>45347</v>
      </c>
      <c r="E325" s="2">
        <v>45351</v>
      </c>
      <c r="F325" s="2" t="str">
        <f t="shared" si="66"/>
        <v>OK</v>
      </c>
      <c r="G325" s="4">
        <f t="shared" si="67"/>
        <v>4</v>
      </c>
      <c r="H325" t="s">
        <v>1074</v>
      </c>
      <c r="I325" t="s">
        <v>47</v>
      </c>
      <c r="J325" t="s">
        <v>37</v>
      </c>
      <c r="K325" t="s">
        <v>63</v>
      </c>
      <c r="L325" t="str">
        <f t="shared" si="68"/>
        <v>West</v>
      </c>
      <c r="M325" t="s">
        <v>190</v>
      </c>
      <c r="N325" t="s">
        <v>191</v>
      </c>
      <c r="O325" t="s">
        <v>41</v>
      </c>
      <c r="P325" t="s">
        <v>57</v>
      </c>
      <c r="Q325" t="s">
        <v>150</v>
      </c>
      <c r="R325" t="s">
        <v>59</v>
      </c>
      <c r="S325" t="str">
        <f t="shared" si="69"/>
        <v>Standard Class</v>
      </c>
      <c r="T325">
        <v>9</v>
      </c>
      <c r="U325">
        <v>1331.46</v>
      </c>
      <c r="V325">
        <v>0.15</v>
      </c>
      <c r="W325">
        <f t="shared" si="70"/>
        <v>0.15</v>
      </c>
      <c r="X325" t="str">
        <f t="shared" si="71"/>
        <v/>
      </c>
      <c r="Y325">
        <v>10185.67</v>
      </c>
      <c r="Z325">
        <f t="shared" si="72"/>
        <v>10185.669</v>
      </c>
      <c r="AA325">
        <v>6479.31</v>
      </c>
      <c r="AB325">
        <v>3706.36</v>
      </c>
      <c r="AC325">
        <f t="shared" si="73"/>
        <v>8854.2089999999989</v>
      </c>
      <c r="AD325" s="6">
        <f t="shared" si="74"/>
        <v>0.8692810457516339</v>
      </c>
      <c r="AE325" t="s">
        <v>32</v>
      </c>
      <c r="AF325" t="s">
        <v>33</v>
      </c>
      <c r="AG325">
        <f t="shared" si="75"/>
        <v>2</v>
      </c>
      <c r="AH325">
        <f t="shared" si="76"/>
        <v>2024</v>
      </c>
      <c r="AI325" t="str">
        <f t="shared" si="77"/>
        <v>CLEAN</v>
      </c>
    </row>
    <row r="326" spans="1:35">
      <c r="A326" t="s">
        <v>1075</v>
      </c>
      <c r="B326">
        <f t="shared" si="65"/>
        <v>1</v>
      </c>
      <c r="C326" t="str">
        <f>IF(COUNTIF($A$2:A326, A326)&gt;1, "DUPLICATE_FLAGGED_FOR_REVIEW", "")</f>
        <v/>
      </c>
      <c r="D326" s="3">
        <v>45869</v>
      </c>
      <c r="E326" s="2">
        <v>45871</v>
      </c>
      <c r="F326" s="2" t="str">
        <f t="shared" si="66"/>
        <v>OK</v>
      </c>
      <c r="G326" s="4">
        <f t="shared" si="67"/>
        <v>2</v>
      </c>
      <c r="H326" t="s">
        <v>1076</v>
      </c>
      <c r="I326" t="s">
        <v>141</v>
      </c>
      <c r="J326" t="s">
        <v>95</v>
      </c>
      <c r="K326" t="s">
        <v>54</v>
      </c>
      <c r="L326" t="str">
        <f t="shared" si="68"/>
        <v>South</v>
      </c>
      <c r="M326" t="s">
        <v>84</v>
      </c>
      <c r="N326" t="s">
        <v>85</v>
      </c>
      <c r="O326" t="s">
        <v>28</v>
      </c>
      <c r="P326" t="s">
        <v>91</v>
      </c>
      <c r="Q326" t="s">
        <v>1077</v>
      </c>
      <c r="R326" t="s">
        <v>44</v>
      </c>
      <c r="S326" t="str">
        <f t="shared" si="69"/>
        <v>Same Day</v>
      </c>
      <c r="T326">
        <v>1</v>
      </c>
      <c r="U326">
        <v>1947.88</v>
      </c>
      <c r="V326">
        <v>0.15</v>
      </c>
      <c r="W326">
        <f t="shared" si="70"/>
        <v>0.15</v>
      </c>
      <c r="X326" t="str">
        <f t="shared" si="71"/>
        <v/>
      </c>
      <c r="Y326">
        <v>1655.7</v>
      </c>
      <c r="Z326">
        <f t="shared" si="72"/>
        <v>1655.6980000000001</v>
      </c>
      <c r="AA326">
        <v>1354.8</v>
      </c>
      <c r="AB326">
        <v>300.89999999999998</v>
      </c>
      <c r="AC326">
        <f t="shared" si="73"/>
        <v>-292.18200000000002</v>
      </c>
      <c r="AD326" s="6">
        <f t="shared" si="74"/>
        <v>-0.17647058823529413</v>
      </c>
      <c r="AE326" t="s">
        <v>32</v>
      </c>
      <c r="AF326" t="s">
        <v>103</v>
      </c>
      <c r="AG326">
        <f t="shared" si="75"/>
        <v>7</v>
      </c>
      <c r="AH326">
        <f t="shared" si="76"/>
        <v>2025</v>
      </c>
      <c r="AI326" t="str">
        <f t="shared" si="77"/>
        <v>CLEAN</v>
      </c>
    </row>
    <row r="327" spans="1:35">
      <c r="A327" t="s">
        <v>1078</v>
      </c>
      <c r="B327">
        <f t="shared" si="65"/>
        <v>1</v>
      </c>
      <c r="C327" t="str">
        <f>IF(COUNTIF($A$2:A327, A327)&gt;1, "DUPLICATE_FLAGGED_FOR_REVIEW", "")</f>
        <v/>
      </c>
      <c r="D327" s="3">
        <v>45916</v>
      </c>
      <c r="E327" s="2">
        <v>45922</v>
      </c>
      <c r="F327" s="2" t="str">
        <f t="shared" si="66"/>
        <v>OK</v>
      </c>
      <c r="G327" s="4">
        <f t="shared" si="67"/>
        <v>6</v>
      </c>
      <c r="H327" t="s">
        <v>1079</v>
      </c>
      <c r="I327" t="s">
        <v>132</v>
      </c>
      <c r="J327" t="s">
        <v>95</v>
      </c>
      <c r="K327" t="s">
        <v>38</v>
      </c>
      <c r="L327" t="str">
        <f t="shared" si="68"/>
        <v>East</v>
      </c>
      <c r="M327" t="s">
        <v>99</v>
      </c>
      <c r="N327" t="s">
        <v>100</v>
      </c>
      <c r="O327" t="s">
        <v>74</v>
      </c>
      <c r="P327" t="s">
        <v>80</v>
      </c>
      <c r="Q327" t="s">
        <v>1080</v>
      </c>
      <c r="R327" t="s">
        <v>31</v>
      </c>
      <c r="S327" t="str">
        <f t="shared" si="69"/>
        <v>Second Class</v>
      </c>
      <c r="T327">
        <v>5</v>
      </c>
      <c r="U327">
        <v>3671.2</v>
      </c>
      <c r="V327">
        <v>0.15</v>
      </c>
      <c r="W327">
        <f t="shared" si="70"/>
        <v>0.15</v>
      </c>
      <c r="X327" t="str">
        <f t="shared" si="71"/>
        <v/>
      </c>
      <c r="Y327">
        <v>15602.6</v>
      </c>
      <c r="Z327">
        <f t="shared" si="72"/>
        <v>15602.6</v>
      </c>
      <c r="AA327">
        <v>11908.52</v>
      </c>
      <c r="AB327">
        <v>3694.08</v>
      </c>
      <c r="AC327">
        <f t="shared" si="73"/>
        <v>11931.400000000001</v>
      </c>
      <c r="AD327" s="6">
        <f t="shared" si="74"/>
        <v>0.76470588235294124</v>
      </c>
      <c r="AE327" t="s">
        <v>32</v>
      </c>
      <c r="AF327" t="s">
        <v>33</v>
      </c>
      <c r="AG327">
        <f t="shared" si="75"/>
        <v>9</v>
      </c>
      <c r="AH327">
        <f t="shared" si="76"/>
        <v>2025</v>
      </c>
      <c r="AI327" t="str">
        <f t="shared" si="77"/>
        <v>CLEAN</v>
      </c>
    </row>
    <row r="328" spans="1:35">
      <c r="A328" t="s">
        <v>1081</v>
      </c>
      <c r="B328">
        <f t="shared" si="65"/>
        <v>1</v>
      </c>
      <c r="C328" t="str">
        <f>IF(COUNTIF($A$2:A328, A328)&gt;1, "DUPLICATE_FLAGGED_FOR_REVIEW", "")</f>
        <v/>
      </c>
      <c r="D328" s="3">
        <v>45860</v>
      </c>
      <c r="E328" s="2">
        <v>45860</v>
      </c>
      <c r="F328" s="2" t="str">
        <f t="shared" si="66"/>
        <v>OK</v>
      </c>
      <c r="G328" s="4">
        <f t="shared" si="67"/>
        <v>0</v>
      </c>
      <c r="H328" t="s">
        <v>1082</v>
      </c>
      <c r="I328" t="s">
        <v>132</v>
      </c>
      <c r="J328" t="s">
        <v>90</v>
      </c>
      <c r="K328" t="s">
        <v>38</v>
      </c>
      <c r="L328" t="str">
        <f t="shared" si="68"/>
        <v>East</v>
      </c>
      <c r="M328" t="s">
        <v>228</v>
      </c>
      <c r="N328" t="s">
        <v>229</v>
      </c>
      <c r="O328" t="s">
        <v>41</v>
      </c>
      <c r="P328" t="s">
        <v>57</v>
      </c>
      <c r="Q328" t="s">
        <v>1083</v>
      </c>
      <c r="R328" t="s">
        <v>44</v>
      </c>
      <c r="S328" t="str">
        <f t="shared" si="69"/>
        <v>Same Day</v>
      </c>
      <c r="T328">
        <v>5</v>
      </c>
      <c r="U328">
        <v>3187.05</v>
      </c>
      <c r="V328">
        <v>0.05</v>
      </c>
      <c r="W328">
        <f t="shared" si="70"/>
        <v>0.05</v>
      </c>
      <c r="X328" t="str">
        <f t="shared" si="71"/>
        <v/>
      </c>
      <c r="Y328">
        <v>15138.49</v>
      </c>
      <c r="Z328">
        <f t="shared" si="72"/>
        <v>15138.487499999999</v>
      </c>
      <c r="AA328">
        <v>11235.72</v>
      </c>
      <c r="AB328">
        <v>3902.77</v>
      </c>
      <c r="AC328">
        <f t="shared" si="73"/>
        <v>11951.4375</v>
      </c>
      <c r="AD328" s="6">
        <f t="shared" si="74"/>
        <v>0.78947368421052633</v>
      </c>
      <c r="AE328" t="s">
        <v>32</v>
      </c>
      <c r="AF328" t="s">
        <v>33</v>
      </c>
      <c r="AG328">
        <f t="shared" si="75"/>
        <v>7</v>
      </c>
      <c r="AH328">
        <f t="shared" si="76"/>
        <v>2025</v>
      </c>
      <c r="AI328" t="str">
        <f t="shared" si="77"/>
        <v>CLEAN</v>
      </c>
    </row>
    <row r="329" spans="1:35">
      <c r="A329" t="s">
        <v>1084</v>
      </c>
      <c r="B329">
        <f t="shared" si="65"/>
        <v>1</v>
      </c>
      <c r="C329" t="str">
        <f>IF(COUNTIF($A$2:A329, A329)&gt;1, "DUPLICATE_FLAGGED_FOR_REVIEW", "")</f>
        <v/>
      </c>
      <c r="D329" s="3">
        <v>45497</v>
      </c>
      <c r="E329" s="2">
        <v>45500</v>
      </c>
      <c r="F329" s="2" t="str">
        <f t="shared" si="66"/>
        <v>OK</v>
      </c>
      <c r="G329" s="4">
        <f t="shared" si="67"/>
        <v>3</v>
      </c>
      <c r="H329" t="s">
        <v>1085</v>
      </c>
      <c r="I329" t="s">
        <v>47</v>
      </c>
      <c r="J329" t="s">
        <v>24</v>
      </c>
      <c r="K329" t="s">
        <v>63</v>
      </c>
      <c r="L329" t="str">
        <f t="shared" si="68"/>
        <v>West</v>
      </c>
      <c r="M329" t="s">
        <v>26</v>
      </c>
      <c r="N329" t="s">
        <v>109</v>
      </c>
      <c r="O329" t="s">
        <v>74</v>
      </c>
      <c r="P329" t="s">
        <v>75</v>
      </c>
      <c r="Q329" t="s">
        <v>1086</v>
      </c>
      <c r="R329" t="s">
        <v>31</v>
      </c>
      <c r="S329" t="str">
        <f t="shared" si="69"/>
        <v>Second Class</v>
      </c>
      <c r="T329">
        <v>3</v>
      </c>
      <c r="U329">
        <v>1834.55</v>
      </c>
      <c r="V329">
        <v>0.2</v>
      </c>
      <c r="W329">
        <f t="shared" si="70"/>
        <v>0.2</v>
      </c>
      <c r="X329" t="str">
        <f t="shared" si="71"/>
        <v/>
      </c>
      <c r="Y329">
        <v>4402.92</v>
      </c>
      <c r="Z329">
        <f t="shared" si="72"/>
        <v>4402.92</v>
      </c>
      <c r="AA329">
        <v>2993.94</v>
      </c>
      <c r="AB329">
        <v>1408.98</v>
      </c>
      <c r="AC329">
        <f t="shared" si="73"/>
        <v>2568.37</v>
      </c>
      <c r="AD329" s="6">
        <f t="shared" si="74"/>
        <v>0.58333333333333326</v>
      </c>
      <c r="AE329" t="s">
        <v>111</v>
      </c>
      <c r="AF329" t="s">
        <v>68</v>
      </c>
      <c r="AG329">
        <f t="shared" si="75"/>
        <v>7</v>
      </c>
      <c r="AH329">
        <f t="shared" si="76"/>
        <v>2024</v>
      </c>
      <c r="AI329" t="str">
        <f t="shared" si="77"/>
        <v>CLEAN</v>
      </c>
    </row>
    <row r="330" spans="1:35">
      <c r="A330" t="s">
        <v>1087</v>
      </c>
      <c r="B330">
        <f t="shared" si="65"/>
        <v>1</v>
      </c>
      <c r="C330" t="str">
        <f>IF(COUNTIF($A$2:A330, A330)&gt;1, "DUPLICATE_FLAGGED_FOR_REVIEW", "")</f>
        <v/>
      </c>
      <c r="D330" s="3">
        <v>45806</v>
      </c>
      <c r="E330" s="2">
        <v>45812</v>
      </c>
      <c r="F330" s="2" t="str">
        <f t="shared" si="66"/>
        <v>OK</v>
      </c>
      <c r="G330" s="4">
        <f t="shared" si="67"/>
        <v>6</v>
      </c>
      <c r="H330" t="s">
        <v>1088</v>
      </c>
      <c r="I330" t="s">
        <v>162</v>
      </c>
      <c r="J330" t="s">
        <v>24</v>
      </c>
      <c r="K330" t="s">
        <v>63</v>
      </c>
      <c r="L330" t="str">
        <f t="shared" si="68"/>
        <v>West</v>
      </c>
      <c r="M330" t="s">
        <v>64</v>
      </c>
      <c r="N330" t="s">
        <v>65</v>
      </c>
      <c r="O330" t="s">
        <v>28</v>
      </c>
      <c r="P330" t="s">
        <v>124</v>
      </c>
      <c r="Q330" t="s">
        <v>1089</v>
      </c>
      <c r="R330" t="s">
        <v>50</v>
      </c>
      <c r="S330" t="str">
        <f t="shared" si="69"/>
        <v>First Class</v>
      </c>
      <c r="T330">
        <v>6</v>
      </c>
      <c r="U330">
        <v>3100.68</v>
      </c>
      <c r="V330">
        <v>0</v>
      </c>
      <c r="W330">
        <f t="shared" si="70"/>
        <v>0</v>
      </c>
      <c r="X330" t="str">
        <f t="shared" si="71"/>
        <v/>
      </c>
      <c r="Y330">
        <v>18604.080000000002</v>
      </c>
      <c r="Z330">
        <f t="shared" si="72"/>
        <v>18604.079999999998</v>
      </c>
      <c r="AA330">
        <v>15834.3</v>
      </c>
      <c r="AB330">
        <v>2769.78</v>
      </c>
      <c r="AC330">
        <f t="shared" si="73"/>
        <v>15503.399999999998</v>
      </c>
      <c r="AD330" s="6">
        <f t="shared" si="74"/>
        <v>0.83333333333333326</v>
      </c>
      <c r="AE330" t="s">
        <v>32</v>
      </c>
      <c r="AF330" t="s">
        <v>33</v>
      </c>
      <c r="AG330">
        <f t="shared" si="75"/>
        <v>5</v>
      </c>
      <c r="AH330">
        <f t="shared" si="76"/>
        <v>2025</v>
      </c>
      <c r="AI330" t="str">
        <f t="shared" si="77"/>
        <v>CLEAN</v>
      </c>
    </row>
    <row r="331" spans="1:35">
      <c r="A331" t="s">
        <v>1090</v>
      </c>
      <c r="B331">
        <f t="shared" si="65"/>
        <v>1</v>
      </c>
      <c r="C331" t="str">
        <f>IF(COUNTIF($A$2:A331, A331)&gt;1, "DUPLICATE_FLAGGED_FOR_REVIEW", "")</f>
        <v/>
      </c>
      <c r="D331" s="3">
        <v>45789</v>
      </c>
      <c r="E331" s="2">
        <v>45795</v>
      </c>
      <c r="F331" s="2" t="str">
        <f t="shared" si="66"/>
        <v>OK</v>
      </c>
      <c r="G331" s="4">
        <f t="shared" si="67"/>
        <v>6</v>
      </c>
      <c r="H331" t="s">
        <v>1091</v>
      </c>
      <c r="I331" t="s">
        <v>79</v>
      </c>
      <c r="J331" t="s">
        <v>37</v>
      </c>
      <c r="K331" t="s">
        <v>63</v>
      </c>
      <c r="L331" t="str">
        <f t="shared" si="68"/>
        <v>West</v>
      </c>
      <c r="M331" t="s">
        <v>64</v>
      </c>
      <c r="N331" t="s">
        <v>65</v>
      </c>
      <c r="O331" t="s">
        <v>28</v>
      </c>
      <c r="P331" t="s">
        <v>124</v>
      </c>
      <c r="Q331" t="s">
        <v>1092</v>
      </c>
      <c r="R331" t="s">
        <v>59</v>
      </c>
      <c r="S331" t="str">
        <f t="shared" si="69"/>
        <v>Standard Class</v>
      </c>
      <c r="T331">
        <v>4</v>
      </c>
      <c r="U331">
        <v>4053.03</v>
      </c>
      <c r="V331">
        <v>0.05</v>
      </c>
      <c r="W331">
        <f t="shared" si="70"/>
        <v>0.05</v>
      </c>
      <c r="X331" t="str">
        <f t="shared" si="71"/>
        <v/>
      </c>
      <c r="Y331">
        <v>15401.51</v>
      </c>
      <c r="Z331">
        <f t="shared" si="72"/>
        <v>15401.513999999999</v>
      </c>
      <c r="AA331">
        <v>8650.42</v>
      </c>
      <c r="AB331">
        <v>6751.09</v>
      </c>
      <c r="AC331">
        <f t="shared" si="73"/>
        <v>11348.483999999999</v>
      </c>
      <c r="AD331" s="6">
        <f t="shared" si="74"/>
        <v>0.73684210526315785</v>
      </c>
      <c r="AE331" t="s">
        <v>32</v>
      </c>
      <c r="AF331" t="s">
        <v>33</v>
      </c>
      <c r="AG331">
        <f t="shared" si="75"/>
        <v>5</v>
      </c>
      <c r="AH331">
        <f t="shared" si="76"/>
        <v>2025</v>
      </c>
      <c r="AI331" t="str">
        <f t="shared" si="77"/>
        <v>CLEAN</v>
      </c>
    </row>
    <row r="332" spans="1:35">
      <c r="A332" t="s">
        <v>1093</v>
      </c>
      <c r="B332">
        <f t="shared" si="65"/>
        <v>1</v>
      </c>
      <c r="C332" t="str">
        <f>IF(COUNTIF($A$2:A332, A332)&gt;1, "DUPLICATE_FLAGGED_FOR_REVIEW", "")</f>
        <v/>
      </c>
      <c r="D332" s="3">
        <v>45428</v>
      </c>
      <c r="E332" s="2">
        <v>45436</v>
      </c>
      <c r="F332" s="2" t="str">
        <f t="shared" si="66"/>
        <v>OK</v>
      </c>
      <c r="G332" s="4">
        <f t="shared" si="67"/>
        <v>8</v>
      </c>
      <c r="H332" t="s">
        <v>1094</v>
      </c>
      <c r="I332" t="s">
        <v>53</v>
      </c>
      <c r="J332" t="s">
        <v>95</v>
      </c>
      <c r="K332" t="s">
        <v>25</v>
      </c>
      <c r="L332" t="str">
        <f t="shared" si="68"/>
        <v>North</v>
      </c>
      <c r="M332" t="s">
        <v>122</v>
      </c>
      <c r="N332" t="s">
        <v>123</v>
      </c>
      <c r="O332" t="s">
        <v>74</v>
      </c>
      <c r="P332" t="s">
        <v>75</v>
      </c>
      <c r="Q332" t="s">
        <v>1095</v>
      </c>
      <c r="R332" t="s">
        <v>44</v>
      </c>
      <c r="S332" t="str">
        <f t="shared" si="69"/>
        <v>Same Day</v>
      </c>
      <c r="T332">
        <v>1</v>
      </c>
      <c r="U332">
        <v>783.09</v>
      </c>
      <c r="V332">
        <v>0</v>
      </c>
      <c r="W332">
        <f t="shared" si="70"/>
        <v>0</v>
      </c>
      <c r="X332" t="str">
        <f t="shared" si="71"/>
        <v/>
      </c>
      <c r="Y332">
        <v>783.09</v>
      </c>
      <c r="Z332">
        <f t="shared" si="72"/>
        <v>783.09</v>
      </c>
      <c r="AA332">
        <v>503.89</v>
      </c>
      <c r="AB332">
        <v>279.2</v>
      </c>
      <c r="AC332">
        <f t="shared" si="73"/>
        <v>0</v>
      </c>
      <c r="AD332" s="6">
        <f t="shared" si="74"/>
        <v>0</v>
      </c>
      <c r="AE332" t="s">
        <v>155</v>
      </c>
      <c r="AF332" t="s">
        <v>68</v>
      </c>
      <c r="AG332">
        <f t="shared" si="75"/>
        <v>5</v>
      </c>
      <c r="AH332">
        <f t="shared" si="76"/>
        <v>2024</v>
      </c>
      <c r="AI332" t="str">
        <f t="shared" si="77"/>
        <v>CLEAN</v>
      </c>
    </row>
    <row r="333" spans="1:35">
      <c r="A333" t="s">
        <v>1096</v>
      </c>
      <c r="B333">
        <f t="shared" si="65"/>
        <v>2</v>
      </c>
      <c r="C333" t="str">
        <f>IF(COUNTIF($A$2:A333, A333)&gt;1, "DUPLICATE_FLAGGED_FOR_REVIEW", "")</f>
        <v/>
      </c>
      <c r="D333" s="3">
        <v>45630</v>
      </c>
      <c r="E333" s="2">
        <v>45632</v>
      </c>
      <c r="F333" s="2" t="str">
        <f t="shared" si="66"/>
        <v>OK</v>
      </c>
      <c r="G333" s="4">
        <f t="shared" si="67"/>
        <v>2</v>
      </c>
      <c r="H333" t="s">
        <v>1097</v>
      </c>
      <c r="I333" t="s">
        <v>132</v>
      </c>
      <c r="J333" t="s">
        <v>95</v>
      </c>
      <c r="K333" t="s">
        <v>38</v>
      </c>
      <c r="L333" t="str">
        <f t="shared" si="68"/>
        <v>East</v>
      </c>
      <c r="M333" t="s">
        <v>39</v>
      </c>
      <c r="N333" t="s">
        <v>40</v>
      </c>
      <c r="O333" t="s">
        <v>28</v>
      </c>
      <c r="P333" t="s">
        <v>153</v>
      </c>
      <c r="Q333" t="s">
        <v>1098</v>
      </c>
      <c r="R333" t="s">
        <v>31</v>
      </c>
      <c r="S333" t="str">
        <f t="shared" si="69"/>
        <v>Second Class</v>
      </c>
      <c r="T333">
        <v>4</v>
      </c>
      <c r="U333">
        <v>2685.66</v>
      </c>
      <c r="V333">
        <v>0</v>
      </c>
      <c r="W333">
        <f t="shared" si="70"/>
        <v>0</v>
      </c>
      <c r="X333" t="str">
        <f t="shared" si="71"/>
        <v/>
      </c>
      <c r="Y333">
        <v>10742.64</v>
      </c>
      <c r="Z333">
        <f t="shared" si="72"/>
        <v>10742.64</v>
      </c>
      <c r="AA333">
        <v>6477.37</v>
      </c>
      <c r="AB333">
        <v>4265.2700000000004</v>
      </c>
      <c r="AC333">
        <f t="shared" si="73"/>
        <v>8056.98</v>
      </c>
      <c r="AD333" s="6">
        <f t="shared" si="74"/>
        <v>0.75</v>
      </c>
      <c r="AE333" t="s">
        <v>32</v>
      </c>
      <c r="AF333" t="s">
        <v>103</v>
      </c>
      <c r="AG333">
        <f t="shared" si="75"/>
        <v>12</v>
      </c>
      <c r="AH333">
        <f t="shared" si="76"/>
        <v>2024</v>
      </c>
      <c r="AI333" t="str">
        <f t="shared" si="77"/>
        <v>CLEAN</v>
      </c>
    </row>
    <row r="334" spans="1:35">
      <c r="A334" t="s">
        <v>1099</v>
      </c>
      <c r="B334">
        <f t="shared" si="65"/>
        <v>1</v>
      </c>
      <c r="C334" t="str">
        <f>IF(COUNTIF($A$2:A334, A334)&gt;1, "DUPLICATE_FLAGGED_FOR_REVIEW", "")</f>
        <v/>
      </c>
      <c r="D334" s="3">
        <v>45804</v>
      </c>
      <c r="E334" s="2">
        <v>45805</v>
      </c>
      <c r="F334" s="2" t="str">
        <f t="shared" si="66"/>
        <v>OK</v>
      </c>
      <c r="G334" s="4">
        <f t="shared" si="67"/>
        <v>1</v>
      </c>
      <c r="H334" t="s">
        <v>1100</v>
      </c>
      <c r="I334" t="s">
        <v>128</v>
      </c>
      <c r="J334" t="s">
        <v>24</v>
      </c>
      <c r="K334" t="s">
        <v>54</v>
      </c>
      <c r="L334" t="str">
        <f t="shared" si="68"/>
        <v>South</v>
      </c>
      <c r="M334" t="s">
        <v>84</v>
      </c>
      <c r="N334" t="s">
        <v>85</v>
      </c>
      <c r="O334" t="s">
        <v>74</v>
      </c>
      <c r="P334" t="s">
        <v>274</v>
      </c>
      <c r="Q334" t="s">
        <v>1101</v>
      </c>
      <c r="R334" t="s">
        <v>31</v>
      </c>
      <c r="S334" t="str">
        <f t="shared" si="69"/>
        <v>Second Class</v>
      </c>
      <c r="T334">
        <v>2</v>
      </c>
      <c r="U334">
        <v>3911.96</v>
      </c>
      <c r="V334">
        <v>0</v>
      </c>
      <c r="W334">
        <f t="shared" si="70"/>
        <v>0</v>
      </c>
      <c r="X334" t="str">
        <f t="shared" si="71"/>
        <v/>
      </c>
      <c r="Y334">
        <v>7823.92</v>
      </c>
      <c r="Z334">
        <f t="shared" si="72"/>
        <v>7823.92</v>
      </c>
      <c r="AA334">
        <v>6034.63</v>
      </c>
      <c r="AB334">
        <v>1789.29</v>
      </c>
      <c r="AC334">
        <f t="shared" si="73"/>
        <v>3911.96</v>
      </c>
      <c r="AD334" s="6">
        <f t="shared" si="74"/>
        <v>0.5</v>
      </c>
      <c r="AE334" t="s">
        <v>32</v>
      </c>
      <c r="AF334" t="s">
        <v>33</v>
      </c>
      <c r="AG334">
        <f t="shared" si="75"/>
        <v>5</v>
      </c>
      <c r="AH334">
        <f t="shared" si="76"/>
        <v>2025</v>
      </c>
      <c r="AI334" t="str">
        <f t="shared" si="77"/>
        <v>CLEAN</v>
      </c>
    </row>
    <row r="335" spans="1:35">
      <c r="A335" t="s">
        <v>1102</v>
      </c>
      <c r="B335">
        <f t="shared" si="65"/>
        <v>1</v>
      </c>
      <c r="C335" t="str">
        <f>IF(COUNTIF($A$2:A335, A335)&gt;1, "DUPLICATE_FLAGGED_FOR_REVIEW", "")</f>
        <v/>
      </c>
      <c r="D335" s="3">
        <v>45830</v>
      </c>
      <c r="E335" s="2">
        <v>45835</v>
      </c>
      <c r="F335" s="2" t="str">
        <f t="shared" si="66"/>
        <v>OK</v>
      </c>
      <c r="G335" s="4">
        <f t="shared" si="67"/>
        <v>5</v>
      </c>
      <c r="H335" t="s">
        <v>1103</v>
      </c>
      <c r="I335" t="s">
        <v>141</v>
      </c>
      <c r="J335" t="s">
        <v>95</v>
      </c>
      <c r="K335" t="s">
        <v>2760</v>
      </c>
      <c r="L335" t="str">
        <f t="shared" si="68"/>
        <v>Unknown</v>
      </c>
      <c r="M335" t="s">
        <v>350</v>
      </c>
      <c r="N335" t="s">
        <v>351</v>
      </c>
      <c r="O335" t="s">
        <v>74</v>
      </c>
      <c r="P335" t="s">
        <v>171</v>
      </c>
      <c r="Q335" t="s">
        <v>1104</v>
      </c>
      <c r="R335" t="s">
        <v>50</v>
      </c>
      <c r="S335" t="str">
        <f t="shared" si="69"/>
        <v>First Class</v>
      </c>
      <c r="T335">
        <v>2</v>
      </c>
      <c r="U335">
        <v>1468.05</v>
      </c>
      <c r="V335">
        <v>0</v>
      </c>
      <c r="W335">
        <f t="shared" si="70"/>
        <v>0</v>
      </c>
      <c r="X335" t="str">
        <f t="shared" si="71"/>
        <v/>
      </c>
      <c r="Y335">
        <v>2936.1</v>
      </c>
      <c r="Z335">
        <f t="shared" si="72"/>
        <v>2936.1</v>
      </c>
      <c r="AA335">
        <v>1923.1</v>
      </c>
      <c r="AB335">
        <v>1013</v>
      </c>
      <c r="AC335">
        <f t="shared" si="73"/>
        <v>1468.05</v>
      </c>
      <c r="AD335" s="6">
        <f t="shared" si="74"/>
        <v>0.5</v>
      </c>
      <c r="AE335" t="s">
        <v>32</v>
      </c>
      <c r="AF335" t="s">
        <v>33</v>
      </c>
      <c r="AG335">
        <f t="shared" si="75"/>
        <v>6</v>
      </c>
      <c r="AH335">
        <f t="shared" si="76"/>
        <v>2025</v>
      </c>
      <c r="AI335" t="str">
        <f t="shared" si="77"/>
        <v>WARNING</v>
      </c>
    </row>
    <row r="336" spans="1:35">
      <c r="A336" t="s">
        <v>1105</v>
      </c>
      <c r="B336">
        <f t="shared" si="65"/>
        <v>1</v>
      </c>
      <c r="C336" t="str">
        <f>IF(COUNTIF($A$2:A336, A336)&gt;1, "DUPLICATE_FLAGGED_FOR_REVIEW", "")</f>
        <v/>
      </c>
      <c r="D336" s="3">
        <v>45547</v>
      </c>
      <c r="E336" s="2">
        <v>45552</v>
      </c>
      <c r="F336" s="2" t="str">
        <f t="shared" si="66"/>
        <v>OK</v>
      </c>
      <c r="G336" s="4">
        <f t="shared" si="67"/>
        <v>5</v>
      </c>
      <c r="H336" t="s">
        <v>1106</v>
      </c>
      <c r="I336" t="s">
        <v>62</v>
      </c>
      <c r="J336" t="s">
        <v>24</v>
      </c>
      <c r="K336" t="s">
        <v>38</v>
      </c>
      <c r="L336" t="str">
        <f t="shared" si="68"/>
        <v>East</v>
      </c>
      <c r="M336" t="s">
        <v>228</v>
      </c>
      <c r="N336" t="s">
        <v>229</v>
      </c>
      <c r="O336" t="s">
        <v>28</v>
      </c>
      <c r="P336" t="s">
        <v>124</v>
      </c>
      <c r="Q336" t="s">
        <v>1107</v>
      </c>
      <c r="R336" t="s">
        <v>50</v>
      </c>
      <c r="S336" t="str">
        <f t="shared" si="69"/>
        <v>First Class</v>
      </c>
      <c r="T336">
        <v>9</v>
      </c>
      <c r="U336">
        <v>1921.47</v>
      </c>
      <c r="V336">
        <v>0.25</v>
      </c>
      <c r="W336">
        <f t="shared" si="70"/>
        <v>0.25</v>
      </c>
      <c r="X336" t="str">
        <f t="shared" si="71"/>
        <v/>
      </c>
      <c r="Y336">
        <v>12969.92</v>
      </c>
      <c r="Z336">
        <f t="shared" si="72"/>
        <v>12969.922500000001</v>
      </c>
      <c r="AA336">
        <v>9398.4599999999991</v>
      </c>
      <c r="AB336">
        <v>3571.46</v>
      </c>
      <c r="AC336">
        <f t="shared" si="73"/>
        <v>11048.452500000001</v>
      </c>
      <c r="AD336" s="6">
        <f t="shared" si="74"/>
        <v>0.85185185185185186</v>
      </c>
      <c r="AE336" t="s">
        <v>32</v>
      </c>
      <c r="AF336" t="s">
        <v>33</v>
      </c>
      <c r="AG336">
        <f t="shared" si="75"/>
        <v>9</v>
      </c>
      <c r="AH336">
        <f t="shared" si="76"/>
        <v>2024</v>
      </c>
      <c r="AI336" t="str">
        <f t="shared" si="77"/>
        <v>CLEAN</v>
      </c>
    </row>
    <row r="337" spans="1:35">
      <c r="A337" t="s">
        <v>1108</v>
      </c>
      <c r="B337">
        <f t="shared" si="65"/>
        <v>2</v>
      </c>
      <c r="C337" t="str">
        <f>IF(COUNTIF($A$2:A337, A337)&gt;1, "DUPLICATE_FLAGGED_FOR_REVIEW", "")</f>
        <v/>
      </c>
      <c r="D337" s="3">
        <v>45824</v>
      </c>
      <c r="E337" s="2">
        <v>45826</v>
      </c>
      <c r="F337" s="2" t="str">
        <f t="shared" si="66"/>
        <v>OK</v>
      </c>
      <c r="G337" s="4">
        <f t="shared" si="67"/>
        <v>2</v>
      </c>
      <c r="H337" t="s">
        <v>1109</v>
      </c>
      <c r="I337" t="s">
        <v>118</v>
      </c>
      <c r="J337" t="s">
        <v>95</v>
      </c>
      <c r="K337" t="s">
        <v>63</v>
      </c>
      <c r="L337" t="str">
        <f t="shared" si="68"/>
        <v>West</v>
      </c>
      <c r="M337" t="s">
        <v>72</v>
      </c>
      <c r="N337" t="s">
        <v>73</v>
      </c>
      <c r="O337" t="s">
        <v>28</v>
      </c>
      <c r="P337" t="s">
        <v>29</v>
      </c>
      <c r="Q337" t="s">
        <v>1110</v>
      </c>
      <c r="R337" t="s">
        <v>50</v>
      </c>
      <c r="S337" t="str">
        <f t="shared" si="69"/>
        <v>First Class</v>
      </c>
      <c r="T337">
        <v>3</v>
      </c>
      <c r="U337">
        <v>4289.37</v>
      </c>
      <c r="V337">
        <v>0.1</v>
      </c>
      <c r="W337">
        <f t="shared" si="70"/>
        <v>0.1</v>
      </c>
      <c r="X337" t="str">
        <f t="shared" si="71"/>
        <v/>
      </c>
      <c r="Y337">
        <v>11581.3</v>
      </c>
      <c r="Z337">
        <f t="shared" si="72"/>
        <v>11581.299000000001</v>
      </c>
      <c r="AA337">
        <v>6829.43</v>
      </c>
      <c r="AB337">
        <v>4751.87</v>
      </c>
      <c r="AC337">
        <f t="shared" si="73"/>
        <v>7291.929000000001</v>
      </c>
      <c r="AD337" s="6">
        <f t="shared" si="74"/>
        <v>0.62962962962962965</v>
      </c>
      <c r="AE337" t="s">
        <v>32</v>
      </c>
      <c r="AF337" t="s">
        <v>33</v>
      </c>
      <c r="AG337">
        <f t="shared" si="75"/>
        <v>6</v>
      </c>
      <c r="AH337">
        <f t="shared" si="76"/>
        <v>2025</v>
      </c>
      <c r="AI337" t="str">
        <f t="shared" si="77"/>
        <v>CLEAN</v>
      </c>
    </row>
    <row r="338" spans="1:35">
      <c r="A338" t="s">
        <v>1111</v>
      </c>
      <c r="B338">
        <f t="shared" si="65"/>
        <v>1</v>
      </c>
      <c r="C338" t="str">
        <f>IF(COUNTIF($A$2:A338, A338)&gt;1, "DUPLICATE_FLAGGED_FOR_REVIEW", "")</f>
        <v/>
      </c>
      <c r="D338" s="3">
        <v>45368</v>
      </c>
      <c r="E338" s="2">
        <v>45372</v>
      </c>
      <c r="F338" s="2" t="str">
        <f t="shared" si="66"/>
        <v>OK</v>
      </c>
      <c r="G338" s="4">
        <f t="shared" si="67"/>
        <v>4</v>
      </c>
      <c r="H338" t="s">
        <v>863</v>
      </c>
      <c r="I338" t="s">
        <v>128</v>
      </c>
      <c r="J338" t="s">
        <v>24</v>
      </c>
      <c r="K338" t="s">
        <v>25</v>
      </c>
      <c r="L338" t="str">
        <f t="shared" si="68"/>
        <v>North</v>
      </c>
      <c r="M338" t="s">
        <v>26</v>
      </c>
      <c r="N338" t="s">
        <v>27</v>
      </c>
      <c r="O338" t="s">
        <v>74</v>
      </c>
      <c r="P338" t="s">
        <v>80</v>
      </c>
      <c r="Q338" t="s">
        <v>1112</v>
      </c>
      <c r="R338" t="s">
        <v>50</v>
      </c>
      <c r="S338" t="str">
        <f t="shared" si="69"/>
        <v>First Class</v>
      </c>
      <c r="T338">
        <v>8</v>
      </c>
      <c r="U338">
        <v>1992.57</v>
      </c>
      <c r="V338">
        <v>0</v>
      </c>
      <c r="W338">
        <f t="shared" si="70"/>
        <v>0</v>
      </c>
      <c r="X338" t="str">
        <f t="shared" si="71"/>
        <v/>
      </c>
      <c r="Y338">
        <v>15940.56</v>
      </c>
      <c r="Z338">
        <f t="shared" si="72"/>
        <v>15940.56</v>
      </c>
      <c r="AA338">
        <v>12347.15</v>
      </c>
      <c r="AB338">
        <v>3593.41</v>
      </c>
      <c r="AC338">
        <f t="shared" si="73"/>
        <v>13947.99</v>
      </c>
      <c r="AD338" s="6">
        <f t="shared" si="74"/>
        <v>0.875</v>
      </c>
      <c r="AE338" t="s">
        <v>32</v>
      </c>
      <c r="AF338" t="s">
        <v>33</v>
      </c>
      <c r="AG338">
        <f t="shared" si="75"/>
        <v>3</v>
      </c>
      <c r="AH338">
        <f t="shared" si="76"/>
        <v>2024</v>
      </c>
      <c r="AI338" t="str">
        <f t="shared" si="77"/>
        <v>CLEAN</v>
      </c>
    </row>
    <row r="339" spans="1:35">
      <c r="A339" t="s">
        <v>1113</v>
      </c>
      <c r="B339">
        <f t="shared" si="65"/>
        <v>1</v>
      </c>
      <c r="C339" t="str">
        <f>IF(COUNTIF($A$2:A339, A339)&gt;1, "DUPLICATE_FLAGGED_FOR_REVIEW", "")</f>
        <v/>
      </c>
      <c r="D339" s="3">
        <v>45516</v>
      </c>
      <c r="E339" s="2">
        <v>45522</v>
      </c>
      <c r="F339" s="2" t="str">
        <f t="shared" si="66"/>
        <v>OK</v>
      </c>
      <c r="G339" s="4">
        <f t="shared" si="67"/>
        <v>6</v>
      </c>
      <c r="H339" t="s">
        <v>1114</v>
      </c>
      <c r="I339" t="s">
        <v>62</v>
      </c>
      <c r="J339" t="s">
        <v>24</v>
      </c>
      <c r="K339" t="s">
        <v>38</v>
      </c>
      <c r="L339" t="str">
        <f t="shared" si="68"/>
        <v>East</v>
      </c>
      <c r="M339" t="s">
        <v>166</v>
      </c>
      <c r="N339" t="s">
        <v>167</v>
      </c>
      <c r="O339" t="s">
        <v>28</v>
      </c>
      <c r="P339" t="s">
        <v>91</v>
      </c>
      <c r="Q339" t="s">
        <v>1115</v>
      </c>
      <c r="R339" t="s">
        <v>44</v>
      </c>
      <c r="S339" t="str">
        <f t="shared" si="69"/>
        <v>Same Day</v>
      </c>
      <c r="T339">
        <v>6</v>
      </c>
      <c r="U339">
        <v>1181.74</v>
      </c>
      <c r="V339">
        <v>0</v>
      </c>
      <c r="W339">
        <f t="shared" si="70"/>
        <v>0</v>
      </c>
      <c r="X339" t="str">
        <f t="shared" si="71"/>
        <v/>
      </c>
      <c r="Y339">
        <v>7090.44</v>
      </c>
      <c r="Z339">
        <f t="shared" si="72"/>
        <v>7090.4400000000005</v>
      </c>
      <c r="AA339">
        <v>5672.27</v>
      </c>
      <c r="AB339">
        <v>1262.8699999999999</v>
      </c>
      <c r="AC339">
        <f t="shared" si="73"/>
        <v>5908.7000000000007</v>
      </c>
      <c r="AD339" s="6">
        <f t="shared" si="74"/>
        <v>0.83333333333333337</v>
      </c>
      <c r="AE339" t="s">
        <v>32</v>
      </c>
      <c r="AF339" t="s">
        <v>33</v>
      </c>
      <c r="AG339">
        <f t="shared" si="75"/>
        <v>8</v>
      </c>
      <c r="AH339">
        <f t="shared" si="76"/>
        <v>2024</v>
      </c>
      <c r="AI339" t="str">
        <f t="shared" si="77"/>
        <v>CLEAN</v>
      </c>
    </row>
    <row r="340" spans="1:35">
      <c r="A340" t="s">
        <v>1116</v>
      </c>
      <c r="B340">
        <f t="shared" si="65"/>
        <v>1</v>
      </c>
      <c r="C340" t="str">
        <f>IF(COUNTIF($A$2:A340, A340)&gt;1, "DUPLICATE_FLAGGED_FOR_REVIEW", "")</f>
        <v/>
      </c>
      <c r="D340" s="3">
        <v>45634</v>
      </c>
      <c r="E340" s="2">
        <v>45516</v>
      </c>
      <c r="F340" s="2" t="str">
        <f t="shared" si="66"/>
        <v>ERROR: Ship before order</v>
      </c>
      <c r="G340" s="4">
        <f t="shared" si="67"/>
        <v>-118</v>
      </c>
      <c r="H340" t="s">
        <v>1117</v>
      </c>
      <c r="I340" t="s">
        <v>53</v>
      </c>
      <c r="J340" t="s">
        <v>37</v>
      </c>
      <c r="K340" t="s">
        <v>54</v>
      </c>
      <c r="L340" t="str">
        <f t="shared" si="68"/>
        <v>South</v>
      </c>
      <c r="M340" t="s">
        <v>84</v>
      </c>
      <c r="N340" t="s">
        <v>85</v>
      </c>
      <c r="O340" t="s">
        <v>74</v>
      </c>
      <c r="P340" t="s">
        <v>75</v>
      </c>
      <c r="Q340" t="s">
        <v>1118</v>
      </c>
      <c r="R340" t="s">
        <v>50</v>
      </c>
      <c r="S340" t="str">
        <f t="shared" si="69"/>
        <v>First Class</v>
      </c>
      <c r="T340">
        <v>8</v>
      </c>
      <c r="U340">
        <v>4402.3599999999997</v>
      </c>
      <c r="V340">
        <v>0.25</v>
      </c>
      <c r="W340">
        <f t="shared" si="70"/>
        <v>0.25</v>
      </c>
      <c r="X340" t="str">
        <f t="shared" si="71"/>
        <v/>
      </c>
      <c r="Y340">
        <v>26414.16</v>
      </c>
      <c r="Z340">
        <f t="shared" si="72"/>
        <v>26414.159999999996</v>
      </c>
      <c r="AA340">
        <v>21822.53</v>
      </c>
      <c r="AB340">
        <v>4591.63</v>
      </c>
      <c r="AC340">
        <f t="shared" si="73"/>
        <v>22011.799999999996</v>
      </c>
      <c r="AD340" s="6">
        <f t="shared" si="74"/>
        <v>0.83333333333333326</v>
      </c>
      <c r="AE340" t="s">
        <v>32</v>
      </c>
      <c r="AF340" t="s">
        <v>33</v>
      </c>
      <c r="AG340">
        <f t="shared" si="75"/>
        <v>12</v>
      </c>
      <c r="AH340">
        <f t="shared" si="76"/>
        <v>2024</v>
      </c>
      <c r="AI340" t="str">
        <f t="shared" si="77"/>
        <v>INVALID</v>
      </c>
    </row>
    <row r="341" spans="1:35">
      <c r="A341" t="s">
        <v>1119</v>
      </c>
      <c r="B341">
        <f t="shared" si="65"/>
        <v>1</v>
      </c>
      <c r="C341" t="str">
        <f>IF(COUNTIF($A$2:A341, A341)&gt;1, "DUPLICATE_FLAGGED_FOR_REVIEW", "")</f>
        <v/>
      </c>
      <c r="D341" s="3">
        <v>45708</v>
      </c>
      <c r="E341" s="2">
        <v>45710</v>
      </c>
      <c r="F341" s="2" t="str">
        <f t="shared" si="66"/>
        <v>OK</v>
      </c>
      <c r="G341" s="4">
        <f t="shared" si="67"/>
        <v>2</v>
      </c>
      <c r="H341" t="s">
        <v>1120</v>
      </c>
      <c r="I341" t="s">
        <v>79</v>
      </c>
      <c r="J341" t="s">
        <v>90</v>
      </c>
      <c r="K341" t="s">
        <v>38</v>
      </c>
      <c r="L341" t="str">
        <f t="shared" si="68"/>
        <v>East</v>
      </c>
      <c r="M341" t="s">
        <v>228</v>
      </c>
      <c r="N341" t="s">
        <v>229</v>
      </c>
      <c r="O341" t="s">
        <v>41</v>
      </c>
      <c r="P341" t="s">
        <v>158</v>
      </c>
      <c r="Q341" t="s">
        <v>1121</v>
      </c>
      <c r="R341" t="s">
        <v>59</v>
      </c>
      <c r="S341" t="str">
        <f t="shared" si="69"/>
        <v>Standard Class</v>
      </c>
      <c r="T341">
        <v>8</v>
      </c>
      <c r="U341">
        <v>3265.76</v>
      </c>
      <c r="V341">
        <v>0.2</v>
      </c>
      <c r="W341">
        <f t="shared" si="70"/>
        <v>0.2</v>
      </c>
      <c r="X341" t="str">
        <f t="shared" si="71"/>
        <v/>
      </c>
      <c r="Y341">
        <v>20900.86</v>
      </c>
      <c r="Z341">
        <f t="shared" si="72"/>
        <v>20900.864000000001</v>
      </c>
      <c r="AA341">
        <v>12513.14</v>
      </c>
      <c r="AB341">
        <v>8387.7199999999993</v>
      </c>
      <c r="AC341">
        <f t="shared" si="73"/>
        <v>17635.103999999999</v>
      </c>
      <c r="AD341" s="6">
        <f t="shared" si="74"/>
        <v>0.84374999999999989</v>
      </c>
      <c r="AE341" t="s">
        <v>32</v>
      </c>
      <c r="AF341" t="s">
        <v>33</v>
      </c>
      <c r="AG341">
        <f t="shared" si="75"/>
        <v>2</v>
      </c>
      <c r="AH341">
        <f t="shared" si="76"/>
        <v>2025</v>
      </c>
      <c r="AI341" t="str">
        <f t="shared" si="77"/>
        <v>CLEAN</v>
      </c>
    </row>
    <row r="342" spans="1:35">
      <c r="A342" t="s">
        <v>1122</v>
      </c>
      <c r="B342">
        <f t="shared" si="65"/>
        <v>1</v>
      </c>
      <c r="C342" t="str">
        <f>IF(COUNTIF($A$2:A342, A342)&gt;1, "DUPLICATE_FLAGGED_FOR_REVIEW", "")</f>
        <v/>
      </c>
      <c r="D342" s="3">
        <v>45312</v>
      </c>
      <c r="E342" s="2">
        <v>45320</v>
      </c>
      <c r="F342" s="2" t="str">
        <f t="shared" si="66"/>
        <v>OK</v>
      </c>
      <c r="G342" s="4">
        <f t="shared" si="67"/>
        <v>8</v>
      </c>
      <c r="H342" t="s">
        <v>1123</v>
      </c>
      <c r="I342" t="s">
        <v>79</v>
      </c>
      <c r="J342" t="s">
        <v>24</v>
      </c>
      <c r="K342" t="s">
        <v>54</v>
      </c>
      <c r="L342" t="str">
        <f t="shared" si="68"/>
        <v>South</v>
      </c>
      <c r="M342" t="s">
        <v>175</v>
      </c>
      <c r="N342" t="s">
        <v>176</v>
      </c>
      <c r="O342" t="s">
        <v>28</v>
      </c>
      <c r="P342" t="s">
        <v>153</v>
      </c>
      <c r="Q342" t="s">
        <v>1124</v>
      </c>
      <c r="R342" t="s">
        <v>59</v>
      </c>
      <c r="S342" t="str">
        <f t="shared" si="69"/>
        <v>Standard Class</v>
      </c>
      <c r="T342">
        <v>5</v>
      </c>
      <c r="U342">
        <v>4058.08</v>
      </c>
      <c r="V342">
        <v>0.1</v>
      </c>
      <c r="W342">
        <f t="shared" si="70"/>
        <v>0.1</v>
      </c>
      <c r="X342" t="str">
        <f t="shared" si="71"/>
        <v/>
      </c>
      <c r="Y342">
        <v>18261.36</v>
      </c>
      <c r="Z342">
        <f t="shared" si="72"/>
        <v>18261.36</v>
      </c>
      <c r="AA342">
        <v>11399.94</v>
      </c>
      <c r="AB342">
        <v>6861.42</v>
      </c>
      <c r="AC342">
        <f t="shared" si="73"/>
        <v>14203.28</v>
      </c>
      <c r="AD342" s="6">
        <f t="shared" si="74"/>
        <v>0.77777777777777779</v>
      </c>
      <c r="AE342" t="s">
        <v>32</v>
      </c>
      <c r="AF342" t="s">
        <v>33</v>
      </c>
      <c r="AG342">
        <f t="shared" si="75"/>
        <v>1</v>
      </c>
      <c r="AH342">
        <f t="shared" si="76"/>
        <v>2024</v>
      </c>
      <c r="AI342" t="str">
        <f t="shared" si="77"/>
        <v>CLEAN</v>
      </c>
    </row>
    <row r="343" spans="1:35">
      <c r="A343" t="s">
        <v>1125</v>
      </c>
      <c r="B343">
        <f t="shared" si="65"/>
        <v>1</v>
      </c>
      <c r="C343" t="str">
        <f>IF(COUNTIF($A$2:A343, A343)&gt;1, "DUPLICATE_FLAGGED_FOR_REVIEW", "")</f>
        <v/>
      </c>
      <c r="D343" s="3">
        <v>45908</v>
      </c>
      <c r="E343" s="2">
        <v>45909</v>
      </c>
      <c r="F343" s="2" t="str">
        <f t="shared" si="66"/>
        <v>OK</v>
      </c>
      <c r="G343" s="4">
        <f t="shared" si="67"/>
        <v>1</v>
      </c>
      <c r="H343" t="s">
        <v>1126</v>
      </c>
      <c r="I343" t="s">
        <v>141</v>
      </c>
      <c r="J343" t="s">
        <v>95</v>
      </c>
      <c r="K343" t="s">
        <v>63</v>
      </c>
      <c r="L343" t="str">
        <f t="shared" si="68"/>
        <v>West</v>
      </c>
      <c r="M343" t="s">
        <v>180</v>
      </c>
      <c r="N343" t="s">
        <v>181</v>
      </c>
      <c r="O343" t="s">
        <v>41</v>
      </c>
      <c r="P343" t="s">
        <v>66</v>
      </c>
      <c r="Q343" t="s">
        <v>1127</v>
      </c>
      <c r="R343" t="s">
        <v>31</v>
      </c>
      <c r="S343" t="str">
        <f t="shared" si="69"/>
        <v>Second Class</v>
      </c>
      <c r="T343">
        <v>2</v>
      </c>
      <c r="U343">
        <v>3960.33</v>
      </c>
      <c r="V343">
        <v>0.05</v>
      </c>
      <c r="W343">
        <f t="shared" si="70"/>
        <v>0.05</v>
      </c>
      <c r="X343" t="str">
        <f t="shared" si="71"/>
        <v/>
      </c>
      <c r="Y343">
        <v>7524.63</v>
      </c>
      <c r="Z343">
        <f t="shared" si="72"/>
        <v>7524.6269999999995</v>
      </c>
      <c r="AA343">
        <v>6229.6</v>
      </c>
      <c r="AB343">
        <v>1295.03</v>
      </c>
      <c r="AC343">
        <f t="shared" si="73"/>
        <v>3564.2969999999996</v>
      </c>
      <c r="AD343" s="6">
        <f t="shared" si="74"/>
        <v>0.47368421052631576</v>
      </c>
      <c r="AE343" t="s">
        <v>32</v>
      </c>
      <c r="AF343" t="s">
        <v>33</v>
      </c>
      <c r="AG343">
        <f t="shared" si="75"/>
        <v>9</v>
      </c>
      <c r="AH343">
        <f t="shared" si="76"/>
        <v>2025</v>
      </c>
      <c r="AI343" t="str">
        <f t="shared" si="77"/>
        <v>CLEAN</v>
      </c>
    </row>
    <row r="344" spans="1:35">
      <c r="A344" t="s">
        <v>1128</v>
      </c>
      <c r="B344">
        <f t="shared" si="65"/>
        <v>1</v>
      </c>
      <c r="C344" t="str">
        <f>IF(COUNTIF($A$2:A344, A344)&gt;1, "DUPLICATE_FLAGGED_FOR_REVIEW", "")</f>
        <v/>
      </c>
      <c r="D344" s="3">
        <v>45862</v>
      </c>
      <c r="E344" s="2">
        <v>45870</v>
      </c>
      <c r="F344" s="2" t="str">
        <f t="shared" si="66"/>
        <v>OK</v>
      </c>
      <c r="G344" s="4">
        <f t="shared" si="67"/>
        <v>8</v>
      </c>
      <c r="H344" t="s">
        <v>1129</v>
      </c>
      <c r="I344" t="s">
        <v>264</v>
      </c>
      <c r="J344" t="s">
        <v>37</v>
      </c>
      <c r="K344" t="s">
        <v>38</v>
      </c>
      <c r="L344" t="str">
        <f t="shared" si="68"/>
        <v>East</v>
      </c>
      <c r="M344" t="s">
        <v>228</v>
      </c>
      <c r="N344" t="s">
        <v>229</v>
      </c>
      <c r="O344" t="s">
        <v>28</v>
      </c>
      <c r="P344" t="s">
        <v>153</v>
      </c>
      <c r="Q344" t="s">
        <v>1130</v>
      </c>
      <c r="R344" t="s">
        <v>50</v>
      </c>
      <c r="S344" t="str">
        <f t="shared" si="69"/>
        <v>First Class</v>
      </c>
      <c r="T344">
        <v>8</v>
      </c>
      <c r="U344">
        <v>1528.92</v>
      </c>
      <c r="V344">
        <v>0</v>
      </c>
      <c r="W344">
        <f t="shared" si="70"/>
        <v>0</v>
      </c>
      <c r="X344" t="str">
        <f t="shared" si="71"/>
        <v/>
      </c>
      <c r="Y344">
        <v>12231.36</v>
      </c>
      <c r="Z344">
        <f t="shared" si="72"/>
        <v>12231.36</v>
      </c>
      <c r="AA344">
        <v>8766.9</v>
      </c>
      <c r="AB344">
        <v>3464.46</v>
      </c>
      <c r="AC344">
        <f t="shared" si="73"/>
        <v>10702.44</v>
      </c>
      <c r="AD344" s="6">
        <f t="shared" si="74"/>
        <v>0.875</v>
      </c>
      <c r="AE344" t="s">
        <v>32</v>
      </c>
      <c r="AF344" t="s">
        <v>33</v>
      </c>
      <c r="AG344">
        <f t="shared" si="75"/>
        <v>7</v>
      </c>
      <c r="AH344">
        <f t="shared" si="76"/>
        <v>2025</v>
      </c>
      <c r="AI344" t="str">
        <f t="shared" si="77"/>
        <v>CLEAN</v>
      </c>
    </row>
    <row r="345" spans="1:35">
      <c r="A345" t="s">
        <v>1131</v>
      </c>
      <c r="B345">
        <f t="shared" si="65"/>
        <v>1</v>
      </c>
      <c r="C345" t="str">
        <f>IF(COUNTIF($A$2:A345, A345)&gt;1, "DUPLICATE_FLAGGED_FOR_REVIEW", "")</f>
        <v/>
      </c>
      <c r="D345" s="3">
        <v>45726</v>
      </c>
      <c r="E345" s="2">
        <v>45938</v>
      </c>
      <c r="F345" s="2" t="str">
        <f t="shared" si="66"/>
        <v>OK</v>
      </c>
      <c r="G345" s="4">
        <f t="shared" si="67"/>
        <v>212</v>
      </c>
      <c r="H345" t="s">
        <v>1132</v>
      </c>
      <c r="I345" t="s">
        <v>128</v>
      </c>
      <c r="J345" t="s">
        <v>90</v>
      </c>
      <c r="K345" t="s">
        <v>63</v>
      </c>
      <c r="L345" t="str">
        <f t="shared" si="68"/>
        <v>West</v>
      </c>
      <c r="M345" t="s">
        <v>72</v>
      </c>
      <c r="N345" t="s">
        <v>73</v>
      </c>
      <c r="O345" t="s">
        <v>74</v>
      </c>
      <c r="P345" t="s">
        <v>274</v>
      </c>
      <c r="Q345" t="s">
        <v>1133</v>
      </c>
      <c r="R345" t="s">
        <v>44</v>
      </c>
      <c r="S345" t="str">
        <f t="shared" si="69"/>
        <v>Same Day</v>
      </c>
      <c r="T345">
        <v>9</v>
      </c>
      <c r="U345">
        <v>3837</v>
      </c>
      <c r="V345">
        <v>0.1</v>
      </c>
      <c r="W345">
        <f t="shared" si="70"/>
        <v>0.1</v>
      </c>
      <c r="X345" t="str">
        <f t="shared" si="71"/>
        <v/>
      </c>
      <c r="Y345">
        <v>31079.7</v>
      </c>
      <c r="Z345">
        <f t="shared" si="72"/>
        <v>31079.7</v>
      </c>
      <c r="AA345">
        <v>17758.25</v>
      </c>
      <c r="AB345">
        <v>13321.45</v>
      </c>
      <c r="AC345">
        <f t="shared" si="73"/>
        <v>27242.7</v>
      </c>
      <c r="AD345" s="6">
        <f t="shared" si="74"/>
        <v>0.87654320987654322</v>
      </c>
      <c r="AE345" t="s">
        <v>32</v>
      </c>
      <c r="AF345" t="s">
        <v>33</v>
      </c>
      <c r="AG345">
        <f t="shared" si="75"/>
        <v>3</v>
      </c>
      <c r="AH345">
        <f t="shared" si="76"/>
        <v>2025</v>
      </c>
      <c r="AI345" t="str">
        <f t="shared" si="77"/>
        <v>CLEAN</v>
      </c>
    </row>
    <row r="346" spans="1:35">
      <c r="A346" t="s">
        <v>1134</v>
      </c>
      <c r="B346">
        <f t="shared" si="65"/>
        <v>1</v>
      </c>
      <c r="C346" t="str">
        <f>IF(COUNTIF($A$2:A346, A346)&gt;1, "DUPLICATE_FLAGGED_FOR_REVIEW", "")</f>
        <v/>
      </c>
      <c r="D346" s="3">
        <v>45362</v>
      </c>
      <c r="E346" s="2">
        <v>45362</v>
      </c>
      <c r="F346" s="2" t="str">
        <f t="shared" si="66"/>
        <v>OK</v>
      </c>
      <c r="G346" s="4">
        <f t="shared" si="67"/>
        <v>0</v>
      </c>
      <c r="H346" t="s">
        <v>1135</v>
      </c>
      <c r="I346" t="s">
        <v>114</v>
      </c>
      <c r="J346" t="s">
        <v>24</v>
      </c>
      <c r="K346" t="s">
        <v>25</v>
      </c>
      <c r="L346" t="str">
        <f t="shared" si="68"/>
        <v>North</v>
      </c>
      <c r="M346" t="s">
        <v>122</v>
      </c>
      <c r="N346" t="s">
        <v>123</v>
      </c>
      <c r="O346" t="s">
        <v>41</v>
      </c>
      <c r="P346" t="s">
        <v>158</v>
      </c>
      <c r="Q346" t="s">
        <v>1136</v>
      </c>
      <c r="R346" t="s">
        <v>44</v>
      </c>
      <c r="S346" t="str">
        <f t="shared" si="69"/>
        <v>Same Day</v>
      </c>
      <c r="T346">
        <v>9</v>
      </c>
      <c r="U346">
        <v>3456.38</v>
      </c>
      <c r="V346">
        <v>0</v>
      </c>
      <c r="W346">
        <f t="shared" si="70"/>
        <v>0</v>
      </c>
      <c r="X346" t="str">
        <f t="shared" si="71"/>
        <v/>
      </c>
      <c r="Y346">
        <v>31107.42</v>
      </c>
      <c r="Z346">
        <f t="shared" si="72"/>
        <v>31107.420000000002</v>
      </c>
      <c r="AA346">
        <v>20146.66</v>
      </c>
      <c r="AB346">
        <v>10960.76</v>
      </c>
      <c r="AC346">
        <f t="shared" si="73"/>
        <v>27651.040000000001</v>
      </c>
      <c r="AD346" s="6">
        <f t="shared" si="74"/>
        <v>0.88888888888888884</v>
      </c>
      <c r="AE346" t="s">
        <v>111</v>
      </c>
      <c r="AF346" t="s">
        <v>103</v>
      </c>
      <c r="AG346">
        <f t="shared" si="75"/>
        <v>3</v>
      </c>
      <c r="AH346">
        <f t="shared" si="76"/>
        <v>2024</v>
      </c>
      <c r="AI346" t="str">
        <f t="shared" si="77"/>
        <v>CLEAN</v>
      </c>
    </row>
    <row r="347" spans="1:35">
      <c r="A347" t="s">
        <v>1137</v>
      </c>
      <c r="B347">
        <f t="shared" si="65"/>
        <v>1</v>
      </c>
      <c r="C347" t="str">
        <f>IF(COUNTIF($A$2:A347, A347)&gt;1, "DUPLICATE_FLAGGED_FOR_REVIEW", "")</f>
        <v/>
      </c>
      <c r="D347" s="3">
        <v>45549</v>
      </c>
      <c r="E347" s="2">
        <v>45557</v>
      </c>
      <c r="F347" s="2" t="str">
        <f t="shared" si="66"/>
        <v>OK</v>
      </c>
      <c r="G347" s="4">
        <f t="shared" si="67"/>
        <v>8</v>
      </c>
      <c r="H347" t="s">
        <v>1138</v>
      </c>
      <c r="I347" t="s">
        <v>23</v>
      </c>
      <c r="J347" t="s">
        <v>24</v>
      </c>
      <c r="K347" t="s">
        <v>63</v>
      </c>
      <c r="L347" t="str">
        <f t="shared" si="68"/>
        <v>West</v>
      </c>
      <c r="M347" t="s">
        <v>72</v>
      </c>
      <c r="N347" t="s">
        <v>73</v>
      </c>
      <c r="O347" t="s">
        <v>41</v>
      </c>
      <c r="P347" t="s">
        <v>57</v>
      </c>
      <c r="Q347" t="s">
        <v>1139</v>
      </c>
      <c r="R347" t="s">
        <v>31</v>
      </c>
      <c r="S347" t="str">
        <f t="shared" si="69"/>
        <v>Second Class</v>
      </c>
      <c r="T347">
        <v>2</v>
      </c>
      <c r="U347">
        <v>2765.3</v>
      </c>
      <c r="V347">
        <v>0</v>
      </c>
      <c r="W347">
        <f t="shared" si="70"/>
        <v>0</v>
      </c>
      <c r="X347" t="str">
        <f t="shared" si="71"/>
        <v/>
      </c>
      <c r="Y347">
        <v>5530.6</v>
      </c>
      <c r="Z347">
        <f t="shared" si="72"/>
        <v>5530.6</v>
      </c>
      <c r="AA347">
        <v>4453.1099999999997</v>
      </c>
      <c r="AB347">
        <v>1077.49</v>
      </c>
      <c r="AC347">
        <f t="shared" si="73"/>
        <v>2765.3</v>
      </c>
      <c r="AD347" s="6">
        <f t="shared" si="74"/>
        <v>0.5</v>
      </c>
      <c r="AE347" t="s">
        <v>32</v>
      </c>
      <c r="AF347" t="s">
        <v>33</v>
      </c>
      <c r="AG347">
        <f t="shared" si="75"/>
        <v>9</v>
      </c>
      <c r="AH347">
        <f t="shared" si="76"/>
        <v>2024</v>
      </c>
      <c r="AI347" t="str">
        <f t="shared" si="77"/>
        <v>CLEAN</v>
      </c>
    </row>
    <row r="348" spans="1:35">
      <c r="A348" t="s">
        <v>1140</v>
      </c>
      <c r="B348">
        <f t="shared" si="65"/>
        <v>1</v>
      </c>
      <c r="C348" t="str">
        <f>IF(COUNTIF($A$2:A348, A348)&gt;1, "DUPLICATE_FLAGGED_FOR_REVIEW", "")</f>
        <v/>
      </c>
      <c r="D348" s="3">
        <v>45860</v>
      </c>
      <c r="E348" s="2">
        <v>45866</v>
      </c>
      <c r="F348" s="2" t="str">
        <f t="shared" si="66"/>
        <v>OK</v>
      </c>
      <c r="G348" s="4">
        <f t="shared" si="67"/>
        <v>6</v>
      </c>
      <c r="H348" t="s">
        <v>1141</v>
      </c>
      <c r="I348" t="s">
        <v>118</v>
      </c>
      <c r="J348" t="s">
        <v>90</v>
      </c>
      <c r="K348" t="s">
        <v>54</v>
      </c>
      <c r="L348" t="str">
        <f t="shared" si="68"/>
        <v>South</v>
      </c>
      <c r="M348" t="s">
        <v>185</v>
      </c>
      <c r="N348" t="s">
        <v>186</v>
      </c>
      <c r="O348" t="s">
        <v>41</v>
      </c>
      <c r="P348" t="s">
        <v>66</v>
      </c>
      <c r="Q348" t="s">
        <v>1142</v>
      </c>
      <c r="R348" t="s">
        <v>31</v>
      </c>
      <c r="S348" t="str">
        <f t="shared" si="69"/>
        <v>Second Class</v>
      </c>
      <c r="T348">
        <v>6</v>
      </c>
      <c r="U348">
        <v>1607.46</v>
      </c>
      <c r="V348">
        <v>0.2</v>
      </c>
      <c r="W348">
        <f t="shared" si="70"/>
        <v>0.2</v>
      </c>
      <c r="X348" t="str">
        <f t="shared" si="71"/>
        <v/>
      </c>
      <c r="Y348">
        <v>7715.81</v>
      </c>
      <c r="Z348">
        <f t="shared" si="72"/>
        <v>7715.8080000000009</v>
      </c>
      <c r="AA348">
        <v>4258.42</v>
      </c>
      <c r="AB348">
        <v>3457.39</v>
      </c>
      <c r="AC348">
        <f t="shared" si="73"/>
        <v>6108.3480000000009</v>
      </c>
      <c r="AD348" s="6">
        <f t="shared" si="74"/>
        <v>0.79166666666666674</v>
      </c>
      <c r="AE348" t="s">
        <v>32</v>
      </c>
      <c r="AF348" t="s">
        <v>33</v>
      </c>
      <c r="AG348">
        <f t="shared" si="75"/>
        <v>7</v>
      </c>
      <c r="AH348">
        <f t="shared" si="76"/>
        <v>2025</v>
      </c>
      <c r="AI348" t="str">
        <f t="shared" si="77"/>
        <v>CLEAN</v>
      </c>
    </row>
    <row r="349" spans="1:35">
      <c r="A349" t="s">
        <v>1143</v>
      </c>
      <c r="B349">
        <f t="shared" si="65"/>
        <v>1</v>
      </c>
      <c r="C349" t="str">
        <f>IF(COUNTIF($A$2:A349, A349)&gt;1, "DUPLICATE_FLAGGED_FOR_REVIEW", "")</f>
        <v/>
      </c>
      <c r="D349" s="3">
        <v>45627</v>
      </c>
      <c r="E349" s="2">
        <v>45516</v>
      </c>
      <c r="F349" s="2" t="str">
        <f t="shared" si="66"/>
        <v>ERROR: Ship before order</v>
      </c>
      <c r="G349" s="4">
        <f t="shared" si="67"/>
        <v>-111</v>
      </c>
      <c r="H349" t="s">
        <v>1144</v>
      </c>
      <c r="I349" t="s">
        <v>128</v>
      </c>
      <c r="J349" t="s">
        <v>37</v>
      </c>
      <c r="K349" t="s">
        <v>63</v>
      </c>
      <c r="L349" t="str">
        <f t="shared" si="68"/>
        <v>West</v>
      </c>
      <c r="M349" t="s">
        <v>190</v>
      </c>
      <c r="N349" t="s">
        <v>191</v>
      </c>
      <c r="O349" t="s">
        <v>41</v>
      </c>
      <c r="P349" t="s">
        <v>66</v>
      </c>
      <c r="Q349" t="s">
        <v>1145</v>
      </c>
      <c r="R349" t="s">
        <v>31</v>
      </c>
      <c r="S349" t="str">
        <f t="shared" si="69"/>
        <v>Second Class</v>
      </c>
      <c r="T349">
        <v>5</v>
      </c>
      <c r="U349">
        <v>2981.49</v>
      </c>
      <c r="V349">
        <v>0.2</v>
      </c>
      <c r="W349">
        <f t="shared" si="70"/>
        <v>0.2</v>
      </c>
      <c r="X349" t="str">
        <f t="shared" si="71"/>
        <v/>
      </c>
      <c r="Y349">
        <v>11925.96</v>
      </c>
      <c r="Z349">
        <f t="shared" si="72"/>
        <v>11925.96</v>
      </c>
      <c r="AA349">
        <v>10103.51</v>
      </c>
      <c r="AB349">
        <v>1822.45</v>
      </c>
      <c r="AC349">
        <f t="shared" si="73"/>
        <v>8944.4699999999993</v>
      </c>
      <c r="AD349" s="6">
        <f t="shared" si="74"/>
        <v>0.75</v>
      </c>
      <c r="AE349" t="s">
        <v>102</v>
      </c>
      <c r="AF349" t="s">
        <v>103</v>
      </c>
      <c r="AG349">
        <f t="shared" si="75"/>
        <v>12</v>
      </c>
      <c r="AH349">
        <f t="shared" si="76"/>
        <v>2024</v>
      </c>
      <c r="AI349" t="str">
        <f t="shared" si="77"/>
        <v>INVALID</v>
      </c>
    </row>
    <row r="350" spans="1:35">
      <c r="A350" t="s">
        <v>1146</v>
      </c>
      <c r="B350">
        <f t="shared" si="65"/>
        <v>1</v>
      </c>
      <c r="C350" t="str">
        <f>IF(COUNTIF($A$2:A350, A350)&gt;1, "DUPLICATE_FLAGGED_FOR_REVIEW", "")</f>
        <v/>
      </c>
      <c r="D350" s="3">
        <v>45328</v>
      </c>
      <c r="E350" s="2">
        <v>45479</v>
      </c>
      <c r="F350" s="2" t="str">
        <f t="shared" si="66"/>
        <v>OK</v>
      </c>
      <c r="G350" s="4">
        <f t="shared" si="67"/>
        <v>151</v>
      </c>
      <c r="H350" t="s">
        <v>1147</v>
      </c>
      <c r="I350" t="s">
        <v>128</v>
      </c>
      <c r="J350" t="s">
        <v>90</v>
      </c>
      <c r="K350" t="s">
        <v>54</v>
      </c>
      <c r="L350" t="str">
        <f t="shared" si="68"/>
        <v>South</v>
      </c>
      <c r="M350" t="s">
        <v>175</v>
      </c>
      <c r="N350" t="s">
        <v>176</v>
      </c>
      <c r="O350" t="s">
        <v>74</v>
      </c>
      <c r="P350" t="s">
        <v>171</v>
      </c>
      <c r="Q350" t="s">
        <v>1148</v>
      </c>
      <c r="R350" t="s">
        <v>44</v>
      </c>
      <c r="S350" t="str">
        <f t="shared" si="69"/>
        <v>Same Day</v>
      </c>
      <c r="T350">
        <v>9</v>
      </c>
      <c r="U350">
        <v>2860.26</v>
      </c>
      <c r="V350">
        <v>0.25</v>
      </c>
      <c r="W350">
        <f t="shared" si="70"/>
        <v>0.25</v>
      </c>
      <c r="X350" t="str">
        <f t="shared" si="71"/>
        <v/>
      </c>
      <c r="Y350">
        <v>19306.759999999998</v>
      </c>
      <c r="Z350">
        <f t="shared" si="72"/>
        <v>19306.755000000005</v>
      </c>
      <c r="AA350">
        <v>14442.38</v>
      </c>
      <c r="AB350">
        <v>4864.38</v>
      </c>
      <c r="AC350">
        <f t="shared" si="73"/>
        <v>16446.495000000003</v>
      </c>
      <c r="AD350" s="6">
        <f t="shared" si="74"/>
        <v>0.85185185185185175</v>
      </c>
      <c r="AE350" t="s">
        <v>32</v>
      </c>
      <c r="AF350" t="s">
        <v>33</v>
      </c>
      <c r="AG350">
        <f t="shared" si="75"/>
        <v>2</v>
      </c>
      <c r="AH350">
        <f t="shared" si="76"/>
        <v>2024</v>
      </c>
      <c r="AI350" t="str">
        <f t="shared" si="77"/>
        <v>CLEAN</v>
      </c>
    </row>
    <row r="351" spans="1:35">
      <c r="A351" t="s">
        <v>1149</v>
      </c>
      <c r="B351">
        <f t="shared" si="65"/>
        <v>1</v>
      </c>
      <c r="C351" t="str">
        <f>IF(COUNTIF($A$2:A351, A351)&gt;1, "DUPLICATE_FLAGGED_FOR_REVIEW", "")</f>
        <v/>
      </c>
      <c r="D351" s="3">
        <v>45927</v>
      </c>
      <c r="E351" s="2">
        <v>45929</v>
      </c>
      <c r="F351" s="2" t="str">
        <f t="shared" si="66"/>
        <v>OK</v>
      </c>
      <c r="G351" s="4">
        <f t="shared" si="67"/>
        <v>2</v>
      </c>
      <c r="H351" t="s">
        <v>1150</v>
      </c>
      <c r="I351" t="s">
        <v>264</v>
      </c>
      <c r="J351" t="s">
        <v>95</v>
      </c>
      <c r="K351" t="s">
        <v>38</v>
      </c>
      <c r="L351" t="str">
        <f t="shared" si="68"/>
        <v>East</v>
      </c>
      <c r="M351" t="s">
        <v>228</v>
      </c>
      <c r="N351" t="s">
        <v>229</v>
      </c>
      <c r="O351" t="s">
        <v>41</v>
      </c>
      <c r="P351" t="s">
        <v>57</v>
      </c>
      <c r="Q351" t="s">
        <v>1151</v>
      </c>
      <c r="R351" t="s">
        <v>31</v>
      </c>
      <c r="S351" t="str">
        <f t="shared" si="69"/>
        <v>Second Class</v>
      </c>
      <c r="T351">
        <v>9</v>
      </c>
      <c r="U351">
        <v>2867.55</v>
      </c>
      <c r="V351">
        <v>0.25</v>
      </c>
      <c r="W351">
        <f t="shared" si="70"/>
        <v>0.25</v>
      </c>
      <c r="X351" t="str">
        <f t="shared" si="71"/>
        <v/>
      </c>
      <c r="Y351">
        <v>19355.96</v>
      </c>
      <c r="Z351">
        <f t="shared" si="72"/>
        <v>19355.962500000001</v>
      </c>
      <c r="AA351">
        <v>15012.45</v>
      </c>
      <c r="AB351">
        <v>4017.4</v>
      </c>
      <c r="AC351">
        <f t="shared" si="73"/>
        <v>16488.412500000002</v>
      </c>
      <c r="AD351" s="6">
        <f t="shared" si="74"/>
        <v>0.85185185185185186</v>
      </c>
      <c r="AE351" t="s">
        <v>32</v>
      </c>
      <c r="AF351" t="s">
        <v>33</v>
      </c>
      <c r="AG351">
        <f t="shared" si="75"/>
        <v>9</v>
      </c>
      <c r="AH351">
        <f t="shared" si="76"/>
        <v>2025</v>
      </c>
      <c r="AI351" t="str">
        <f t="shared" si="77"/>
        <v>CLEAN</v>
      </c>
    </row>
    <row r="352" spans="1:35">
      <c r="A352" t="s">
        <v>1152</v>
      </c>
      <c r="B352">
        <f t="shared" si="65"/>
        <v>1</v>
      </c>
      <c r="C352" t="str">
        <f>IF(COUNTIF($A$2:A352, A352)&gt;1, "DUPLICATE_FLAGGED_FOR_REVIEW", "")</f>
        <v/>
      </c>
      <c r="D352" s="3">
        <v>45298</v>
      </c>
      <c r="E352" s="2">
        <v>45305</v>
      </c>
      <c r="F352" s="2" t="str">
        <f t="shared" si="66"/>
        <v>OK</v>
      </c>
      <c r="G352" s="4">
        <f t="shared" si="67"/>
        <v>7</v>
      </c>
      <c r="H352" t="s">
        <v>1153</v>
      </c>
      <c r="I352" t="s">
        <v>132</v>
      </c>
      <c r="J352" t="s">
        <v>37</v>
      </c>
      <c r="K352" t="s">
        <v>38</v>
      </c>
      <c r="L352" t="str">
        <f t="shared" si="68"/>
        <v>East</v>
      </c>
      <c r="M352" t="s">
        <v>228</v>
      </c>
      <c r="N352" t="s">
        <v>229</v>
      </c>
      <c r="O352" t="s">
        <v>41</v>
      </c>
      <c r="P352" t="s">
        <v>57</v>
      </c>
      <c r="Q352" t="s">
        <v>1154</v>
      </c>
      <c r="R352" t="s">
        <v>31</v>
      </c>
      <c r="S352" t="str">
        <f t="shared" si="69"/>
        <v>Second Class</v>
      </c>
      <c r="T352">
        <v>4</v>
      </c>
      <c r="U352">
        <v>3309.54</v>
      </c>
      <c r="V352">
        <v>0.1</v>
      </c>
      <c r="W352">
        <f t="shared" si="70"/>
        <v>0.1</v>
      </c>
      <c r="X352" t="str">
        <f t="shared" si="71"/>
        <v/>
      </c>
      <c r="Y352">
        <v>11914.34</v>
      </c>
      <c r="Z352">
        <f t="shared" si="72"/>
        <v>11914.344000000001</v>
      </c>
      <c r="AA352">
        <v>9771.24</v>
      </c>
      <c r="AB352">
        <v>2143.1</v>
      </c>
      <c r="AC352">
        <f t="shared" si="73"/>
        <v>8604.8040000000001</v>
      </c>
      <c r="AD352" s="6">
        <f t="shared" si="74"/>
        <v>0.72222222222222221</v>
      </c>
      <c r="AE352" t="s">
        <v>102</v>
      </c>
      <c r="AF352" t="s">
        <v>103</v>
      </c>
      <c r="AG352">
        <f t="shared" si="75"/>
        <v>1</v>
      </c>
      <c r="AH352">
        <f t="shared" si="76"/>
        <v>2024</v>
      </c>
      <c r="AI352" t="str">
        <f t="shared" si="77"/>
        <v>CLEAN</v>
      </c>
    </row>
    <row r="353" spans="1:35">
      <c r="A353" t="s">
        <v>1155</v>
      </c>
      <c r="B353">
        <f t="shared" si="65"/>
        <v>1</v>
      </c>
      <c r="C353" t="str">
        <f>IF(COUNTIF($A$2:A353, A353)&gt;1, "DUPLICATE_FLAGGED_FOR_REVIEW", "")</f>
        <v/>
      </c>
      <c r="D353" s="3">
        <v>45800</v>
      </c>
      <c r="E353" s="2">
        <v>45804</v>
      </c>
      <c r="F353" s="2" t="str">
        <f t="shared" si="66"/>
        <v>OK</v>
      </c>
      <c r="G353" s="4">
        <f t="shared" si="67"/>
        <v>4</v>
      </c>
      <c r="H353" t="s">
        <v>1156</v>
      </c>
      <c r="I353" t="s">
        <v>71</v>
      </c>
      <c r="J353" t="s">
        <v>37</v>
      </c>
      <c r="K353" t="s">
        <v>54</v>
      </c>
      <c r="L353" t="str">
        <f t="shared" si="68"/>
        <v>South</v>
      </c>
      <c r="M353" t="s">
        <v>55</v>
      </c>
      <c r="N353" t="s">
        <v>56</v>
      </c>
      <c r="O353" t="s">
        <v>28</v>
      </c>
      <c r="P353" t="s">
        <v>124</v>
      </c>
      <c r="Q353" t="s">
        <v>1157</v>
      </c>
      <c r="R353" t="s">
        <v>50</v>
      </c>
      <c r="S353" t="str">
        <f t="shared" si="69"/>
        <v>First Class</v>
      </c>
      <c r="T353">
        <v>6</v>
      </c>
      <c r="U353">
        <v>719.44</v>
      </c>
      <c r="V353">
        <v>0.25</v>
      </c>
      <c r="W353">
        <f t="shared" si="70"/>
        <v>0.25</v>
      </c>
      <c r="X353" t="str">
        <f t="shared" si="71"/>
        <v/>
      </c>
      <c r="Y353">
        <v>3237.48</v>
      </c>
      <c r="Z353">
        <f t="shared" si="72"/>
        <v>3237.4800000000005</v>
      </c>
      <c r="AA353">
        <v>2118.34</v>
      </c>
      <c r="AB353">
        <v>1119.1400000000001</v>
      </c>
      <c r="AC353">
        <f t="shared" si="73"/>
        <v>2518.0400000000004</v>
      </c>
      <c r="AD353" s="6">
        <f t="shared" si="74"/>
        <v>0.77777777777777779</v>
      </c>
      <c r="AE353" t="s">
        <v>111</v>
      </c>
      <c r="AF353" t="s">
        <v>68</v>
      </c>
      <c r="AG353">
        <f t="shared" si="75"/>
        <v>5</v>
      </c>
      <c r="AH353">
        <f t="shared" si="76"/>
        <v>2025</v>
      </c>
      <c r="AI353" t="str">
        <f t="shared" si="77"/>
        <v>CLEAN</v>
      </c>
    </row>
    <row r="354" spans="1:35">
      <c r="A354" t="s">
        <v>1158</v>
      </c>
      <c r="B354">
        <f t="shared" si="65"/>
        <v>1</v>
      </c>
      <c r="C354" t="str">
        <f>IF(COUNTIF($A$2:A354, A354)&gt;1, "DUPLICATE_FLAGGED_FOR_REVIEW", "")</f>
        <v/>
      </c>
      <c r="D354" s="3">
        <v>45884</v>
      </c>
      <c r="E354" s="2">
        <v>45886</v>
      </c>
      <c r="F354" s="2" t="str">
        <f t="shared" si="66"/>
        <v>OK</v>
      </c>
      <c r="G354" s="4">
        <f t="shared" si="67"/>
        <v>2</v>
      </c>
      <c r="H354" t="s">
        <v>1159</v>
      </c>
      <c r="I354" t="s">
        <v>162</v>
      </c>
      <c r="J354" t="s">
        <v>37</v>
      </c>
      <c r="K354" t="s">
        <v>38</v>
      </c>
      <c r="L354" t="str">
        <f t="shared" si="68"/>
        <v>East</v>
      </c>
      <c r="M354" t="s">
        <v>166</v>
      </c>
      <c r="N354" t="s">
        <v>167</v>
      </c>
      <c r="O354" t="s">
        <v>74</v>
      </c>
      <c r="P354" t="s">
        <v>80</v>
      </c>
      <c r="Q354" t="s">
        <v>1160</v>
      </c>
      <c r="R354" t="s">
        <v>50</v>
      </c>
      <c r="S354" t="str">
        <f t="shared" si="69"/>
        <v>First Class</v>
      </c>
      <c r="T354">
        <v>5</v>
      </c>
      <c r="U354">
        <v>2862.6</v>
      </c>
      <c r="V354">
        <v>0.25</v>
      </c>
      <c r="W354">
        <f t="shared" si="70"/>
        <v>0.25</v>
      </c>
      <c r="X354" t="str">
        <f t="shared" si="71"/>
        <v/>
      </c>
      <c r="Y354">
        <v>10734.75</v>
      </c>
      <c r="Z354">
        <f t="shared" si="72"/>
        <v>10734.75</v>
      </c>
      <c r="AA354">
        <v>6475.73</v>
      </c>
      <c r="AB354">
        <v>4259.0200000000004</v>
      </c>
      <c r="AC354">
        <f t="shared" si="73"/>
        <v>7872.15</v>
      </c>
      <c r="AD354" s="6">
        <f t="shared" si="74"/>
        <v>0.73333333333333328</v>
      </c>
      <c r="AE354" t="s">
        <v>32</v>
      </c>
      <c r="AF354" t="s">
        <v>33</v>
      </c>
      <c r="AG354">
        <f t="shared" si="75"/>
        <v>8</v>
      </c>
      <c r="AH354">
        <f t="shared" si="76"/>
        <v>2025</v>
      </c>
      <c r="AI354" t="str">
        <f t="shared" si="77"/>
        <v>CLEAN</v>
      </c>
    </row>
    <row r="355" spans="1:35">
      <c r="A355" t="s">
        <v>1161</v>
      </c>
      <c r="B355">
        <f t="shared" si="65"/>
        <v>1</v>
      </c>
      <c r="C355" t="str">
        <f>IF(COUNTIF($A$2:A355, A355)&gt;1, "DUPLICATE_FLAGGED_FOR_REVIEW", "")</f>
        <v/>
      </c>
      <c r="D355" s="3">
        <v>45709</v>
      </c>
      <c r="E355" s="2">
        <v>45715</v>
      </c>
      <c r="F355" s="2" t="str">
        <f t="shared" si="66"/>
        <v>OK</v>
      </c>
      <c r="G355" s="4">
        <f t="shared" si="67"/>
        <v>6</v>
      </c>
      <c r="H355" t="s">
        <v>1162</v>
      </c>
      <c r="I355" t="s">
        <v>62</v>
      </c>
      <c r="J355" t="s">
        <v>24</v>
      </c>
      <c r="K355" t="s">
        <v>25</v>
      </c>
      <c r="L355" t="str">
        <f t="shared" si="68"/>
        <v>North</v>
      </c>
      <c r="M355" t="s">
        <v>26</v>
      </c>
      <c r="N355" t="s">
        <v>27</v>
      </c>
      <c r="O355" t="s">
        <v>28</v>
      </c>
      <c r="P355" t="s">
        <v>48</v>
      </c>
      <c r="Q355" t="s">
        <v>1163</v>
      </c>
      <c r="R355" t="s">
        <v>44</v>
      </c>
      <c r="S355" t="str">
        <f t="shared" si="69"/>
        <v>Same Day</v>
      </c>
      <c r="T355">
        <v>9</v>
      </c>
      <c r="U355">
        <v>1431.67</v>
      </c>
      <c r="V355">
        <v>0.2</v>
      </c>
      <c r="W355">
        <f t="shared" si="70"/>
        <v>0.2</v>
      </c>
      <c r="X355" t="str">
        <f t="shared" si="71"/>
        <v/>
      </c>
      <c r="Y355">
        <v>10308.02</v>
      </c>
      <c r="Z355">
        <f t="shared" si="72"/>
        <v>10308.024000000001</v>
      </c>
      <c r="AA355">
        <v>5822.31</v>
      </c>
      <c r="AB355">
        <v>4485.71</v>
      </c>
      <c r="AC355">
        <f t="shared" si="73"/>
        <v>8876.3540000000012</v>
      </c>
      <c r="AD355" s="6">
        <f t="shared" si="74"/>
        <v>0.86111111111111116</v>
      </c>
      <c r="AE355" t="s">
        <v>32</v>
      </c>
      <c r="AF355" t="s">
        <v>33</v>
      </c>
      <c r="AG355">
        <f t="shared" si="75"/>
        <v>2</v>
      </c>
      <c r="AH355">
        <f t="shared" si="76"/>
        <v>2025</v>
      </c>
      <c r="AI355" t="str">
        <f t="shared" si="77"/>
        <v>CLEAN</v>
      </c>
    </row>
    <row r="356" spans="1:35">
      <c r="A356" t="s">
        <v>1164</v>
      </c>
      <c r="B356">
        <f t="shared" si="65"/>
        <v>1</v>
      </c>
      <c r="C356" t="str">
        <f>IF(COUNTIF($A$2:A356, A356)&gt;1, "DUPLICATE_FLAGGED_FOR_REVIEW", "")</f>
        <v/>
      </c>
      <c r="D356" s="3">
        <v>45653</v>
      </c>
      <c r="E356" s="2">
        <v>45657</v>
      </c>
      <c r="F356" s="2" t="str">
        <f t="shared" si="66"/>
        <v>OK</v>
      </c>
      <c r="G356" s="4">
        <f t="shared" si="67"/>
        <v>4</v>
      </c>
      <c r="H356" t="s">
        <v>1165</v>
      </c>
      <c r="I356" t="s">
        <v>264</v>
      </c>
      <c r="J356" t="s">
        <v>90</v>
      </c>
      <c r="K356" t="s">
        <v>25</v>
      </c>
      <c r="L356" t="str">
        <f t="shared" si="68"/>
        <v>North</v>
      </c>
      <c r="M356" t="s">
        <v>122</v>
      </c>
      <c r="N356" t="s">
        <v>123</v>
      </c>
      <c r="O356" t="s">
        <v>41</v>
      </c>
      <c r="P356" t="s">
        <v>57</v>
      </c>
      <c r="Q356" t="s">
        <v>1166</v>
      </c>
      <c r="R356" t="s">
        <v>59</v>
      </c>
      <c r="S356" t="str">
        <f t="shared" si="69"/>
        <v>Standard Class</v>
      </c>
      <c r="T356">
        <v>6</v>
      </c>
      <c r="U356">
        <v>3346.78</v>
      </c>
      <c r="V356">
        <v>-0.06</v>
      </c>
      <c r="W356">
        <f t="shared" si="70"/>
        <v>-0.06</v>
      </c>
      <c r="X356" t="str">
        <f t="shared" si="71"/>
        <v>INVALID_NEGATIVE_DISCOUNT</v>
      </c>
      <c r="Y356">
        <v>20080.68</v>
      </c>
      <c r="Z356">
        <f t="shared" si="72"/>
        <v>21285.520800000002</v>
      </c>
      <c r="AA356">
        <v>12908.84</v>
      </c>
      <c r="AB356">
        <v>7171.84</v>
      </c>
      <c r="AC356">
        <f t="shared" si="73"/>
        <v>17938.740800000003</v>
      </c>
      <c r="AD356" s="6">
        <f t="shared" si="74"/>
        <v>0.84276729559748431</v>
      </c>
      <c r="AE356" t="s">
        <v>111</v>
      </c>
      <c r="AF356" t="s">
        <v>68</v>
      </c>
      <c r="AG356">
        <f t="shared" si="75"/>
        <v>12</v>
      </c>
      <c r="AH356">
        <f t="shared" si="76"/>
        <v>2024</v>
      </c>
      <c r="AI356" t="str">
        <f t="shared" si="77"/>
        <v>INVALID</v>
      </c>
    </row>
    <row r="357" spans="1:35">
      <c r="A357" t="s">
        <v>1167</v>
      </c>
      <c r="B357">
        <f t="shared" si="65"/>
        <v>1</v>
      </c>
      <c r="C357" t="str">
        <f>IF(COUNTIF($A$2:A357, A357)&gt;1, "DUPLICATE_FLAGGED_FOR_REVIEW", "")</f>
        <v/>
      </c>
      <c r="D357" s="3">
        <v>45424</v>
      </c>
      <c r="E357" s="2">
        <v>45421</v>
      </c>
      <c r="F357" s="2" t="str">
        <f t="shared" si="66"/>
        <v>ERROR: Ship before order</v>
      </c>
      <c r="G357" s="4">
        <f t="shared" si="67"/>
        <v>-3</v>
      </c>
      <c r="H357" t="s">
        <v>1168</v>
      </c>
      <c r="I357" t="s">
        <v>114</v>
      </c>
      <c r="J357" t="s">
        <v>90</v>
      </c>
      <c r="K357" t="s">
        <v>63</v>
      </c>
      <c r="L357" t="str">
        <f t="shared" si="68"/>
        <v>West</v>
      </c>
      <c r="M357" t="s">
        <v>26</v>
      </c>
      <c r="N357" t="s">
        <v>109</v>
      </c>
      <c r="O357" t="s">
        <v>41</v>
      </c>
      <c r="P357" t="s">
        <v>42</v>
      </c>
      <c r="Q357" t="s">
        <v>1169</v>
      </c>
      <c r="R357" t="s">
        <v>59</v>
      </c>
      <c r="S357" t="str">
        <f t="shared" si="69"/>
        <v>Standard Class</v>
      </c>
      <c r="T357">
        <v>5</v>
      </c>
      <c r="U357">
        <v>3203.48</v>
      </c>
      <c r="V357">
        <v>0</v>
      </c>
      <c r="W357">
        <f t="shared" si="70"/>
        <v>0</v>
      </c>
      <c r="X357" t="str">
        <f t="shared" si="71"/>
        <v/>
      </c>
      <c r="Y357">
        <v>16017.4</v>
      </c>
      <c r="Z357">
        <f t="shared" si="72"/>
        <v>16017.4</v>
      </c>
      <c r="AA357">
        <v>9557.7999999999993</v>
      </c>
      <c r="AB357">
        <v>6459.6</v>
      </c>
      <c r="AC357">
        <f t="shared" si="73"/>
        <v>12813.92</v>
      </c>
      <c r="AD357" s="6">
        <f t="shared" si="74"/>
        <v>0.8</v>
      </c>
      <c r="AE357" t="s">
        <v>111</v>
      </c>
      <c r="AF357" t="s">
        <v>68</v>
      </c>
      <c r="AG357">
        <f t="shared" si="75"/>
        <v>5</v>
      </c>
      <c r="AH357">
        <f t="shared" si="76"/>
        <v>2024</v>
      </c>
      <c r="AI357" t="str">
        <f t="shared" si="77"/>
        <v>INVALID</v>
      </c>
    </row>
    <row r="358" spans="1:35">
      <c r="A358" t="s">
        <v>1170</v>
      </c>
      <c r="B358">
        <f t="shared" si="65"/>
        <v>1</v>
      </c>
      <c r="C358" t="str">
        <f>IF(COUNTIF($A$2:A358, A358)&gt;1, "DUPLICATE_FLAGGED_FOR_REVIEW", "")</f>
        <v/>
      </c>
      <c r="D358" s="3">
        <v>45835</v>
      </c>
      <c r="E358" s="2">
        <v>45837</v>
      </c>
      <c r="F358" s="2" t="str">
        <f t="shared" si="66"/>
        <v>OK</v>
      </c>
      <c r="G358" s="4">
        <f t="shared" si="67"/>
        <v>2</v>
      </c>
      <c r="H358" t="s">
        <v>1171</v>
      </c>
      <c r="I358" t="s">
        <v>141</v>
      </c>
      <c r="J358" t="s">
        <v>95</v>
      </c>
      <c r="K358" t="s">
        <v>54</v>
      </c>
      <c r="L358" t="str">
        <f t="shared" si="68"/>
        <v>South</v>
      </c>
      <c r="M358" t="s">
        <v>55</v>
      </c>
      <c r="N358" t="s">
        <v>56</v>
      </c>
      <c r="O358" t="s">
        <v>41</v>
      </c>
      <c r="P358" t="s">
        <v>66</v>
      </c>
      <c r="Q358" t="s">
        <v>1172</v>
      </c>
      <c r="R358" t="s">
        <v>50</v>
      </c>
      <c r="S358" t="str">
        <f t="shared" si="69"/>
        <v>First Class</v>
      </c>
      <c r="T358">
        <v>5</v>
      </c>
      <c r="U358">
        <v>621.70000000000005</v>
      </c>
      <c r="V358">
        <v>0.2</v>
      </c>
      <c r="W358">
        <f t="shared" si="70"/>
        <v>0.2</v>
      </c>
      <c r="X358" t="str">
        <f t="shared" si="71"/>
        <v/>
      </c>
      <c r="Y358">
        <v>2486.8000000000002</v>
      </c>
      <c r="Z358">
        <f t="shared" si="72"/>
        <v>2486.8000000000002</v>
      </c>
      <c r="AA358">
        <v>2131.73</v>
      </c>
      <c r="AB358">
        <v>355.07</v>
      </c>
      <c r="AC358">
        <f t="shared" si="73"/>
        <v>1865.1000000000001</v>
      </c>
      <c r="AD358" s="6">
        <f t="shared" si="74"/>
        <v>0.75</v>
      </c>
      <c r="AE358" t="s">
        <v>111</v>
      </c>
      <c r="AF358" t="s">
        <v>103</v>
      </c>
      <c r="AG358">
        <f t="shared" si="75"/>
        <v>6</v>
      </c>
      <c r="AH358">
        <f t="shared" si="76"/>
        <v>2025</v>
      </c>
      <c r="AI358" t="str">
        <f t="shared" si="77"/>
        <v>CLEAN</v>
      </c>
    </row>
    <row r="359" spans="1:35">
      <c r="A359" t="s">
        <v>1173</v>
      </c>
      <c r="B359">
        <f t="shared" si="65"/>
        <v>1</v>
      </c>
      <c r="C359" t="str">
        <f>IF(COUNTIF($A$2:A359, A359)&gt;1, "DUPLICATE_FLAGGED_FOR_REVIEW", "")</f>
        <v/>
      </c>
      <c r="D359" s="3">
        <v>45678</v>
      </c>
      <c r="E359" s="2">
        <v>45686</v>
      </c>
      <c r="F359" s="2" t="str">
        <f t="shared" si="66"/>
        <v>OK</v>
      </c>
      <c r="G359" s="4">
        <f t="shared" si="67"/>
        <v>8</v>
      </c>
      <c r="H359" t="s">
        <v>1174</v>
      </c>
      <c r="I359" t="s">
        <v>36</v>
      </c>
      <c r="J359" t="s">
        <v>95</v>
      </c>
      <c r="K359" t="s">
        <v>54</v>
      </c>
      <c r="L359" t="str">
        <f t="shared" si="68"/>
        <v>South</v>
      </c>
      <c r="M359" t="s">
        <v>84</v>
      </c>
      <c r="N359" t="s">
        <v>85</v>
      </c>
      <c r="O359" t="s">
        <v>74</v>
      </c>
      <c r="P359" t="s">
        <v>274</v>
      </c>
      <c r="Q359" t="s">
        <v>1175</v>
      </c>
      <c r="R359" t="s">
        <v>31</v>
      </c>
      <c r="S359" t="str">
        <f t="shared" si="69"/>
        <v>Second Class</v>
      </c>
      <c r="T359">
        <v>8</v>
      </c>
      <c r="U359">
        <v>546.13</v>
      </c>
      <c r="V359">
        <v>0</v>
      </c>
      <c r="W359">
        <f t="shared" si="70"/>
        <v>0</v>
      </c>
      <c r="X359" t="str">
        <f t="shared" si="71"/>
        <v/>
      </c>
      <c r="Y359">
        <v>4369.04</v>
      </c>
      <c r="Z359">
        <f t="shared" si="72"/>
        <v>4369.04</v>
      </c>
      <c r="AA359">
        <v>3716.88</v>
      </c>
      <c r="AB359">
        <v>652.16</v>
      </c>
      <c r="AC359">
        <f t="shared" si="73"/>
        <v>3822.91</v>
      </c>
      <c r="AD359" s="6">
        <f t="shared" si="74"/>
        <v>0.875</v>
      </c>
      <c r="AE359" t="s">
        <v>32</v>
      </c>
      <c r="AF359" t="s">
        <v>68</v>
      </c>
      <c r="AG359">
        <f t="shared" si="75"/>
        <v>1</v>
      </c>
      <c r="AH359">
        <f t="shared" si="76"/>
        <v>2025</v>
      </c>
      <c r="AI359" t="str">
        <f t="shared" si="77"/>
        <v>CLEAN</v>
      </c>
    </row>
    <row r="360" spans="1:35">
      <c r="A360" t="s">
        <v>1176</v>
      </c>
      <c r="B360">
        <f t="shared" si="65"/>
        <v>1</v>
      </c>
      <c r="C360" t="str">
        <f>IF(COUNTIF($A$2:A360, A360)&gt;1, "DUPLICATE_FLAGGED_FOR_REVIEW", "")</f>
        <v/>
      </c>
      <c r="D360" s="3">
        <v>45908</v>
      </c>
      <c r="E360" s="2">
        <v>45876</v>
      </c>
      <c r="F360" s="2" t="str">
        <f t="shared" si="66"/>
        <v>ERROR: Ship before order</v>
      </c>
      <c r="G360" s="4">
        <f t="shared" si="67"/>
        <v>-32</v>
      </c>
      <c r="H360" t="s">
        <v>1177</v>
      </c>
      <c r="I360" t="s">
        <v>71</v>
      </c>
      <c r="J360" t="s">
        <v>95</v>
      </c>
      <c r="K360" t="s">
        <v>63</v>
      </c>
      <c r="L360" t="str">
        <f t="shared" si="68"/>
        <v>West</v>
      </c>
      <c r="M360" t="s">
        <v>180</v>
      </c>
      <c r="N360" t="s">
        <v>181</v>
      </c>
      <c r="O360" t="s">
        <v>41</v>
      </c>
      <c r="P360" t="s">
        <v>158</v>
      </c>
      <c r="Q360" t="s">
        <v>1178</v>
      </c>
      <c r="R360" t="s">
        <v>31</v>
      </c>
      <c r="S360" t="str">
        <f t="shared" si="69"/>
        <v>Second Class</v>
      </c>
      <c r="T360">
        <v>5</v>
      </c>
      <c r="U360">
        <v>1253.92</v>
      </c>
      <c r="V360">
        <v>0.05</v>
      </c>
      <c r="W360">
        <f t="shared" si="70"/>
        <v>0.05</v>
      </c>
      <c r="X360" t="str">
        <f t="shared" si="71"/>
        <v/>
      </c>
      <c r="Y360">
        <v>5956.12</v>
      </c>
      <c r="Z360">
        <f t="shared" si="72"/>
        <v>5956.12</v>
      </c>
      <c r="AA360">
        <v>4379.18</v>
      </c>
      <c r="AB360">
        <v>1576.94</v>
      </c>
      <c r="AC360">
        <f t="shared" si="73"/>
        <v>4702.2</v>
      </c>
      <c r="AD360" s="6">
        <f t="shared" si="74"/>
        <v>0.78947368421052633</v>
      </c>
      <c r="AE360" t="s">
        <v>111</v>
      </c>
      <c r="AF360" t="s">
        <v>103</v>
      </c>
      <c r="AG360">
        <f t="shared" si="75"/>
        <v>9</v>
      </c>
      <c r="AH360">
        <f t="shared" si="76"/>
        <v>2025</v>
      </c>
      <c r="AI360" t="str">
        <f t="shared" si="77"/>
        <v>INVALID</v>
      </c>
    </row>
    <row r="361" spans="1:35">
      <c r="A361" t="s">
        <v>1179</v>
      </c>
      <c r="B361">
        <f t="shared" si="65"/>
        <v>1</v>
      </c>
      <c r="C361" t="str">
        <f>IF(COUNTIF($A$2:A361, A361)&gt;1, "DUPLICATE_FLAGGED_FOR_REVIEW", "")</f>
        <v/>
      </c>
      <c r="D361" s="3">
        <v>45525</v>
      </c>
      <c r="E361" s="2">
        <v>45526</v>
      </c>
      <c r="F361" s="2" t="str">
        <f t="shared" si="66"/>
        <v>OK</v>
      </c>
      <c r="G361" s="4">
        <f t="shared" si="67"/>
        <v>1</v>
      </c>
      <c r="H361" t="s">
        <v>1180</v>
      </c>
      <c r="I361" t="s">
        <v>47</v>
      </c>
      <c r="J361" t="s">
        <v>24</v>
      </c>
      <c r="K361" t="s">
        <v>54</v>
      </c>
      <c r="L361" t="str">
        <f t="shared" si="68"/>
        <v>South</v>
      </c>
      <c r="M361" t="s">
        <v>247</v>
      </c>
      <c r="N361" t="s">
        <v>248</v>
      </c>
      <c r="O361" t="s">
        <v>74</v>
      </c>
      <c r="P361" t="s">
        <v>171</v>
      </c>
      <c r="Q361" t="s">
        <v>1181</v>
      </c>
      <c r="R361" t="s">
        <v>44</v>
      </c>
      <c r="S361" t="str">
        <f t="shared" si="69"/>
        <v>Same Day</v>
      </c>
      <c r="T361">
        <v>9</v>
      </c>
      <c r="U361">
        <v>616.96</v>
      </c>
      <c r="V361">
        <v>0.1</v>
      </c>
      <c r="W361">
        <f t="shared" si="70"/>
        <v>0.1</v>
      </c>
      <c r="X361" t="str">
        <f t="shared" si="71"/>
        <v/>
      </c>
      <c r="Y361">
        <v>4997.38</v>
      </c>
      <c r="Z361">
        <f t="shared" si="72"/>
        <v>4997.3760000000002</v>
      </c>
      <c r="AA361">
        <v>2971.39</v>
      </c>
      <c r="AB361">
        <v>2025.99</v>
      </c>
      <c r="AC361">
        <f t="shared" si="73"/>
        <v>4380.4160000000002</v>
      </c>
      <c r="AD361" s="6">
        <f t="shared" si="74"/>
        <v>0.87654320987654322</v>
      </c>
      <c r="AE361" t="s">
        <v>32</v>
      </c>
      <c r="AF361" t="s">
        <v>33</v>
      </c>
      <c r="AG361">
        <f t="shared" si="75"/>
        <v>8</v>
      </c>
      <c r="AH361">
        <f t="shared" si="76"/>
        <v>2024</v>
      </c>
      <c r="AI361" t="str">
        <f t="shared" si="77"/>
        <v>CLEAN</v>
      </c>
    </row>
    <row r="362" spans="1:35">
      <c r="A362" t="s">
        <v>1182</v>
      </c>
      <c r="B362">
        <f t="shared" si="65"/>
        <v>1</v>
      </c>
      <c r="C362" t="str">
        <f>IF(COUNTIF($A$2:A362, A362)&gt;1, "DUPLICATE_FLAGGED_FOR_REVIEW", "")</f>
        <v/>
      </c>
      <c r="D362" s="3">
        <v>45460</v>
      </c>
      <c r="E362" s="2">
        <v>45463</v>
      </c>
      <c r="F362" s="2" t="str">
        <f t="shared" si="66"/>
        <v>OK</v>
      </c>
      <c r="G362" s="4">
        <f t="shared" si="67"/>
        <v>3</v>
      </c>
      <c r="H362" t="s">
        <v>1183</v>
      </c>
      <c r="I362" t="s">
        <v>132</v>
      </c>
      <c r="J362" t="s">
        <v>37</v>
      </c>
      <c r="K362" t="s">
        <v>63</v>
      </c>
      <c r="L362" t="str">
        <f t="shared" si="68"/>
        <v>West</v>
      </c>
      <c r="M362" t="s">
        <v>180</v>
      </c>
      <c r="N362" t="s">
        <v>181</v>
      </c>
      <c r="O362" t="s">
        <v>41</v>
      </c>
      <c r="P362" t="s">
        <v>57</v>
      </c>
      <c r="Q362" t="s">
        <v>1184</v>
      </c>
      <c r="R362" t="s">
        <v>59</v>
      </c>
      <c r="S362" t="str">
        <f t="shared" si="69"/>
        <v>Standard Class</v>
      </c>
      <c r="T362">
        <v>7</v>
      </c>
      <c r="U362">
        <v>3155.25</v>
      </c>
      <c r="V362">
        <v>0.2</v>
      </c>
      <c r="W362">
        <f t="shared" si="70"/>
        <v>0.2</v>
      </c>
      <c r="X362" t="str">
        <f t="shared" si="71"/>
        <v/>
      </c>
      <c r="Y362">
        <v>17669.400000000001</v>
      </c>
      <c r="Z362">
        <f t="shared" si="72"/>
        <v>17669.400000000001</v>
      </c>
      <c r="AA362">
        <v>13718.77</v>
      </c>
      <c r="AB362">
        <v>3950.63</v>
      </c>
      <c r="AC362">
        <f t="shared" si="73"/>
        <v>14514.150000000001</v>
      </c>
      <c r="AD362" s="6">
        <f t="shared" si="74"/>
        <v>0.8214285714285714</v>
      </c>
      <c r="AE362" t="s">
        <v>102</v>
      </c>
      <c r="AF362" t="s">
        <v>68</v>
      </c>
      <c r="AG362">
        <f t="shared" si="75"/>
        <v>6</v>
      </c>
      <c r="AH362">
        <f t="shared" si="76"/>
        <v>2024</v>
      </c>
      <c r="AI362" t="str">
        <f t="shared" si="77"/>
        <v>CLEAN</v>
      </c>
    </row>
    <row r="363" spans="1:35">
      <c r="A363" t="s">
        <v>1185</v>
      </c>
      <c r="B363">
        <f t="shared" si="65"/>
        <v>1</v>
      </c>
      <c r="C363" t="str">
        <f>IF(COUNTIF($A$2:A363, A363)&gt;1, "DUPLICATE_FLAGGED_FOR_REVIEW", "")</f>
        <v/>
      </c>
      <c r="D363" s="3">
        <v>45748</v>
      </c>
      <c r="E363" s="2">
        <v>45749</v>
      </c>
      <c r="F363" s="2" t="str">
        <f t="shared" si="66"/>
        <v>OK</v>
      </c>
      <c r="G363" s="4">
        <f t="shared" si="67"/>
        <v>1</v>
      </c>
      <c r="H363" t="s">
        <v>1186</v>
      </c>
      <c r="I363" t="s">
        <v>141</v>
      </c>
      <c r="J363" t="s">
        <v>90</v>
      </c>
      <c r="K363" t="s">
        <v>38</v>
      </c>
      <c r="L363" t="str">
        <f t="shared" si="68"/>
        <v>East</v>
      </c>
      <c r="M363" t="s">
        <v>39</v>
      </c>
      <c r="N363" t="s">
        <v>40</v>
      </c>
      <c r="O363" t="s">
        <v>41</v>
      </c>
      <c r="P363" t="s">
        <v>66</v>
      </c>
      <c r="Q363" t="s">
        <v>1187</v>
      </c>
      <c r="R363" t="s">
        <v>31</v>
      </c>
      <c r="S363" t="str">
        <f t="shared" si="69"/>
        <v>Second Class</v>
      </c>
      <c r="T363">
        <v>9</v>
      </c>
      <c r="U363">
        <v>4165.58</v>
      </c>
      <c r="V363">
        <v>0.05</v>
      </c>
      <c r="W363">
        <f t="shared" si="70"/>
        <v>0.05</v>
      </c>
      <c r="X363" t="str">
        <f t="shared" si="71"/>
        <v/>
      </c>
      <c r="Y363">
        <v>35615.71</v>
      </c>
      <c r="Z363">
        <f t="shared" si="72"/>
        <v>35615.709000000003</v>
      </c>
      <c r="AA363">
        <v>20389.71</v>
      </c>
      <c r="AB363">
        <v>15226</v>
      </c>
      <c r="AC363">
        <f t="shared" si="73"/>
        <v>31450.129000000001</v>
      </c>
      <c r="AD363" s="6">
        <f t="shared" si="74"/>
        <v>0.88304093567251463</v>
      </c>
      <c r="AE363" t="s">
        <v>111</v>
      </c>
      <c r="AF363" t="s">
        <v>103</v>
      </c>
      <c r="AG363">
        <f t="shared" si="75"/>
        <v>4</v>
      </c>
      <c r="AH363">
        <f t="shared" si="76"/>
        <v>2025</v>
      </c>
      <c r="AI363" t="str">
        <f t="shared" si="77"/>
        <v>CLEAN</v>
      </c>
    </row>
    <row r="364" spans="1:35">
      <c r="A364" t="s">
        <v>1188</v>
      </c>
      <c r="B364">
        <f t="shared" si="65"/>
        <v>1</v>
      </c>
      <c r="C364" t="str">
        <f>IF(COUNTIF($A$2:A364, A364)&gt;1, "DUPLICATE_FLAGGED_FOR_REVIEW", "")</f>
        <v/>
      </c>
      <c r="D364" s="3">
        <v>45527</v>
      </c>
      <c r="E364" s="2">
        <v>45529</v>
      </c>
      <c r="F364" s="2" t="str">
        <f t="shared" si="66"/>
        <v>OK</v>
      </c>
      <c r="G364" s="4">
        <f t="shared" si="67"/>
        <v>2</v>
      </c>
      <c r="H364" t="s">
        <v>1189</v>
      </c>
      <c r="I364" t="s">
        <v>71</v>
      </c>
      <c r="J364" t="s">
        <v>24</v>
      </c>
      <c r="K364" t="s">
        <v>63</v>
      </c>
      <c r="L364" t="str">
        <f t="shared" si="68"/>
        <v>West</v>
      </c>
      <c r="M364" t="s">
        <v>190</v>
      </c>
      <c r="N364" t="s">
        <v>191</v>
      </c>
      <c r="O364" t="s">
        <v>74</v>
      </c>
      <c r="P364" t="s">
        <v>274</v>
      </c>
      <c r="Q364" t="s">
        <v>1190</v>
      </c>
      <c r="R364" t="s">
        <v>44</v>
      </c>
      <c r="S364" t="str">
        <f t="shared" si="69"/>
        <v>Same Day</v>
      </c>
      <c r="T364">
        <v>4</v>
      </c>
      <c r="U364">
        <v>491.16</v>
      </c>
      <c r="V364">
        <v>0.05</v>
      </c>
      <c r="W364">
        <f t="shared" si="70"/>
        <v>0.05</v>
      </c>
      <c r="X364" t="str">
        <f t="shared" si="71"/>
        <v/>
      </c>
      <c r="Y364">
        <v>1866.41</v>
      </c>
      <c r="Z364">
        <f t="shared" si="72"/>
        <v>1866.4079999999999</v>
      </c>
      <c r="AA364">
        <v>1576.49</v>
      </c>
      <c r="AB364">
        <v>289.92</v>
      </c>
      <c r="AC364">
        <f t="shared" si="73"/>
        <v>1375.2479999999998</v>
      </c>
      <c r="AD364" s="6">
        <f t="shared" si="74"/>
        <v>0.73684210526315785</v>
      </c>
      <c r="AE364" t="s">
        <v>32</v>
      </c>
      <c r="AF364" t="s">
        <v>33</v>
      </c>
      <c r="AG364">
        <f t="shared" si="75"/>
        <v>8</v>
      </c>
      <c r="AH364">
        <f t="shared" si="76"/>
        <v>2024</v>
      </c>
      <c r="AI364" t="str">
        <f t="shared" si="77"/>
        <v>CLEAN</v>
      </c>
    </row>
    <row r="365" spans="1:35">
      <c r="A365" t="s">
        <v>1191</v>
      </c>
      <c r="B365">
        <f t="shared" si="65"/>
        <v>1</v>
      </c>
      <c r="C365" t="str">
        <f>IF(COUNTIF($A$2:A365, A365)&gt;1, "DUPLICATE_FLAGGED_FOR_REVIEW", "")</f>
        <v/>
      </c>
      <c r="D365" s="3">
        <v>45845</v>
      </c>
      <c r="E365" s="2">
        <v>45998</v>
      </c>
      <c r="F365" s="2" t="str">
        <f t="shared" si="66"/>
        <v>OK</v>
      </c>
      <c r="G365" s="4">
        <f t="shared" si="67"/>
        <v>153</v>
      </c>
      <c r="H365" t="s">
        <v>1192</v>
      </c>
      <c r="I365" t="s">
        <v>162</v>
      </c>
      <c r="J365" t="s">
        <v>90</v>
      </c>
      <c r="K365" t="s">
        <v>38</v>
      </c>
      <c r="L365" t="str">
        <f t="shared" si="68"/>
        <v>East</v>
      </c>
      <c r="M365" t="s">
        <v>99</v>
      </c>
      <c r="N365" t="s">
        <v>100</v>
      </c>
      <c r="O365" t="s">
        <v>41</v>
      </c>
      <c r="P365" t="s">
        <v>42</v>
      </c>
      <c r="Q365" t="s">
        <v>1193</v>
      </c>
      <c r="R365" t="s">
        <v>31</v>
      </c>
      <c r="S365" t="str">
        <f t="shared" si="69"/>
        <v>Second Class</v>
      </c>
      <c r="T365">
        <v>5</v>
      </c>
      <c r="U365">
        <v>1831.37</v>
      </c>
      <c r="V365">
        <v>0.25</v>
      </c>
      <c r="W365">
        <f t="shared" si="70"/>
        <v>0.25</v>
      </c>
      <c r="X365" t="str">
        <f t="shared" si="71"/>
        <v/>
      </c>
      <c r="Y365">
        <v>6867.64</v>
      </c>
      <c r="Z365">
        <f t="shared" si="72"/>
        <v>6867.6374999999989</v>
      </c>
      <c r="AA365">
        <v>5205.3599999999997</v>
      </c>
      <c r="AB365">
        <v>1662.28</v>
      </c>
      <c r="AC365">
        <f t="shared" si="73"/>
        <v>5036.267499999999</v>
      </c>
      <c r="AD365" s="6">
        <f t="shared" si="74"/>
        <v>0.73333333333333328</v>
      </c>
      <c r="AE365" t="s">
        <v>32</v>
      </c>
      <c r="AF365" t="s">
        <v>33</v>
      </c>
      <c r="AG365">
        <f t="shared" si="75"/>
        <v>7</v>
      </c>
      <c r="AH365">
        <f t="shared" si="76"/>
        <v>2025</v>
      </c>
      <c r="AI365" t="str">
        <f t="shared" si="77"/>
        <v>CLEAN</v>
      </c>
    </row>
    <row r="366" spans="1:35">
      <c r="A366" t="s">
        <v>1194</v>
      </c>
      <c r="B366">
        <f t="shared" si="65"/>
        <v>1</v>
      </c>
      <c r="C366" t="str">
        <f>IF(COUNTIF($A$2:A366, A366)&gt;1, "DUPLICATE_FLAGGED_FOR_REVIEW", "")</f>
        <v/>
      </c>
      <c r="D366" s="3">
        <v>45737</v>
      </c>
      <c r="E366" s="2">
        <v>45740</v>
      </c>
      <c r="F366" s="2" t="str">
        <f t="shared" si="66"/>
        <v>OK</v>
      </c>
      <c r="G366" s="4">
        <f t="shared" si="67"/>
        <v>3</v>
      </c>
      <c r="H366" t="s">
        <v>1195</v>
      </c>
      <c r="I366" t="s">
        <v>128</v>
      </c>
      <c r="J366" t="s">
        <v>37</v>
      </c>
      <c r="K366" t="s">
        <v>54</v>
      </c>
      <c r="L366" t="str">
        <f t="shared" si="68"/>
        <v>South</v>
      </c>
      <c r="M366" t="s">
        <v>84</v>
      </c>
      <c r="N366" t="s">
        <v>85</v>
      </c>
      <c r="O366" t="s">
        <v>41</v>
      </c>
      <c r="P366" t="s">
        <v>66</v>
      </c>
      <c r="Q366" t="s">
        <v>1196</v>
      </c>
      <c r="R366" t="s">
        <v>31</v>
      </c>
      <c r="S366" t="str">
        <f t="shared" si="69"/>
        <v>Second Class</v>
      </c>
      <c r="T366">
        <v>5</v>
      </c>
      <c r="U366">
        <v>1239.1500000000001</v>
      </c>
      <c r="V366">
        <v>0</v>
      </c>
      <c r="W366">
        <f t="shared" si="70"/>
        <v>0</v>
      </c>
      <c r="X366" t="str">
        <f t="shared" si="71"/>
        <v/>
      </c>
      <c r="Y366">
        <v>6195.75</v>
      </c>
      <c r="Z366">
        <f t="shared" si="72"/>
        <v>6195.75</v>
      </c>
      <c r="AA366">
        <v>3967.02</v>
      </c>
      <c r="AB366">
        <v>2228.73</v>
      </c>
      <c r="AC366">
        <f t="shared" si="73"/>
        <v>4956.6000000000004</v>
      </c>
      <c r="AD366" s="6">
        <f t="shared" si="74"/>
        <v>0.8</v>
      </c>
      <c r="AE366" t="s">
        <v>32</v>
      </c>
      <c r="AF366" t="s">
        <v>33</v>
      </c>
      <c r="AG366">
        <f t="shared" si="75"/>
        <v>3</v>
      </c>
      <c r="AH366">
        <f t="shared" si="76"/>
        <v>2025</v>
      </c>
      <c r="AI366" t="str">
        <f t="shared" si="77"/>
        <v>CLEAN</v>
      </c>
    </row>
    <row r="367" spans="1:35">
      <c r="A367" t="s">
        <v>1197</v>
      </c>
      <c r="B367">
        <f t="shared" si="65"/>
        <v>1</v>
      </c>
      <c r="C367" t="str">
        <f>IF(COUNTIF($A$2:A367, A367)&gt;1, "DUPLICATE_FLAGGED_FOR_REVIEW", "")</f>
        <v/>
      </c>
      <c r="D367" s="3">
        <v>45458</v>
      </c>
      <c r="E367" s="2">
        <v>45464</v>
      </c>
      <c r="F367" s="2" t="str">
        <f t="shared" si="66"/>
        <v>OK</v>
      </c>
      <c r="G367" s="4">
        <f t="shared" si="67"/>
        <v>6</v>
      </c>
      <c r="H367" t="s">
        <v>1198</v>
      </c>
      <c r="I367" t="s">
        <v>89</v>
      </c>
      <c r="J367" t="s">
        <v>90</v>
      </c>
      <c r="K367" t="s">
        <v>63</v>
      </c>
      <c r="L367" t="str">
        <f t="shared" si="68"/>
        <v>West</v>
      </c>
      <c r="M367" t="s">
        <v>190</v>
      </c>
      <c r="N367" t="s">
        <v>191</v>
      </c>
      <c r="O367" t="s">
        <v>74</v>
      </c>
      <c r="P367" t="s">
        <v>75</v>
      </c>
      <c r="Q367" t="s">
        <v>1199</v>
      </c>
      <c r="R367" t="s">
        <v>50</v>
      </c>
      <c r="S367" t="str">
        <f t="shared" si="69"/>
        <v>First Class</v>
      </c>
      <c r="T367">
        <v>8</v>
      </c>
      <c r="U367">
        <v>1706.4</v>
      </c>
      <c r="W367">
        <f t="shared" si="70"/>
        <v>0</v>
      </c>
      <c r="X367" t="str">
        <f t="shared" si="71"/>
        <v>DISCOUNT_MISSING_SET_TO_0</v>
      </c>
      <c r="Y367">
        <v>12968.64</v>
      </c>
      <c r="Z367">
        <f t="shared" si="72"/>
        <v>13651.2</v>
      </c>
      <c r="AA367">
        <v>10119.61</v>
      </c>
      <c r="AB367">
        <v>2849.03</v>
      </c>
      <c r="AC367">
        <f t="shared" si="73"/>
        <v>11944.800000000001</v>
      </c>
      <c r="AD367" s="6">
        <f t="shared" si="74"/>
        <v>0.875</v>
      </c>
      <c r="AE367" t="s">
        <v>32</v>
      </c>
      <c r="AF367" t="s">
        <v>33</v>
      </c>
      <c r="AG367">
        <f t="shared" si="75"/>
        <v>6</v>
      </c>
      <c r="AH367">
        <f t="shared" si="76"/>
        <v>2024</v>
      </c>
      <c r="AI367" t="str">
        <f t="shared" si="77"/>
        <v>WARNING</v>
      </c>
    </row>
    <row r="368" spans="1:35">
      <c r="A368" t="s">
        <v>1200</v>
      </c>
      <c r="B368">
        <f t="shared" si="65"/>
        <v>1</v>
      </c>
      <c r="C368" t="str">
        <f>IF(COUNTIF($A$2:A368, A368)&gt;1, "DUPLICATE_FLAGGED_FOR_REVIEW", "")</f>
        <v/>
      </c>
      <c r="D368" s="3">
        <v>45673</v>
      </c>
      <c r="E368" s="2">
        <v>45679</v>
      </c>
      <c r="F368" s="2" t="str">
        <f t="shared" si="66"/>
        <v>OK</v>
      </c>
      <c r="G368" s="4">
        <f t="shared" si="67"/>
        <v>6</v>
      </c>
      <c r="H368" t="s">
        <v>1201</v>
      </c>
      <c r="I368" t="s">
        <v>132</v>
      </c>
      <c r="J368" t="s">
        <v>90</v>
      </c>
      <c r="K368" t="s">
        <v>25</v>
      </c>
      <c r="L368" t="str">
        <f t="shared" si="68"/>
        <v>North</v>
      </c>
      <c r="M368" t="s">
        <v>26</v>
      </c>
      <c r="N368" t="s">
        <v>27</v>
      </c>
      <c r="O368" t="s">
        <v>41</v>
      </c>
      <c r="P368" t="s">
        <v>42</v>
      </c>
      <c r="Q368" t="s">
        <v>1202</v>
      </c>
      <c r="R368" t="s">
        <v>44</v>
      </c>
      <c r="S368" t="str">
        <f t="shared" si="69"/>
        <v>Same Day</v>
      </c>
      <c r="T368">
        <v>2</v>
      </c>
      <c r="U368">
        <v>4418.28</v>
      </c>
      <c r="V368">
        <v>0</v>
      </c>
      <c r="W368">
        <f t="shared" si="70"/>
        <v>0</v>
      </c>
      <c r="X368" t="str">
        <f t="shared" si="71"/>
        <v/>
      </c>
      <c r="Y368">
        <v>8836.56</v>
      </c>
      <c r="Z368">
        <f t="shared" si="72"/>
        <v>8836.56</v>
      </c>
      <c r="AA368">
        <v>5867.75</v>
      </c>
      <c r="AB368">
        <v>2968.81</v>
      </c>
      <c r="AC368">
        <f t="shared" si="73"/>
        <v>4418.28</v>
      </c>
      <c r="AD368" s="6">
        <f t="shared" si="74"/>
        <v>0.5</v>
      </c>
      <c r="AE368" t="s">
        <v>32</v>
      </c>
      <c r="AF368" t="s">
        <v>33</v>
      </c>
      <c r="AG368">
        <f t="shared" si="75"/>
        <v>1</v>
      </c>
      <c r="AH368">
        <f t="shared" si="76"/>
        <v>2025</v>
      </c>
      <c r="AI368" t="str">
        <f t="shared" si="77"/>
        <v>CLEAN</v>
      </c>
    </row>
    <row r="369" spans="1:35">
      <c r="A369" t="s">
        <v>1203</v>
      </c>
      <c r="B369">
        <f t="shared" si="65"/>
        <v>1</v>
      </c>
      <c r="C369" t="str">
        <f>IF(COUNTIF($A$2:A369, A369)&gt;1, "DUPLICATE_FLAGGED_FOR_REVIEW", "")</f>
        <v/>
      </c>
      <c r="D369" s="3">
        <v>45366</v>
      </c>
      <c r="E369" s="2">
        <v>45367</v>
      </c>
      <c r="F369" s="2" t="str">
        <f t="shared" si="66"/>
        <v>OK</v>
      </c>
      <c r="G369" s="4">
        <f t="shared" si="67"/>
        <v>1</v>
      </c>
      <c r="H369" t="s">
        <v>1204</v>
      </c>
      <c r="I369" t="s">
        <v>141</v>
      </c>
      <c r="J369" t="s">
        <v>24</v>
      </c>
      <c r="K369" t="s">
        <v>25</v>
      </c>
      <c r="L369" t="str">
        <f t="shared" si="68"/>
        <v>North</v>
      </c>
      <c r="M369" t="s">
        <v>350</v>
      </c>
      <c r="N369" t="s">
        <v>351</v>
      </c>
      <c r="O369" t="s">
        <v>28</v>
      </c>
      <c r="P369" t="s">
        <v>48</v>
      </c>
      <c r="Q369" t="s">
        <v>1205</v>
      </c>
      <c r="R369" t="s">
        <v>59</v>
      </c>
      <c r="S369" t="str">
        <f t="shared" si="69"/>
        <v>Standard Class</v>
      </c>
      <c r="T369">
        <v>6</v>
      </c>
      <c r="U369">
        <v>3815.09</v>
      </c>
      <c r="V369">
        <v>0.15</v>
      </c>
      <c r="W369">
        <f t="shared" si="70"/>
        <v>0.15</v>
      </c>
      <c r="X369" t="str">
        <f t="shared" si="71"/>
        <v/>
      </c>
      <c r="Y369">
        <v>19456.96</v>
      </c>
      <c r="Z369">
        <f t="shared" si="72"/>
        <v>19456.958999999999</v>
      </c>
      <c r="AA369">
        <v>14520.06</v>
      </c>
      <c r="AB369">
        <v>4936.8999999999996</v>
      </c>
      <c r="AC369">
        <f t="shared" si="73"/>
        <v>15641.868999999999</v>
      </c>
      <c r="AD369" s="6">
        <f t="shared" si="74"/>
        <v>0.80392156862745101</v>
      </c>
      <c r="AE369" t="s">
        <v>155</v>
      </c>
      <c r="AF369" t="s">
        <v>68</v>
      </c>
      <c r="AG369">
        <f t="shared" si="75"/>
        <v>3</v>
      </c>
      <c r="AH369">
        <f t="shared" si="76"/>
        <v>2024</v>
      </c>
      <c r="AI369" t="str">
        <f t="shared" si="77"/>
        <v>CLEAN</v>
      </c>
    </row>
    <row r="370" spans="1:35">
      <c r="A370" t="s">
        <v>1206</v>
      </c>
      <c r="B370">
        <f t="shared" si="65"/>
        <v>1</v>
      </c>
      <c r="C370" t="str">
        <f>IF(COUNTIF($A$2:A370, A370)&gt;1, "DUPLICATE_FLAGGED_FOR_REVIEW", "")</f>
        <v/>
      </c>
      <c r="D370" s="3">
        <v>45844</v>
      </c>
      <c r="E370" s="2">
        <v>45844</v>
      </c>
      <c r="F370" s="2" t="str">
        <f t="shared" si="66"/>
        <v>OK</v>
      </c>
      <c r="G370" s="4">
        <f t="shared" si="67"/>
        <v>0</v>
      </c>
      <c r="H370" t="s">
        <v>1207</v>
      </c>
      <c r="I370" t="s">
        <v>128</v>
      </c>
      <c r="J370" t="s">
        <v>95</v>
      </c>
      <c r="K370" t="s">
        <v>25</v>
      </c>
      <c r="L370" t="str">
        <f t="shared" si="68"/>
        <v>North</v>
      </c>
      <c r="M370" t="s">
        <v>26</v>
      </c>
      <c r="N370" t="s">
        <v>27</v>
      </c>
      <c r="O370" t="s">
        <v>74</v>
      </c>
      <c r="P370" t="s">
        <v>75</v>
      </c>
      <c r="Q370" t="s">
        <v>1208</v>
      </c>
      <c r="R370" t="s">
        <v>44</v>
      </c>
      <c r="S370" t="str">
        <f t="shared" si="69"/>
        <v>Same Day</v>
      </c>
      <c r="T370">
        <v>9</v>
      </c>
      <c r="U370">
        <v>243.19</v>
      </c>
      <c r="V370">
        <v>0.05</v>
      </c>
      <c r="W370">
        <f t="shared" si="70"/>
        <v>0.05</v>
      </c>
      <c r="X370" t="str">
        <f t="shared" si="71"/>
        <v/>
      </c>
      <c r="Y370">
        <v>2079.27</v>
      </c>
      <c r="Z370">
        <f t="shared" si="72"/>
        <v>2079.2745</v>
      </c>
      <c r="AA370">
        <v>1512.17</v>
      </c>
      <c r="AB370">
        <v>567.1</v>
      </c>
      <c r="AC370">
        <f t="shared" si="73"/>
        <v>1836.0844999999999</v>
      </c>
      <c r="AD370" s="6">
        <f t="shared" si="74"/>
        <v>0.88304093567251463</v>
      </c>
      <c r="AE370" t="s">
        <v>102</v>
      </c>
      <c r="AF370" t="s">
        <v>103</v>
      </c>
      <c r="AG370">
        <f t="shared" si="75"/>
        <v>7</v>
      </c>
      <c r="AH370">
        <f t="shared" si="76"/>
        <v>2025</v>
      </c>
      <c r="AI370" t="str">
        <f t="shared" si="77"/>
        <v>CLEAN</v>
      </c>
    </row>
    <row r="371" spans="1:35">
      <c r="A371" t="s">
        <v>1209</v>
      </c>
      <c r="B371">
        <f t="shared" si="65"/>
        <v>1</v>
      </c>
      <c r="C371" t="str">
        <f>IF(COUNTIF($A$2:A371, A371)&gt;1, "DUPLICATE_FLAGGED_FOR_REVIEW", "")</f>
        <v/>
      </c>
      <c r="D371" s="3">
        <v>45680</v>
      </c>
      <c r="E371" s="2">
        <v>45687</v>
      </c>
      <c r="F371" s="2" t="str">
        <f t="shared" si="66"/>
        <v>OK</v>
      </c>
      <c r="G371" s="4">
        <f t="shared" si="67"/>
        <v>7</v>
      </c>
      <c r="H371" t="s">
        <v>1210</v>
      </c>
      <c r="I371" t="s">
        <v>114</v>
      </c>
      <c r="J371" t="s">
        <v>24</v>
      </c>
      <c r="K371" t="s">
        <v>25</v>
      </c>
      <c r="L371" t="str">
        <f t="shared" si="68"/>
        <v>North</v>
      </c>
      <c r="M371" t="s">
        <v>350</v>
      </c>
      <c r="N371" t="s">
        <v>351</v>
      </c>
      <c r="O371" t="s">
        <v>28</v>
      </c>
      <c r="P371" t="s">
        <v>91</v>
      </c>
      <c r="Q371" t="s">
        <v>1211</v>
      </c>
      <c r="R371" t="s">
        <v>59</v>
      </c>
      <c r="S371" t="str">
        <f t="shared" si="69"/>
        <v>Standard Class</v>
      </c>
      <c r="T371">
        <v>9</v>
      </c>
      <c r="U371">
        <v>1169.3699999999999</v>
      </c>
      <c r="V371">
        <v>0.15</v>
      </c>
      <c r="W371">
        <f t="shared" si="70"/>
        <v>0.15</v>
      </c>
      <c r="X371" t="str">
        <f t="shared" si="71"/>
        <v/>
      </c>
      <c r="Y371">
        <v>8945.68</v>
      </c>
      <c r="Z371">
        <f t="shared" si="72"/>
        <v>8945.6804999999986</v>
      </c>
      <c r="AA371">
        <v>6740.35</v>
      </c>
      <c r="AB371">
        <v>2205.33</v>
      </c>
      <c r="AC371">
        <f t="shared" si="73"/>
        <v>7776.3104999999987</v>
      </c>
      <c r="AD371" s="6">
        <f t="shared" si="74"/>
        <v>0.86928104575163401</v>
      </c>
      <c r="AE371" t="s">
        <v>32</v>
      </c>
      <c r="AF371" t="s">
        <v>33</v>
      </c>
      <c r="AG371">
        <f t="shared" si="75"/>
        <v>1</v>
      </c>
      <c r="AH371">
        <f t="shared" si="76"/>
        <v>2025</v>
      </c>
      <c r="AI371" t="str">
        <f t="shared" si="77"/>
        <v>CLEAN</v>
      </c>
    </row>
    <row r="372" spans="1:35">
      <c r="A372" t="s">
        <v>1212</v>
      </c>
      <c r="B372">
        <f t="shared" si="65"/>
        <v>1</v>
      </c>
      <c r="C372" t="str">
        <f>IF(COUNTIF($A$2:A372, A372)&gt;1, "DUPLICATE_FLAGGED_FOR_REVIEW", "")</f>
        <v/>
      </c>
      <c r="D372" s="3">
        <v>45519</v>
      </c>
      <c r="E372" s="2">
        <v>45525</v>
      </c>
      <c r="F372" s="2" t="str">
        <f t="shared" si="66"/>
        <v>OK</v>
      </c>
      <c r="G372" s="4">
        <f t="shared" si="67"/>
        <v>6</v>
      </c>
      <c r="H372" t="s">
        <v>1213</v>
      </c>
      <c r="I372" t="s">
        <v>62</v>
      </c>
      <c r="J372" t="s">
        <v>37</v>
      </c>
      <c r="K372" t="s">
        <v>63</v>
      </c>
      <c r="L372" t="str">
        <f t="shared" si="68"/>
        <v>West</v>
      </c>
      <c r="M372" t="s">
        <v>26</v>
      </c>
      <c r="N372" t="s">
        <v>109</v>
      </c>
      <c r="O372" t="s">
        <v>74</v>
      </c>
      <c r="P372" t="s">
        <v>80</v>
      </c>
      <c r="Q372" t="s">
        <v>1214</v>
      </c>
      <c r="R372" t="s">
        <v>50</v>
      </c>
      <c r="S372" t="str">
        <f t="shared" si="69"/>
        <v>First Class</v>
      </c>
      <c r="T372">
        <v>7</v>
      </c>
      <c r="U372">
        <v>2333.81</v>
      </c>
      <c r="V372">
        <v>0.2</v>
      </c>
      <c r="W372">
        <f t="shared" si="70"/>
        <v>0.2</v>
      </c>
      <c r="X372" t="str">
        <f t="shared" si="71"/>
        <v/>
      </c>
      <c r="Y372">
        <v>13069.34</v>
      </c>
      <c r="Z372">
        <f t="shared" si="72"/>
        <v>13069.336000000001</v>
      </c>
      <c r="AA372">
        <v>8768.59</v>
      </c>
      <c r="AB372">
        <v>4300.75</v>
      </c>
      <c r="AC372">
        <f t="shared" si="73"/>
        <v>10735.526000000002</v>
      </c>
      <c r="AD372" s="6">
        <f t="shared" si="74"/>
        <v>0.82142857142857151</v>
      </c>
      <c r="AE372" t="s">
        <v>32</v>
      </c>
      <c r="AF372" t="s">
        <v>33</v>
      </c>
      <c r="AG372">
        <f t="shared" si="75"/>
        <v>8</v>
      </c>
      <c r="AH372">
        <f t="shared" si="76"/>
        <v>2024</v>
      </c>
      <c r="AI372" t="str">
        <f t="shared" si="77"/>
        <v>CLEAN</v>
      </c>
    </row>
    <row r="373" spans="1:35">
      <c r="A373" t="s">
        <v>1215</v>
      </c>
      <c r="B373">
        <f t="shared" si="65"/>
        <v>1</v>
      </c>
      <c r="C373" t="str">
        <f>IF(COUNTIF($A$2:A373, A373)&gt;1, "DUPLICATE_FLAGGED_FOR_REVIEW", "")</f>
        <v/>
      </c>
      <c r="D373" s="3">
        <v>45313</v>
      </c>
      <c r="E373" s="2">
        <v>45315</v>
      </c>
      <c r="F373" s="2" t="str">
        <f t="shared" si="66"/>
        <v>OK</v>
      </c>
      <c r="G373" s="4">
        <f t="shared" si="67"/>
        <v>2</v>
      </c>
      <c r="H373" t="s">
        <v>1216</v>
      </c>
      <c r="I373" t="s">
        <v>162</v>
      </c>
      <c r="J373" t="s">
        <v>95</v>
      </c>
      <c r="K373" t="s">
        <v>63</v>
      </c>
      <c r="L373" t="str">
        <f t="shared" si="68"/>
        <v>West</v>
      </c>
      <c r="M373" t="s">
        <v>64</v>
      </c>
      <c r="N373" t="s">
        <v>65</v>
      </c>
      <c r="O373" t="s">
        <v>28</v>
      </c>
      <c r="P373" t="s">
        <v>48</v>
      </c>
      <c r="Q373" t="s">
        <v>1217</v>
      </c>
      <c r="R373" t="s">
        <v>59</v>
      </c>
      <c r="S373" t="str">
        <f t="shared" si="69"/>
        <v>Standard Class</v>
      </c>
      <c r="T373">
        <v>6</v>
      </c>
      <c r="U373">
        <v>1026.06</v>
      </c>
      <c r="W373">
        <f t="shared" si="70"/>
        <v>0</v>
      </c>
      <c r="X373" t="str">
        <f t="shared" si="71"/>
        <v>DISCOUNT_MISSING_SET_TO_0</v>
      </c>
      <c r="Y373">
        <v>4617.2700000000004</v>
      </c>
      <c r="Z373">
        <f t="shared" si="72"/>
        <v>6156.36</v>
      </c>
      <c r="AA373">
        <v>2981.94</v>
      </c>
      <c r="AB373">
        <v>1635.33</v>
      </c>
      <c r="AC373">
        <f t="shared" si="73"/>
        <v>5130.2999999999993</v>
      </c>
      <c r="AD373" s="6">
        <f t="shared" si="74"/>
        <v>0.83333333333333326</v>
      </c>
      <c r="AE373" t="s">
        <v>102</v>
      </c>
      <c r="AF373" t="s">
        <v>68</v>
      </c>
      <c r="AG373">
        <f t="shared" si="75"/>
        <v>1</v>
      </c>
      <c r="AH373">
        <f t="shared" si="76"/>
        <v>2024</v>
      </c>
      <c r="AI373" t="str">
        <f t="shared" si="77"/>
        <v>WARNING</v>
      </c>
    </row>
    <row r="374" spans="1:35">
      <c r="A374" t="s">
        <v>1218</v>
      </c>
      <c r="B374">
        <f t="shared" si="65"/>
        <v>1</v>
      </c>
      <c r="C374" t="str">
        <f>IF(COUNTIF($A$2:A374, A374)&gt;1, "DUPLICATE_FLAGGED_FOR_REVIEW", "")</f>
        <v/>
      </c>
      <c r="D374" s="3">
        <v>45885</v>
      </c>
      <c r="E374" s="2">
        <v>45887</v>
      </c>
      <c r="F374" s="2" t="str">
        <f t="shared" si="66"/>
        <v>OK</v>
      </c>
      <c r="G374" s="4">
        <f t="shared" si="67"/>
        <v>2</v>
      </c>
      <c r="H374" t="s">
        <v>640</v>
      </c>
      <c r="I374" t="s">
        <v>264</v>
      </c>
      <c r="J374" t="s">
        <v>24</v>
      </c>
      <c r="K374" t="s">
        <v>38</v>
      </c>
      <c r="L374" t="str">
        <f t="shared" si="68"/>
        <v>East</v>
      </c>
      <c r="M374" t="s">
        <v>228</v>
      </c>
      <c r="N374" t="s">
        <v>229</v>
      </c>
      <c r="O374" t="s">
        <v>41</v>
      </c>
      <c r="P374" t="s">
        <v>66</v>
      </c>
      <c r="Q374" t="s">
        <v>1219</v>
      </c>
      <c r="R374" t="s">
        <v>44</v>
      </c>
      <c r="S374" t="str">
        <f t="shared" si="69"/>
        <v>Same Day</v>
      </c>
      <c r="T374">
        <v>5</v>
      </c>
      <c r="U374">
        <v>1530.36</v>
      </c>
      <c r="V374">
        <v>0</v>
      </c>
      <c r="W374">
        <f t="shared" si="70"/>
        <v>0</v>
      </c>
      <c r="X374" t="str">
        <f t="shared" si="71"/>
        <v/>
      </c>
      <c r="Y374">
        <v>7651.8</v>
      </c>
      <c r="Z374">
        <f t="shared" si="72"/>
        <v>7651.7999999999993</v>
      </c>
      <c r="AA374">
        <v>5171.78</v>
      </c>
      <c r="AB374">
        <v>2480.02</v>
      </c>
      <c r="AC374">
        <f t="shared" si="73"/>
        <v>6121.44</v>
      </c>
      <c r="AD374" s="6">
        <f t="shared" si="74"/>
        <v>0.8</v>
      </c>
      <c r="AE374" t="s">
        <v>32</v>
      </c>
      <c r="AF374" t="s">
        <v>33</v>
      </c>
      <c r="AG374">
        <f t="shared" si="75"/>
        <v>8</v>
      </c>
      <c r="AH374">
        <f t="shared" si="76"/>
        <v>2025</v>
      </c>
      <c r="AI374" t="str">
        <f t="shared" si="77"/>
        <v>CLEAN</v>
      </c>
    </row>
    <row r="375" spans="1:35">
      <c r="A375" t="s">
        <v>1220</v>
      </c>
      <c r="B375">
        <f t="shared" si="65"/>
        <v>2</v>
      </c>
      <c r="C375" t="str">
        <f>IF(COUNTIF($A$2:A375, A375)&gt;1, "DUPLICATE_FLAGGED_FOR_REVIEW", "")</f>
        <v/>
      </c>
      <c r="D375" s="3">
        <v>45760</v>
      </c>
      <c r="E375" s="2">
        <v>45760</v>
      </c>
      <c r="F375" s="2" t="str">
        <f t="shared" si="66"/>
        <v>OK</v>
      </c>
      <c r="G375" s="4">
        <f t="shared" si="67"/>
        <v>0</v>
      </c>
      <c r="H375" t="s">
        <v>1221</v>
      </c>
      <c r="I375" t="s">
        <v>132</v>
      </c>
      <c r="J375" t="s">
        <v>37</v>
      </c>
      <c r="K375" t="s">
        <v>25</v>
      </c>
      <c r="L375" t="str">
        <f t="shared" si="68"/>
        <v>North</v>
      </c>
      <c r="M375" t="s">
        <v>136</v>
      </c>
      <c r="N375" t="s">
        <v>137</v>
      </c>
      <c r="O375" t="s">
        <v>28</v>
      </c>
      <c r="P375" t="s">
        <v>124</v>
      </c>
      <c r="Q375" t="s">
        <v>1222</v>
      </c>
      <c r="R375" t="s">
        <v>31</v>
      </c>
      <c r="S375" t="str">
        <f t="shared" si="69"/>
        <v>Second Class</v>
      </c>
      <c r="T375">
        <v>9</v>
      </c>
      <c r="U375">
        <v>1118.68</v>
      </c>
      <c r="V375">
        <v>0</v>
      </c>
      <c r="W375">
        <f t="shared" si="70"/>
        <v>0</v>
      </c>
      <c r="X375" t="str">
        <f t="shared" si="71"/>
        <v/>
      </c>
      <c r="Y375">
        <v>10068.120000000001</v>
      </c>
      <c r="Z375">
        <f t="shared" si="72"/>
        <v>10068.120000000001</v>
      </c>
      <c r="AA375">
        <v>8595.3700000000008</v>
      </c>
      <c r="AB375">
        <v>1472.75</v>
      </c>
      <c r="AC375">
        <f t="shared" si="73"/>
        <v>8949.44</v>
      </c>
      <c r="AD375" s="6">
        <f t="shared" si="74"/>
        <v>0.88888888888888884</v>
      </c>
      <c r="AE375" t="s">
        <v>32</v>
      </c>
      <c r="AF375" t="s">
        <v>33</v>
      </c>
      <c r="AG375">
        <f t="shared" si="75"/>
        <v>4</v>
      </c>
      <c r="AH375">
        <f t="shared" si="76"/>
        <v>2025</v>
      </c>
      <c r="AI375" t="str">
        <f t="shared" si="77"/>
        <v>CLEAN</v>
      </c>
    </row>
    <row r="376" spans="1:35">
      <c r="A376" t="s">
        <v>1223</v>
      </c>
      <c r="B376">
        <f t="shared" si="65"/>
        <v>1</v>
      </c>
      <c r="C376" t="str">
        <f>IF(COUNTIF($A$2:A376, A376)&gt;1, "DUPLICATE_FLAGGED_FOR_REVIEW", "")</f>
        <v/>
      </c>
      <c r="D376" s="3">
        <v>45715</v>
      </c>
      <c r="E376" s="2">
        <v>45716</v>
      </c>
      <c r="F376" s="2" t="str">
        <f t="shared" si="66"/>
        <v>OK</v>
      </c>
      <c r="G376" s="4">
        <f t="shared" si="67"/>
        <v>1</v>
      </c>
      <c r="H376" t="s">
        <v>1224</v>
      </c>
      <c r="I376" t="s">
        <v>89</v>
      </c>
      <c r="J376" t="s">
        <v>37</v>
      </c>
      <c r="K376" t="s">
        <v>25</v>
      </c>
      <c r="L376" t="str">
        <f t="shared" si="68"/>
        <v>North</v>
      </c>
      <c r="M376" t="s">
        <v>136</v>
      </c>
      <c r="N376" t="s">
        <v>137</v>
      </c>
      <c r="O376" t="s">
        <v>28</v>
      </c>
      <c r="P376" t="s">
        <v>91</v>
      </c>
      <c r="Q376" t="s">
        <v>1225</v>
      </c>
      <c r="R376" t="s">
        <v>59</v>
      </c>
      <c r="S376" t="str">
        <f t="shared" si="69"/>
        <v>Standard Class</v>
      </c>
      <c r="T376">
        <v>6</v>
      </c>
      <c r="U376">
        <v>2393.25</v>
      </c>
      <c r="V376">
        <v>0</v>
      </c>
      <c r="W376">
        <f t="shared" si="70"/>
        <v>0</v>
      </c>
      <c r="X376" t="str">
        <f t="shared" si="71"/>
        <v/>
      </c>
      <c r="Y376">
        <v>14359.5</v>
      </c>
      <c r="Z376">
        <f t="shared" si="72"/>
        <v>14359.5</v>
      </c>
      <c r="AA376">
        <v>8117.71</v>
      </c>
      <c r="AB376">
        <v>6241.79</v>
      </c>
      <c r="AC376">
        <f t="shared" si="73"/>
        <v>11966.25</v>
      </c>
      <c r="AD376" s="6">
        <f t="shared" si="74"/>
        <v>0.83333333333333337</v>
      </c>
      <c r="AE376" t="s">
        <v>32</v>
      </c>
      <c r="AF376" t="s">
        <v>33</v>
      </c>
      <c r="AG376">
        <f t="shared" si="75"/>
        <v>2</v>
      </c>
      <c r="AH376">
        <f t="shared" si="76"/>
        <v>2025</v>
      </c>
      <c r="AI376" t="str">
        <f t="shared" si="77"/>
        <v>CLEAN</v>
      </c>
    </row>
    <row r="377" spans="1:35">
      <c r="A377" t="s">
        <v>1226</v>
      </c>
      <c r="B377">
        <f t="shared" si="65"/>
        <v>1</v>
      </c>
      <c r="C377" t="str">
        <f>IF(COUNTIF($A$2:A377, A377)&gt;1, "DUPLICATE_FLAGGED_FOR_REVIEW", "")</f>
        <v/>
      </c>
      <c r="D377" s="3">
        <v>45657</v>
      </c>
      <c r="E377" s="2">
        <v>45661</v>
      </c>
      <c r="F377" s="2" t="str">
        <f t="shared" si="66"/>
        <v>OK</v>
      </c>
      <c r="G377" s="4">
        <f t="shared" si="67"/>
        <v>4</v>
      </c>
      <c r="H377" t="s">
        <v>1227</v>
      </c>
      <c r="I377" t="s">
        <v>71</v>
      </c>
      <c r="J377" t="s">
        <v>24</v>
      </c>
      <c r="K377" t="s">
        <v>25</v>
      </c>
      <c r="L377" t="str">
        <f t="shared" si="68"/>
        <v>North</v>
      </c>
      <c r="M377" t="s">
        <v>350</v>
      </c>
      <c r="N377" t="s">
        <v>351</v>
      </c>
      <c r="O377" t="s">
        <v>41</v>
      </c>
      <c r="P377" t="s">
        <v>66</v>
      </c>
      <c r="Q377" t="s">
        <v>1228</v>
      </c>
      <c r="R377" t="s">
        <v>44</v>
      </c>
      <c r="S377" t="str">
        <f t="shared" si="69"/>
        <v>Same Day</v>
      </c>
      <c r="T377">
        <v>3</v>
      </c>
      <c r="U377">
        <v>1166.6099999999999</v>
      </c>
      <c r="V377">
        <v>0.25</v>
      </c>
      <c r="W377">
        <f t="shared" si="70"/>
        <v>0.25</v>
      </c>
      <c r="X377" t="str">
        <f t="shared" si="71"/>
        <v/>
      </c>
      <c r="Y377">
        <v>2624.87</v>
      </c>
      <c r="Z377">
        <f t="shared" si="72"/>
        <v>2624.8724999999999</v>
      </c>
      <c r="AA377">
        <v>2253.88</v>
      </c>
      <c r="AB377">
        <v>370.99</v>
      </c>
      <c r="AC377">
        <f t="shared" si="73"/>
        <v>1458.2625</v>
      </c>
      <c r="AD377" s="6">
        <f t="shared" si="74"/>
        <v>0.55555555555555558</v>
      </c>
      <c r="AE377" t="s">
        <v>32</v>
      </c>
      <c r="AF377" t="s">
        <v>33</v>
      </c>
      <c r="AG377">
        <f t="shared" si="75"/>
        <v>12</v>
      </c>
      <c r="AH377">
        <f t="shared" si="76"/>
        <v>2024</v>
      </c>
      <c r="AI377" t="str">
        <f t="shared" si="77"/>
        <v>CLEAN</v>
      </c>
    </row>
    <row r="378" spans="1:35">
      <c r="A378" t="s">
        <v>1229</v>
      </c>
      <c r="B378">
        <f t="shared" si="65"/>
        <v>1</v>
      </c>
      <c r="C378" t="str">
        <f>IF(COUNTIF($A$2:A378, A378)&gt;1, "DUPLICATE_FLAGGED_FOR_REVIEW", "")</f>
        <v/>
      </c>
      <c r="D378" s="3">
        <v>45655</v>
      </c>
      <c r="E378" s="2">
        <v>45657</v>
      </c>
      <c r="F378" s="2" t="str">
        <f t="shared" si="66"/>
        <v>OK</v>
      </c>
      <c r="G378" s="4">
        <f t="shared" si="67"/>
        <v>2</v>
      </c>
      <c r="H378" t="s">
        <v>1230</v>
      </c>
      <c r="I378" t="s">
        <v>47</v>
      </c>
      <c r="J378" t="s">
        <v>37</v>
      </c>
      <c r="K378" t="s">
        <v>38</v>
      </c>
      <c r="L378" t="str">
        <f t="shared" si="68"/>
        <v>East</v>
      </c>
      <c r="M378" t="s">
        <v>145</v>
      </c>
      <c r="N378" t="s">
        <v>146</v>
      </c>
      <c r="O378" t="s">
        <v>41</v>
      </c>
      <c r="P378" t="s">
        <v>66</v>
      </c>
      <c r="Q378" t="s">
        <v>1231</v>
      </c>
      <c r="R378" t="s">
        <v>50</v>
      </c>
      <c r="S378" t="str">
        <f t="shared" si="69"/>
        <v>First Class</v>
      </c>
      <c r="T378">
        <v>6</v>
      </c>
      <c r="U378">
        <v>1844.78</v>
      </c>
      <c r="V378">
        <v>0.2</v>
      </c>
      <c r="W378">
        <f t="shared" si="70"/>
        <v>0.2</v>
      </c>
      <c r="X378" t="str">
        <f t="shared" si="71"/>
        <v/>
      </c>
      <c r="Y378">
        <v>8854.94</v>
      </c>
      <c r="Z378">
        <f t="shared" si="72"/>
        <v>8854.9440000000013</v>
      </c>
      <c r="AA378">
        <v>7433.95</v>
      </c>
      <c r="AB378">
        <v>1420.99</v>
      </c>
      <c r="AC378">
        <f t="shared" si="73"/>
        <v>7010.1640000000016</v>
      </c>
      <c r="AD378" s="6">
        <f t="shared" si="74"/>
        <v>0.79166666666666674</v>
      </c>
      <c r="AE378" t="s">
        <v>32</v>
      </c>
      <c r="AF378" t="s">
        <v>33</v>
      </c>
      <c r="AG378">
        <f t="shared" si="75"/>
        <v>12</v>
      </c>
      <c r="AH378">
        <f t="shared" si="76"/>
        <v>2024</v>
      </c>
      <c r="AI378" t="str">
        <f t="shared" si="77"/>
        <v>CLEAN</v>
      </c>
    </row>
    <row r="379" spans="1:35">
      <c r="A379" t="s">
        <v>1232</v>
      </c>
      <c r="B379">
        <f t="shared" si="65"/>
        <v>1</v>
      </c>
      <c r="C379" t="str">
        <f>IF(COUNTIF($A$2:A379, A379)&gt;1, "DUPLICATE_FLAGGED_FOR_REVIEW", "")</f>
        <v/>
      </c>
      <c r="D379" s="3">
        <v>45801</v>
      </c>
      <c r="E379" s="2">
        <v>45807</v>
      </c>
      <c r="F379" s="2" t="str">
        <f t="shared" si="66"/>
        <v>OK</v>
      </c>
      <c r="G379" s="4">
        <f t="shared" si="67"/>
        <v>6</v>
      </c>
      <c r="H379" t="s">
        <v>1233</v>
      </c>
      <c r="I379" t="s">
        <v>264</v>
      </c>
      <c r="J379" t="s">
        <v>37</v>
      </c>
      <c r="K379" t="s">
        <v>38</v>
      </c>
      <c r="L379" t="str">
        <f t="shared" si="68"/>
        <v>East</v>
      </c>
      <c r="M379" t="s">
        <v>39</v>
      </c>
      <c r="N379" t="s">
        <v>40</v>
      </c>
      <c r="O379" t="s">
        <v>28</v>
      </c>
      <c r="P379" t="s">
        <v>124</v>
      </c>
      <c r="Q379" t="s">
        <v>1234</v>
      </c>
      <c r="R379" t="s">
        <v>44</v>
      </c>
      <c r="S379" t="str">
        <f t="shared" si="69"/>
        <v>Same Day</v>
      </c>
      <c r="T379">
        <v>1</v>
      </c>
      <c r="U379">
        <v>2564.7399999999998</v>
      </c>
      <c r="V379">
        <v>0</v>
      </c>
      <c r="W379">
        <f t="shared" si="70"/>
        <v>0</v>
      </c>
      <c r="X379" t="str">
        <f t="shared" si="71"/>
        <v/>
      </c>
      <c r="Y379">
        <v>2564.7399999999998</v>
      </c>
      <c r="Z379">
        <f t="shared" si="72"/>
        <v>2564.7399999999998</v>
      </c>
      <c r="AA379">
        <v>1754.58</v>
      </c>
      <c r="AB379">
        <v>810.16</v>
      </c>
      <c r="AC379">
        <f t="shared" si="73"/>
        <v>0</v>
      </c>
      <c r="AD379" s="6">
        <f t="shared" si="74"/>
        <v>0</v>
      </c>
      <c r="AE379" t="s">
        <v>32</v>
      </c>
      <c r="AF379" t="s">
        <v>33</v>
      </c>
      <c r="AG379">
        <f t="shared" si="75"/>
        <v>5</v>
      </c>
      <c r="AH379">
        <f t="shared" si="76"/>
        <v>2025</v>
      </c>
      <c r="AI379" t="str">
        <f t="shared" si="77"/>
        <v>CLEAN</v>
      </c>
    </row>
    <row r="380" spans="1:35">
      <c r="A380" t="s">
        <v>1235</v>
      </c>
      <c r="B380">
        <f t="shared" si="65"/>
        <v>1</v>
      </c>
      <c r="C380" t="str">
        <f>IF(COUNTIF($A$2:A380, A380)&gt;1, "DUPLICATE_FLAGGED_FOR_REVIEW", "")</f>
        <v/>
      </c>
      <c r="D380" s="3">
        <v>45799</v>
      </c>
      <c r="E380" s="2">
        <v>45799</v>
      </c>
      <c r="F380" s="2" t="str">
        <f t="shared" si="66"/>
        <v>OK</v>
      </c>
      <c r="G380" s="4">
        <f t="shared" si="67"/>
        <v>0</v>
      </c>
      <c r="H380" t="s">
        <v>1236</v>
      </c>
      <c r="I380" t="s">
        <v>36</v>
      </c>
      <c r="J380" t="s">
        <v>24</v>
      </c>
      <c r="K380" t="s">
        <v>63</v>
      </c>
      <c r="L380" t="str">
        <f t="shared" si="68"/>
        <v>West</v>
      </c>
      <c r="M380" t="s">
        <v>190</v>
      </c>
      <c r="N380" t="s">
        <v>191</v>
      </c>
      <c r="O380" t="s">
        <v>74</v>
      </c>
      <c r="P380" t="s">
        <v>75</v>
      </c>
      <c r="Q380" t="s">
        <v>1237</v>
      </c>
      <c r="R380" t="s">
        <v>59</v>
      </c>
      <c r="S380" t="str">
        <f t="shared" si="69"/>
        <v>Standard Class</v>
      </c>
      <c r="T380">
        <v>2</v>
      </c>
      <c r="U380">
        <v>3910.61</v>
      </c>
      <c r="V380">
        <v>0</v>
      </c>
      <c r="W380">
        <f t="shared" si="70"/>
        <v>0</v>
      </c>
      <c r="X380" t="str">
        <f t="shared" si="71"/>
        <v/>
      </c>
      <c r="Y380">
        <v>7821.22</v>
      </c>
      <c r="Z380">
        <f t="shared" si="72"/>
        <v>7821.22</v>
      </c>
      <c r="AA380">
        <v>4994.46</v>
      </c>
      <c r="AB380">
        <v>2826.76</v>
      </c>
      <c r="AC380">
        <f t="shared" si="73"/>
        <v>3910.61</v>
      </c>
      <c r="AD380" s="6">
        <f t="shared" si="74"/>
        <v>0.5</v>
      </c>
      <c r="AE380" t="s">
        <v>32</v>
      </c>
      <c r="AF380" t="s">
        <v>33</v>
      </c>
      <c r="AG380">
        <f t="shared" si="75"/>
        <v>5</v>
      </c>
      <c r="AH380">
        <f t="shared" si="76"/>
        <v>2025</v>
      </c>
      <c r="AI380" t="str">
        <f t="shared" si="77"/>
        <v>CLEAN</v>
      </c>
    </row>
    <row r="381" spans="1:35">
      <c r="A381" t="s">
        <v>1238</v>
      </c>
      <c r="B381">
        <f t="shared" si="65"/>
        <v>1</v>
      </c>
      <c r="C381" t="str">
        <f>IF(COUNTIF($A$2:A381, A381)&gt;1, "DUPLICATE_FLAGGED_FOR_REVIEW", "")</f>
        <v/>
      </c>
      <c r="D381" s="3">
        <v>45554</v>
      </c>
      <c r="E381" s="2">
        <v>45558</v>
      </c>
      <c r="F381" s="2" t="str">
        <f t="shared" si="66"/>
        <v>OK</v>
      </c>
      <c r="G381" s="4">
        <f t="shared" si="67"/>
        <v>4</v>
      </c>
      <c r="H381" t="s">
        <v>1239</v>
      </c>
      <c r="I381" t="s">
        <v>36</v>
      </c>
      <c r="J381" t="s">
        <v>37</v>
      </c>
      <c r="K381" t="s">
        <v>54</v>
      </c>
      <c r="L381" t="str">
        <f t="shared" si="68"/>
        <v>South</v>
      </c>
      <c r="M381" t="s">
        <v>185</v>
      </c>
      <c r="N381" t="s">
        <v>186</v>
      </c>
      <c r="O381" t="s">
        <v>28</v>
      </c>
      <c r="P381" t="s">
        <v>29</v>
      </c>
      <c r="Q381" t="s">
        <v>1240</v>
      </c>
      <c r="R381" t="s">
        <v>59</v>
      </c>
      <c r="S381" t="str">
        <f t="shared" si="69"/>
        <v>Standard Class</v>
      </c>
      <c r="T381">
        <v>7</v>
      </c>
      <c r="U381">
        <v>1136.68</v>
      </c>
      <c r="W381">
        <f t="shared" si="70"/>
        <v>0</v>
      </c>
      <c r="X381" t="str">
        <f t="shared" si="71"/>
        <v>DISCOUNT_MISSING_SET_TO_0</v>
      </c>
      <c r="Y381">
        <v>7956.76</v>
      </c>
      <c r="Z381">
        <f t="shared" si="72"/>
        <v>7956.76</v>
      </c>
      <c r="AA381">
        <v>4799.54</v>
      </c>
      <c r="AB381">
        <v>3157.22</v>
      </c>
      <c r="AC381">
        <f t="shared" si="73"/>
        <v>6820.08</v>
      </c>
      <c r="AD381" s="6">
        <f t="shared" si="74"/>
        <v>0.8571428571428571</v>
      </c>
      <c r="AE381" t="s">
        <v>32</v>
      </c>
      <c r="AF381" t="s">
        <v>33</v>
      </c>
      <c r="AG381">
        <f t="shared" si="75"/>
        <v>9</v>
      </c>
      <c r="AH381">
        <f t="shared" si="76"/>
        <v>2024</v>
      </c>
      <c r="AI381" t="str">
        <f t="shared" si="77"/>
        <v>WARNING</v>
      </c>
    </row>
    <row r="382" spans="1:35">
      <c r="A382" t="s">
        <v>1241</v>
      </c>
      <c r="B382">
        <f t="shared" si="65"/>
        <v>1</v>
      </c>
      <c r="C382" t="str">
        <f>IF(COUNTIF($A$2:A382, A382)&gt;1, "DUPLICATE_FLAGGED_FOR_REVIEW", "")</f>
        <v/>
      </c>
      <c r="D382" s="3">
        <v>45389</v>
      </c>
      <c r="E382" s="2">
        <v>45396</v>
      </c>
      <c r="F382" s="2" t="str">
        <f t="shared" si="66"/>
        <v>OK</v>
      </c>
      <c r="G382" s="4">
        <f t="shared" si="67"/>
        <v>7</v>
      </c>
      <c r="H382" t="s">
        <v>1242</v>
      </c>
      <c r="I382" t="s">
        <v>71</v>
      </c>
      <c r="J382" t="s">
        <v>24</v>
      </c>
      <c r="K382" t="s">
        <v>63</v>
      </c>
      <c r="L382" t="str">
        <f t="shared" si="68"/>
        <v>West</v>
      </c>
      <c r="M382" t="s">
        <v>64</v>
      </c>
      <c r="N382" t="s">
        <v>65</v>
      </c>
      <c r="O382" t="s">
        <v>41</v>
      </c>
      <c r="P382" t="s">
        <v>158</v>
      </c>
      <c r="Q382" t="s">
        <v>1243</v>
      </c>
      <c r="R382" t="s">
        <v>44</v>
      </c>
      <c r="S382" t="str">
        <f t="shared" si="69"/>
        <v>Same Day</v>
      </c>
      <c r="T382">
        <v>5</v>
      </c>
      <c r="U382">
        <v>2235.85</v>
      </c>
      <c r="V382">
        <v>0.25</v>
      </c>
      <c r="W382">
        <f t="shared" si="70"/>
        <v>0.25</v>
      </c>
      <c r="X382" t="str">
        <f t="shared" si="71"/>
        <v/>
      </c>
      <c r="Y382">
        <v>8384.44</v>
      </c>
      <c r="Z382">
        <f t="shared" si="72"/>
        <v>8384.4375</v>
      </c>
      <c r="AA382">
        <v>4765.96</v>
      </c>
      <c r="AB382">
        <v>3618.48</v>
      </c>
      <c r="AC382">
        <f t="shared" si="73"/>
        <v>6148.5874999999996</v>
      </c>
      <c r="AD382" s="6">
        <f t="shared" si="74"/>
        <v>0.73333333333333328</v>
      </c>
      <c r="AE382" t="s">
        <v>32</v>
      </c>
      <c r="AF382" t="s">
        <v>103</v>
      </c>
      <c r="AG382">
        <f t="shared" si="75"/>
        <v>4</v>
      </c>
      <c r="AH382">
        <f t="shared" si="76"/>
        <v>2024</v>
      </c>
      <c r="AI382" t="str">
        <f t="shared" si="77"/>
        <v>CLEAN</v>
      </c>
    </row>
    <row r="383" spans="1:35">
      <c r="A383" t="s">
        <v>1244</v>
      </c>
      <c r="B383">
        <f t="shared" si="65"/>
        <v>1</v>
      </c>
      <c r="C383" t="str">
        <f>IF(COUNTIF($A$2:A383, A383)&gt;1, "DUPLICATE_FLAGGED_FOR_REVIEW", "")</f>
        <v/>
      </c>
      <c r="D383" s="3">
        <v>45919</v>
      </c>
      <c r="E383" s="2">
        <v>45923</v>
      </c>
      <c r="F383" s="2" t="str">
        <f t="shared" si="66"/>
        <v>OK</v>
      </c>
      <c r="G383" s="4">
        <f t="shared" si="67"/>
        <v>4</v>
      </c>
      <c r="H383" t="s">
        <v>1245</v>
      </c>
      <c r="I383" t="s">
        <v>53</v>
      </c>
      <c r="J383" t="s">
        <v>95</v>
      </c>
      <c r="K383" t="s">
        <v>25</v>
      </c>
      <c r="L383" t="str">
        <f t="shared" si="68"/>
        <v>North</v>
      </c>
      <c r="M383" t="s">
        <v>350</v>
      </c>
      <c r="N383" t="s">
        <v>351</v>
      </c>
      <c r="O383" t="s">
        <v>28</v>
      </c>
      <c r="P383" t="s">
        <v>153</v>
      </c>
      <c r="Q383" t="s">
        <v>1246</v>
      </c>
      <c r="R383" t="s">
        <v>59</v>
      </c>
      <c r="S383" t="str">
        <f t="shared" si="69"/>
        <v>Standard Class</v>
      </c>
      <c r="T383">
        <v>4</v>
      </c>
      <c r="U383">
        <v>4387.1499999999996</v>
      </c>
      <c r="V383">
        <v>0.05</v>
      </c>
      <c r="W383">
        <f t="shared" si="70"/>
        <v>0.05</v>
      </c>
      <c r="X383" t="str">
        <f t="shared" si="71"/>
        <v/>
      </c>
      <c r="Y383">
        <v>16671.169999999998</v>
      </c>
      <c r="Z383">
        <f t="shared" si="72"/>
        <v>16671.169999999998</v>
      </c>
      <c r="AA383">
        <v>10833.19</v>
      </c>
      <c r="AB383">
        <v>5837.98</v>
      </c>
      <c r="AC383">
        <f t="shared" si="73"/>
        <v>12284.019999999999</v>
      </c>
      <c r="AD383" s="6">
        <f t="shared" si="74"/>
        <v>0.73684210526315785</v>
      </c>
      <c r="AE383" t="s">
        <v>155</v>
      </c>
      <c r="AF383" t="s">
        <v>68</v>
      </c>
      <c r="AG383">
        <f t="shared" si="75"/>
        <v>9</v>
      </c>
      <c r="AH383">
        <f t="shared" si="76"/>
        <v>2025</v>
      </c>
      <c r="AI383" t="str">
        <f t="shared" si="77"/>
        <v>CLEAN</v>
      </c>
    </row>
    <row r="384" spans="1:35">
      <c r="A384" t="s">
        <v>1247</v>
      </c>
      <c r="B384">
        <f t="shared" si="65"/>
        <v>1</v>
      </c>
      <c r="C384" t="str">
        <f>IF(COUNTIF($A$2:A384, A384)&gt;1, "DUPLICATE_FLAGGED_FOR_REVIEW", "")</f>
        <v/>
      </c>
      <c r="D384" s="3">
        <v>45720</v>
      </c>
      <c r="E384" s="2">
        <v>45872</v>
      </c>
      <c r="F384" s="2" t="str">
        <f t="shared" si="66"/>
        <v>OK</v>
      </c>
      <c r="G384" s="4">
        <f t="shared" si="67"/>
        <v>152</v>
      </c>
      <c r="H384" t="s">
        <v>157</v>
      </c>
      <c r="I384" t="s">
        <v>53</v>
      </c>
      <c r="J384" t="s">
        <v>37</v>
      </c>
      <c r="K384" t="s">
        <v>38</v>
      </c>
      <c r="L384" t="str">
        <f t="shared" si="68"/>
        <v>East</v>
      </c>
      <c r="M384" t="s">
        <v>145</v>
      </c>
      <c r="N384" t="s">
        <v>146</v>
      </c>
      <c r="O384" t="s">
        <v>74</v>
      </c>
      <c r="P384" t="s">
        <v>171</v>
      </c>
      <c r="Q384" t="s">
        <v>1248</v>
      </c>
      <c r="R384" t="s">
        <v>50</v>
      </c>
      <c r="S384" t="str">
        <f t="shared" si="69"/>
        <v>First Class</v>
      </c>
      <c r="T384">
        <v>3</v>
      </c>
      <c r="U384">
        <v>4361.8500000000004</v>
      </c>
      <c r="V384">
        <v>0.2</v>
      </c>
      <c r="W384">
        <f t="shared" si="70"/>
        <v>0.2</v>
      </c>
      <c r="X384" t="str">
        <f t="shared" si="71"/>
        <v/>
      </c>
      <c r="Y384">
        <v>10468.44</v>
      </c>
      <c r="Z384">
        <f t="shared" si="72"/>
        <v>10468.440000000002</v>
      </c>
      <c r="AA384">
        <v>8399.8700000000008</v>
      </c>
      <c r="AB384">
        <v>2068.5700000000002</v>
      </c>
      <c r="AC384">
        <f t="shared" si="73"/>
        <v>6106.590000000002</v>
      </c>
      <c r="AD384" s="6">
        <f t="shared" si="74"/>
        <v>0.58333333333333337</v>
      </c>
      <c r="AE384" t="s">
        <v>32</v>
      </c>
      <c r="AF384" t="s">
        <v>33</v>
      </c>
      <c r="AG384">
        <f t="shared" si="75"/>
        <v>3</v>
      </c>
      <c r="AH384">
        <f t="shared" si="76"/>
        <v>2025</v>
      </c>
      <c r="AI384" t="str">
        <f t="shared" si="77"/>
        <v>CLEAN</v>
      </c>
    </row>
    <row r="385" spans="1:35">
      <c r="A385" t="s">
        <v>1249</v>
      </c>
      <c r="B385">
        <f t="shared" si="65"/>
        <v>1</v>
      </c>
      <c r="C385" t="str">
        <f>IF(COUNTIF($A$2:A385, A385)&gt;1, "DUPLICATE_FLAGGED_FOR_REVIEW", "")</f>
        <v/>
      </c>
      <c r="D385" s="3">
        <v>45836</v>
      </c>
      <c r="E385" s="2">
        <v>45843</v>
      </c>
      <c r="F385" s="2" t="str">
        <f t="shared" si="66"/>
        <v>OK</v>
      </c>
      <c r="G385" s="4">
        <f t="shared" si="67"/>
        <v>7</v>
      </c>
      <c r="H385" t="s">
        <v>1250</v>
      </c>
      <c r="I385" t="s">
        <v>71</v>
      </c>
      <c r="J385" t="s">
        <v>90</v>
      </c>
      <c r="K385" t="s">
        <v>38</v>
      </c>
      <c r="L385" t="str">
        <f t="shared" si="68"/>
        <v>East</v>
      </c>
      <c r="M385" t="s">
        <v>99</v>
      </c>
      <c r="N385" t="s">
        <v>100</v>
      </c>
      <c r="O385" t="s">
        <v>28</v>
      </c>
      <c r="P385" t="s">
        <v>48</v>
      </c>
      <c r="Q385" t="s">
        <v>1251</v>
      </c>
      <c r="R385" t="s">
        <v>50</v>
      </c>
      <c r="S385" t="str">
        <f t="shared" si="69"/>
        <v>First Class</v>
      </c>
      <c r="T385">
        <v>2</v>
      </c>
      <c r="U385">
        <v>2242.75</v>
      </c>
      <c r="V385">
        <v>0</v>
      </c>
      <c r="W385">
        <f t="shared" si="70"/>
        <v>0</v>
      </c>
      <c r="X385" t="str">
        <f t="shared" si="71"/>
        <v/>
      </c>
      <c r="Y385">
        <v>4485.5</v>
      </c>
      <c r="Z385">
        <f t="shared" si="72"/>
        <v>4485.5</v>
      </c>
      <c r="AA385">
        <v>3131.86</v>
      </c>
      <c r="AB385">
        <v>1353.64</v>
      </c>
      <c r="AC385">
        <f t="shared" si="73"/>
        <v>2242.75</v>
      </c>
      <c r="AD385" s="6">
        <f t="shared" si="74"/>
        <v>0.5</v>
      </c>
      <c r="AE385" t="s">
        <v>32</v>
      </c>
      <c r="AF385" t="s">
        <v>68</v>
      </c>
      <c r="AG385">
        <f t="shared" si="75"/>
        <v>6</v>
      </c>
      <c r="AH385">
        <f t="shared" si="76"/>
        <v>2025</v>
      </c>
      <c r="AI385" t="str">
        <f t="shared" si="77"/>
        <v>CLEAN</v>
      </c>
    </row>
    <row r="386" spans="1:35">
      <c r="A386" t="s">
        <v>1252</v>
      </c>
      <c r="B386">
        <f t="shared" si="65"/>
        <v>1</v>
      </c>
      <c r="C386" t="str">
        <f>IF(COUNTIF($A$2:A386, A386)&gt;1, "DUPLICATE_FLAGGED_FOR_REVIEW", "")</f>
        <v/>
      </c>
      <c r="D386" s="3">
        <v>45366</v>
      </c>
      <c r="E386" s="2">
        <v>45371</v>
      </c>
      <c r="F386" s="2" t="str">
        <f t="shared" si="66"/>
        <v>OK</v>
      </c>
      <c r="G386" s="4">
        <f t="shared" si="67"/>
        <v>5</v>
      </c>
      <c r="H386" t="s">
        <v>1253</v>
      </c>
      <c r="I386" t="s">
        <v>141</v>
      </c>
      <c r="J386" t="s">
        <v>24</v>
      </c>
      <c r="K386" t="s">
        <v>38</v>
      </c>
      <c r="L386" t="str">
        <f t="shared" si="68"/>
        <v>East</v>
      </c>
      <c r="M386" t="s">
        <v>228</v>
      </c>
      <c r="N386" t="s">
        <v>229</v>
      </c>
      <c r="O386" t="s">
        <v>74</v>
      </c>
      <c r="P386" t="s">
        <v>80</v>
      </c>
      <c r="Q386" t="s">
        <v>1254</v>
      </c>
      <c r="R386" t="s">
        <v>59</v>
      </c>
      <c r="S386" t="str">
        <f t="shared" si="69"/>
        <v>Standard Class</v>
      </c>
      <c r="T386">
        <v>2</v>
      </c>
      <c r="U386">
        <v>1881.4</v>
      </c>
      <c r="V386">
        <v>0.25</v>
      </c>
      <c r="W386">
        <f t="shared" si="70"/>
        <v>0.25</v>
      </c>
      <c r="X386" t="str">
        <f t="shared" si="71"/>
        <v/>
      </c>
      <c r="Y386">
        <v>2822.1</v>
      </c>
      <c r="Z386">
        <f t="shared" si="72"/>
        <v>2822.1000000000004</v>
      </c>
      <c r="AA386">
        <v>1624.57</v>
      </c>
      <c r="AB386">
        <v>1197.53</v>
      </c>
      <c r="AC386">
        <f t="shared" si="73"/>
        <v>940.70000000000027</v>
      </c>
      <c r="AD386" s="6">
        <f t="shared" si="74"/>
        <v>0.33333333333333337</v>
      </c>
      <c r="AE386" t="s">
        <v>32</v>
      </c>
      <c r="AF386" t="s">
        <v>103</v>
      </c>
      <c r="AG386">
        <f t="shared" si="75"/>
        <v>3</v>
      </c>
      <c r="AH386">
        <f t="shared" si="76"/>
        <v>2024</v>
      </c>
      <c r="AI386" t="str">
        <f t="shared" si="77"/>
        <v>CLEAN</v>
      </c>
    </row>
    <row r="387" spans="1:35">
      <c r="A387" t="s">
        <v>1255</v>
      </c>
      <c r="B387">
        <f t="shared" ref="B387:B450" si="78">COUNTIF($A$2:$A$932, A387)</f>
        <v>1</v>
      </c>
      <c r="C387" t="str">
        <f>IF(COUNTIF($A$2:A387, A387)&gt;1, "DUPLICATE_FLAGGED_FOR_REVIEW", "")</f>
        <v/>
      </c>
      <c r="D387" s="3">
        <v>45832</v>
      </c>
      <c r="E387" s="2">
        <v>45838</v>
      </c>
      <c r="F387" s="2" t="str">
        <f t="shared" ref="F387:F450" si="79">IF(E387&lt;D387, "ERROR: Ship before order", "OK")</f>
        <v>OK</v>
      </c>
      <c r="G387" s="4">
        <f t="shared" ref="G387:G450" si="80">IF(AND(ISNUMBER(E387),ISNUMBER(D387)), E387-D387, "")</f>
        <v>6</v>
      </c>
      <c r="H387" t="s">
        <v>1256</v>
      </c>
      <c r="I387" t="s">
        <v>53</v>
      </c>
      <c r="J387" t="s">
        <v>24</v>
      </c>
      <c r="K387" t="s">
        <v>25</v>
      </c>
      <c r="L387" t="str">
        <f t="shared" ref="L387:L450" si="81">IF(OR(K387="",ISBLANK(K387)), "Unknown", K387)</f>
        <v>North</v>
      </c>
      <c r="M387" t="s">
        <v>236</v>
      </c>
      <c r="N387" t="s">
        <v>237</v>
      </c>
      <c r="O387" t="s">
        <v>28</v>
      </c>
      <c r="P387" t="s">
        <v>91</v>
      </c>
      <c r="Q387" t="s">
        <v>1257</v>
      </c>
      <c r="R387" t="s">
        <v>59</v>
      </c>
      <c r="S387" t="str">
        <f t="shared" ref="S387:S450" si="82">IF(OR(R387="",ISBLANK(R387)), "Unknown", R387)</f>
        <v>Standard Class</v>
      </c>
      <c r="T387">
        <v>6</v>
      </c>
      <c r="U387">
        <v>365.76</v>
      </c>
      <c r="V387">
        <v>0.1</v>
      </c>
      <c r="W387">
        <f t="shared" ref="W387:W450" si="83">IF(ISBLANK(V387), IF(AND(ISNUMBER(T387), ISNUMBER(U387)), 0, ""), IF(V387&lt;0, V387, IF(V387&gt;0.5, V387, V387)))</f>
        <v>0.1</v>
      </c>
      <c r="X387" t="str">
        <f t="shared" ref="X387:X450" si="84">IF(V387&lt;0,"INVALID_NEGATIVE_DISCOUNT",IF(V387&gt;0.5,"INVALID_DISCOUNT_ABOVE_50PCT",IF(AND(ISBLANK(V387), ISNUMBER(T387), ISNUMBER(U387)),"DISCOUNT_MISSING_SET_TO_0","")))</f>
        <v/>
      </c>
      <c r="Y387">
        <v>1975.1</v>
      </c>
      <c r="Z387">
        <f t="shared" ref="Z387:Z450" si="85">T387 * U387 * (1 - W387)</f>
        <v>1975.104</v>
      </c>
      <c r="AA387">
        <v>1115.3499999999999</v>
      </c>
      <c r="AB387">
        <v>859.75</v>
      </c>
      <c r="AC387">
        <f t="shared" ref="AC387:AC450" si="86">Z387-U387</f>
        <v>1609.3440000000001</v>
      </c>
      <c r="AD387" s="6">
        <f t="shared" ref="AD387:AD450" si="87">IF(Z387&lt;&gt;0, AC387 / Z387, 0)</f>
        <v>0.81481481481481477</v>
      </c>
      <c r="AE387" t="s">
        <v>32</v>
      </c>
      <c r="AF387" t="s">
        <v>33</v>
      </c>
      <c r="AG387">
        <f t="shared" ref="AG387:AG450" si="88">MONTH(D387)</f>
        <v>6</v>
      </c>
      <c r="AH387">
        <f t="shared" ref="AH387:AH450" si="89">YEAR(D387)</f>
        <v>2025</v>
      </c>
      <c r="AI387" t="str">
        <f t="shared" ref="AI387:AI450" si="90">IF(OR(X387="INVALID_NEGATIVE_DISCOUNT",X387="INVALID_DISCOUNT_ABOVE_50PCT",F387="ERROR: Ship before order"),"INVALID",IF(OR(L387="Unknown",S387="Unknown",X387="DISCOUNT_MISSING_SET_TO_0"),"WARNING","CLEAN"))</f>
        <v>CLEAN</v>
      </c>
    </row>
    <row r="388" spans="1:35">
      <c r="A388" t="s">
        <v>1258</v>
      </c>
      <c r="B388">
        <f t="shared" si="78"/>
        <v>1</v>
      </c>
      <c r="C388" t="str">
        <f>IF(COUNTIF($A$2:A388, A388)&gt;1, "DUPLICATE_FLAGGED_FOR_REVIEW", "")</f>
        <v/>
      </c>
      <c r="D388" s="3">
        <v>45993</v>
      </c>
      <c r="E388" s="2">
        <v>45702</v>
      </c>
      <c r="F388" s="2" t="str">
        <f t="shared" si="79"/>
        <v>ERROR: Ship before order</v>
      </c>
      <c r="G388" s="4">
        <f t="shared" si="80"/>
        <v>-291</v>
      </c>
      <c r="H388" t="s">
        <v>1259</v>
      </c>
      <c r="I388" t="s">
        <v>132</v>
      </c>
      <c r="J388" t="s">
        <v>24</v>
      </c>
      <c r="K388" t="s">
        <v>63</v>
      </c>
      <c r="L388" t="str">
        <f t="shared" si="81"/>
        <v>West</v>
      </c>
      <c r="M388" t="s">
        <v>64</v>
      </c>
      <c r="N388" t="s">
        <v>65</v>
      </c>
      <c r="O388" t="s">
        <v>41</v>
      </c>
      <c r="P388" t="s">
        <v>57</v>
      </c>
      <c r="Q388" t="s">
        <v>1260</v>
      </c>
      <c r="R388" t="s">
        <v>31</v>
      </c>
      <c r="S388" t="str">
        <f t="shared" si="82"/>
        <v>Second Class</v>
      </c>
      <c r="T388">
        <v>8</v>
      </c>
      <c r="U388">
        <v>2786.66</v>
      </c>
      <c r="V388">
        <v>0.1</v>
      </c>
      <c r="W388">
        <f t="shared" si="83"/>
        <v>0.1</v>
      </c>
      <c r="X388" t="str">
        <f t="shared" si="84"/>
        <v/>
      </c>
      <c r="Y388">
        <v>20063.95</v>
      </c>
      <c r="Z388">
        <f t="shared" si="85"/>
        <v>20063.952000000001</v>
      </c>
      <c r="AA388">
        <v>14363.38</v>
      </c>
      <c r="AB388">
        <v>5700.57</v>
      </c>
      <c r="AC388">
        <f t="shared" si="86"/>
        <v>17277.292000000001</v>
      </c>
      <c r="AD388" s="6">
        <f t="shared" si="87"/>
        <v>0.86111111111111116</v>
      </c>
      <c r="AE388" t="s">
        <v>32</v>
      </c>
      <c r="AF388" t="s">
        <v>33</v>
      </c>
      <c r="AG388">
        <f t="shared" si="88"/>
        <v>12</v>
      </c>
      <c r="AH388">
        <f t="shared" si="89"/>
        <v>2025</v>
      </c>
      <c r="AI388" t="str">
        <f t="shared" si="90"/>
        <v>INVALID</v>
      </c>
    </row>
    <row r="389" spans="1:35">
      <c r="A389" t="s">
        <v>1261</v>
      </c>
      <c r="B389">
        <f t="shared" si="78"/>
        <v>1</v>
      </c>
      <c r="C389" t="str">
        <f>IF(COUNTIF($A$2:A389, A389)&gt;1, "DUPLICATE_FLAGGED_FOR_REVIEW", "")</f>
        <v/>
      </c>
      <c r="D389" s="3">
        <v>45879</v>
      </c>
      <c r="E389" s="2">
        <v>45882</v>
      </c>
      <c r="F389" s="2" t="str">
        <f t="shared" si="79"/>
        <v>OK</v>
      </c>
      <c r="G389" s="4">
        <f t="shared" si="80"/>
        <v>3</v>
      </c>
      <c r="H389" t="s">
        <v>1262</v>
      </c>
      <c r="I389" t="s">
        <v>114</v>
      </c>
      <c r="J389" t="s">
        <v>37</v>
      </c>
      <c r="K389" t="s">
        <v>63</v>
      </c>
      <c r="L389" t="str">
        <f t="shared" si="81"/>
        <v>West</v>
      </c>
      <c r="M389" t="s">
        <v>72</v>
      </c>
      <c r="N389" t="s">
        <v>73</v>
      </c>
      <c r="O389" t="s">
        <v>41</v>
      </c>
      <c r="P389" t="s">
        <v>66</v>
      </c>
      <c r="Q389" t="s">
        <v>1263</v>
      </c>
      <c r="R389" t="s">
        <v>59</v>
      </c>
      <c r="S389" t="str">
        <f t="shared" si="82"/>
        <v>Standard Class</v>
      </c>
      <c r="T389">
        <v>5</v>
      </c>
      <c r="U389">
        <v>352.86</v>
      </c>
      <c r="V389">
        <v>0</v>
      </c>
      <c r="W389">
        <f t="shared" si="83"/>
        <v>0</v>
      </c>
      <c r="X389" t="str">
        <f t="shared" si="84"/>
        <v/>
      </c>
      <c r="Y389">
        <v>1764.3</v>
      </c>
      <c r="Z389">
        <f t="shared" si="85"/>
        <v>1764.3000000000002</v>
      </c>
      <c r="AA389">
        <v>1332.49</v>
      </c>
      <c r="AB389">
        <v>431.81</v>
      </c>
      <c r="AC389">
        <f t="shared" si="86"/>
        <v>1411.44</v>
      </c>
      <c r="AD389" s="6">
        <f t="shared" si="87"/>
        <v>0.79999999999999993</v>
      </c>
      <c r="AE389" t="s">
        <v>111</v>
      </c>
      <c r="AF389" t="s">
        <v>68</v>
      </c>
      <c r="AG389">
        <f t="shared" si="88"/>
        <v>8</v>
      </c>
      <c r="AH389">
        <f t="shared" si="89"/>
        <v>2025</v>
      </c>
      <c r="AI389" t="str">
        <f t="shared" si="90"/>
        <v>CLEAN</v>
      </c>
    </row>
    <row r="390" spans="1:35">
      <c r="A390" t="s">
        <v>1264</v>
      </c>
      <c r="B390">
        <f t="shared" si="78"/>
        <v>1</v>
      </c>
      <c r="C390" t="str">
        <f>IF(COUNTIF($A$2:A390, A390)&gt;1, "DUPLICATE_FLAGGED_FOR_REVIEW", "")</f>
        <v/>
      </c>
      <c r="D390" s="3">
        <v>45425</v>
      </c>
      <c r="E390" s="2">
        <v>45430</v>
      </c>
      <c r="F390" s="2" t="str">
        <f t="shared" si="79"/>
        <v>OK</v>
      </c>
      <c r="G390" s="4">
        <f t="shared" si="80"/>
        <v>5</v>
      </c>
      <c r="H390" t="s">
        <v>1265</v>
      </c>
      <c r="I390" t="s">
        <v>47</v>
      </c>
      <c r="J390" t="s">
        <v>37</v>
      </c>
      <c r="K390" t="s">
        <v>63</v>
      </c>
      <c r="L390" t="str">
        <f t="shared" si="81"/>
        <v>West</v>
      </c>
      <c r="M390" t="s">
        <v>180</v>
      </c>
      <c r="N390" t="s">
        <v>181</v>
      </c>
      <c r="O390" t="s">
        <v>41</v>
      </c>
      <c r="P390" t="s">
        <v>66</v>
      </c>
      <c r="Q390" t="s">
        <v>1266</v>
      </c>
      <c r="R390" t="s">
        <v>59</v>
      </c>
      <c r="S390" t="str">
        <f t="shared" si="82"/>
        <v>Standard Class</v>
      </c>
      <c r="T390">
        <v>3</v>
      </c>
      <c r="U390">
        <v>3128.59</v>
      </c>
      <c r="V390">
        <v>0</v>
      </c>
      <c r="W390">
        <f t="shared" si="83"/>
        <v>0</v>
      </c>
      <c r="X390" t="str">
        <f t="shared" si="84"/>
        <v/>
      </c>
      <c r="Y390">
        <v>9385.77</v>
      </c>
      <c r="Z390">
        <f t="shared" si="85"/>
        <v>9385.77</v>
      </c>
      <c r="AA390">
        <v>6872.44</v>
      </c>
      <c r="AB390">
        <v>2783.66</v>
      </c>
      <c r="AC390">
        <f t="shared" si="86"/>
        <v>6257.18</v>
      </c>
      <c r="AD390" s="6">
        <f t="shared" si="87"/>
        <v>0.66666666666666663</v>
      </c>
      <c r="AE390" t="s">
        <v>32</v>
      </c>
      <c r="AF390" t="s">
        <v>33</v>
      </c>
      <c r="AG390">
        <f t="shared" si="88"/>
        <v>5</v>
      </c>
      <c r="AH390">
        <f t="shared" si="89"/>
        <v>2024</v>
      </c>
      <c r="AI390" t="str">
        <f t="shared" si="90"/>
        <v>CLEAN</v>
      </c>
    </row>
    <row r="391" spans="1:35">
      <c r="A391" t="s">
        <v>1267</v>
      </c>
      <c r="B391">
        <f t="shared" si="78"/>
        <v>1</v>
      </c>
      <c r="C391" t="str">
        <f>IF(COUNTIF($A$2:A391, A391)&gt;1, "DUPLICATE_FLAGGED_FOR_REVIEW", "")</f>
        <v/>
      </c>
      <c r="D391" s="3">
        <v>45387</v>
      </c>
      <c r="E391" s="2">
        <v>45395</v>
      </c>
      <c r="F391" s="2" t="str">
        <f t="shared" si="79"/>
        <v>OK</v>
      </c>
      <c r="G391" s="4">
        <f t="shared" si="80"/>
        <v>8</v>
      </c>
      <c r="H391" t="s">
        <v>1268</v>
      </c>
      <c r="I391" t="s">
        <v>162</v>
      </c>
      <c r="J391" t="s">
        <v>90</v>
      </c>
      <c r="K391" t="s">
        <v>63</v>
      </c>
      <c r="L391" t="str">
        <f t="shared" si="81"/>
        <v>West</v>
      </c>
      <c r="M391" t="s">
        <v>180</v>
      </c>
      <c r="N391" t="s">
        <v>181</v>
      </c>
      <c r="O391" t="s">
        <v>74</v>
      </c>
      <c r="P391" t="s">
        <v>274</v>
      </c>
      <c r="Q391" t="s">
        <v>1269</v>
      </c>
      <c r="R391" t="s">
        <v>31</v>
      </c>
      <c r="S391" t="str">
        <f t="shared" si="82"/>
        <v>Second Class</v>
      </c>
      <c r="T391">
        <v>5</v>
      </c>
      <c r="U391">
        <v>1937.54</v>
      </c>
      <c r="V391">
        <v>0.2</v>
      </c>
      <c r="W391">
        <f t="shared" si="83"/>
        <v>0.2</v>
      </c>
      <c r="X391" t="str">
        <f t="shared" si="84"/>
        <v/>
      </c>
      <c r="Y391">
        <v>7750.16</v>
      </c>
      <c r="Z391">
        <f t="shared" si="85"/>
        <v>7750.1600000000008</v>
      </c>
      <c r="AA391">
        <v>5434.3</v>
      </c>
      <c r="AB391">
        <v>2315.86</v>
      </c>
      <c r="AC391">
        <f t="shared" si="86"/>
        <v>5812.6200000000008</v>
      </c>
      <c r="AD391" s="6">
        <f t="shared" si="87"/>
        <v>0.75</v>
      </c>
      <c r="AE391" t="s">
        <v>111</v>
      </c>
      <c r="AF391" t="s">
        <v>68</v>
      </c>
      <c r="AG391">
        <f t="shared" si="88"/>
        <v>4</v>
      </c>
      <c r="AH391">
        <f t="shared" si="89"/>
        <v>2024</v>
      </c>
      <c r="AI391" t="str">
        <f t="shared" si="90"/>
        <v>CLEAN</v>
      </c>
    </row>
    <row r="392" spans="1:35">
      <c r="A392" t="s">
        <v>1270</v>
      </c>
      <c r="B392">
        <f t="shared" si="78"/>
        <v>1</v>
      </c>
      <c r="C392" t="str">
        <f>IF(COUNTIF($A$2:A392, A392)&gt;1, "DUPLICATE_FLAGGED_FOR_REVIEW", "")</f>
        <v/>
      </c>
      <c r="D392" s="3">
        <v>45602</v>
      </c>
      <c r="E392" s="2">
        <v>45607</v>
      </c>
      <c r="F392" s="2" t="str">
        <f t="shared" si="79"/>
        <v>OK</v>
      </c>
      <c r="G392" s="4">
        <f t="shared" si="80"/>
        <v>5</v>
      </c>
      <c r="H392" t="s">
        <v>1271</v>
      </c>
      <c r="I392" t="s">
        <v>47</v>
      </c>
      <c r="J392" t="s">
        <v>24</v>
      </c>
      <c r="K392" t="s">
        <v>63</v>
      </c>
      <c r="L392" t="str">
        <f t="shared" si="81"/>
        <v>West</v>
      </c>
      <c r="M392" t="s">
        <v>180</v>
      </c>
      <c r="N392" t="s">
        <v>181</v>
      </c>
      <c r="O392" t="s">
        <v>41</v>
      </c>
      <c r="P392" t="s">
        <v>57</v>
      </c>
      <c r="Q392" t="s">
        <v>1272</v>
      </c>
      <c r="R392" t="s">
        <v>59</v>
      </c>
      <c r="S392" t="str">
        <f t="shared" si="82"/>
        <v>Standard Class</v>
      </c>
      <c r="T392">
        <v>4</v>
      </c>
      <c r="U392">
        <v>1917.26</v>
      </c>
      <c r="V392">
        <v>0.2</v>
      </c>
      <c r="W392">
        <f t="shared" si="83"/>
        <v>0.2</v>
      </c>
      <c r="X392" t="str">
        <f t="shared" si="84"/>
        <v/>
      </c>
      <c r="Y392">
        <v>6135.23</v>
      </c>
      <c r="Z392">
        <f t="shared" si="85"/>
        <v>6135.232</v>
      </c>
      <c r="AA392">
        <v>3439.79</v>
      </c>
      <c r="AB392">
        <v>2695.44</v>
      </c>
      <c r="AC392">
        <f t="shared" si="86"/>
        <v>4217.9719999999998</v>
      </c>
      <c r="AD392" s="6">
        <f t="shared" si="87"/>
        <v>0.6875</v>
      </c>
      <c r="AE392" t="s">
        <v>32</v>
      </c>
      <c r="AF392" t="s">
        <v>33</v>
      </c>
      <c r="AG392">
        <f t="shared" si="88"/>
        <v>11</v>
      </c>
      <c r="AH392">
        <f t="shared" si="89"/>
        <v>2024</v>
      </c>
      <c r="AI392" t="str">
        <f t="shared" si="90"/>
        <v>CLEAN</v>
      </c>
    </row>
    <row r="393" spans="1:35">
      <c r="A393" t="s">
        <v>1273</v>
      </c>
      <c r="B393">
        <f t="shared" si="78"/>
        <v>1</v>
      </c>
      <c r="C393" t="str">
        <f>IF(COUNTIF($A$2:A393, A393)&gt;1, "DUPLICATE_FLAGGED_FOR_REVIEW", "")</f>
        <v/>
      </c>
      <c r="D393" s="3">
        <v>45702</v>
      </c>
      <c r="E393" s="2">
        <v>45702</v>
      </c>
      <c r="F393" s="2" t="str">
        <f t="shared" si="79"/>
        <v>OK</v>
      </c>
      <c r="G393" s="4">
        <f t="shared" si="80"/>
        <v>0</v>
      </c>
      <c r="H393" t="s">
        <v>1274</v>
      </c>
      <c r="I393" t="s">
        <v>162</v>
      </c>
      <c r="J393" t="s">
        <v>24</v>
      </c>
      <c r="K393" t="s">
        <v>54</v>
      </c>
      <c r="L393" t="str">
        <f t="shared" si="81"/>
        <v>South</v>
      </c>
      <c r="M393" t="s">
        <v>175</v>
      </c>
      <c r="N393" t="s">
        <v>176</v>
      </c>
      <c r="O393" t="s">
        <v>28</v>
      </c>
      <c r="P393" t="s">
        <v>124</v>
      </c>
      <c r="Q393" t="s">
        <v>1275</v>
      </c>
      <c r="R393" t="s">
        <v>50</v>
      </c>
      <c r="S393" t="str">
        <f t="shared" si="82"/>
        <v>First Class</v>
      </c>
      <c r="T393">
        <v>1</v>
      </c>
      <c r="U393">
        <v>714.43</v>
      </c>
      <c r="V393">
        <v>0</v>
      </c>
      <c r="W393">
        <f t="shared" si="83"/>
        <v>0</v>
      </c>
      <c r="X393" t="str">
        <f t="shared" si="84"/>
        <v/>
      </c>
      <c r="Y393">
        <v>714.43</v>
      </c>
      <c r="Z393">
        <f t="shared" si="85"/>
        <v>714.43</v>
      </c>
      <c r="AA393">
        <v>565.44000000000005</v>
      </c>
      <c r="AB393">
        <v>148.99</v>
      </c>
      <c r="AC393">
        <f t="shared" si="86"/>
        <v>0</v>
      </c>
      <c r="AD393" s="6">
        <f t="shared" si="87"/>
        <v>0</v>
      </c>
      <c r="AE393" t="s">
        <v>32</v>
      </c>
      <c r="AF393" t="s">
        <v>33</v>
      </c>
      <c r="AG393">
        <f t="shared" si="88"/>
        <v>2</v>
      </c>
      <c r="AH393">
        <f t="shared" si="89"/>
        <v>2025</v>
      </c>
      <c r="AI393" t="str">
        <f t="shared" si="90"/>
        <v>CLEAN</v>
      </c>
    </row>
    <row r="394" spans="1:35">
      <c r="A394" t="s">
        <v>1276</v>
      </c>
      <c r="B394">
        <f t="shared" si="78"/>
        <v>1</v>
      </c>
      <c r="C394" t="str">
        <f>IF(COUNTIF($A$2:A394, A394)&gt;1, "DUPLICATE_FLAGGED_FOR_REVIEW", "")</f>
        <v/>
      </c>
      <c r="D394" s="3">
        <v>45341</v>
      </c>
      <c r="E394" s="2">
        <v>45344</v>
      </c>
      <c r="F394" s="2" t="str">
        <f t="shared" si="79"/>
        <v>OK</v>
      </c>
      <c r="G394" s="4">
        <f t="shared" si="80"/>
        <v>3</v>
      </c>
      <c r="H394" t="s">
        <v>1277</v>
      </c>
      <c r="I394" t="s">
        <v>89</v>
      </c>
      <c r="J394" t="s">
        <v>37</v>
      </c>
      <c r="K394" t="s">
        <v>54</v>
      </c>
      <c r="L394" t="str">
        <f t="shared" si="81"/>
        <v>South</v>
      </c>
      <c r="M394" t="s">
        <v>185</v>
      </c>
      <c r="N394" t="s">
        <v>186</v>
      </c>
      <c r="O394" t="s">
        <v>41</v>
      </c>
      <c r="P394" t="s">
        <v>57</v>
      </c>
      <c r="Q394" t="s">
        <v>1278</v>
      </c>
      <c r="R394" t="s">
        <v>44</v>
      </c>
      <c r="S394" t="str">
        <f t="shared" si="82"/>
        <v>Same Day</v>
      </c>
      <c r="T394">
        <v>9</v>
      </c>
      <c r="U394">
        <v>4053.01</v>
      </c>
      <c r="V394">
        <v>0</v>
      </c>
      <c r="W394">
        <f t="shared" si="83"/>
        <v>0</v>
      </c>
      <c r="X394" t="str">
        <f t="shared" si="84"/>
        <v/>
      </c>
      <c r="Y394">
        <v>36477.089999999997</v>
      </c>
      <c r="Z394">
        <f t="shared" si="85"/>
        <v>36477.090000000004</v>
      </c>
      <c r="AA394">
        <v>24525.48</v>
      </c>
      <c r="AB394">
        <v>11951.61</v>
      </c>
      <c r="AC394">
        <f t="shared" si="86"/>
        <v>32424.080000000002</v>
      </c>
      <c r="AD394" s="6">
        <f t="shared" si="87"/>
        <v>0.88888888888888884</v>
      </c>
      <c r="AE394" t="s">
        <v>32</v>
      </c>
      <c r="AF394" t="s">
        <v>33</v>
      </c>
      <c r="AG394">
        <f t="shared" si="88"/>
        <v>2</v>
      </c>
      <c r="AH394">
        <f t="shared" si="89"/>
        <v>2024</v>
      </c>
      <c r="AI394" t="str">
        <f t="shared" si="90"/>
        <v>CLEAN</v>
      </c>
    </row>
    <row r="395" spans="1:35">
      <c r="A395" t="s">
        <v>1279</v>
      </c>
      <c r="B395">
        <f t="shared" si="78"/>
        <v>1</v>
      </c>
      <c r="C395" t="str">
        <f>IF(COUNTIF($A$2:A395, A395)&gt;1, "DUPLICATE_FLAGGED_FOR_REVIEW", "")</f>
        <v/>
      </c>
      <c r="D395" s="3">
        <v>45527</v>
      </c>
      <c r="E395" s="2">
        <v>45533</v>
      </c>
      <c r="F395" s="2" t="str">
        <f t="shared" si="79"/>
        <v>OK</v>
      </c>
      <c r="G395" s="4">
        <f t="shared" si="80"/>
        <v>6</v>
      </c>
      <c r="H395" t="s">
        <v>1280</v>
      </c>
      <c r="I395" t="s">
        <v>36</v>
      </c>
      <c r="J395" t="s">
        <v>90</v>
      </c>
      <c r="K395" t="s">
        <v>25</v>
      </c>
      <c r="L395" t="str">
        <f t="shared" si="81"/>
        <v>North</v>
      </c>
      <c r="M395" t="s">
        <v>136</v>
      </c>
      <c r="N395" t="s">
        <v>137</v>
      </c>
      <c r="O395" t="s">
        <v>28</v>
      </c>
      <c r="P395" t="s">
        <v>91</v>
      </c>
      <c r="Q395" t="s">
        <v>1281</v>
      </c>
      <c r="R395" t="s">
        <v>44</v>
      </c>
      <c r="S395" t="str">
        <f t="shared" si="82"/>
        <v>Same Day</v>
      </c>
      <c r="T395">
        <v>2</v>
      </c>
      <c r="U395">
        <v>1936.91</v>
      </c>
      <c r="V395">
        <v>0.05</v>
      </c>
      <c r="W395">
        <f t="shared" si="83"/>
        <v>0.05</v>
      </c>
      <c r="X395" t="str">
        <f t="shared" si="84"/>
        <v/>
      </c>
      <c r="Y395">
        <v>3680.13</v>
      </c>
      <c r="Z395">
        <f t="shared" si="85"/>
        <v>3680.1289999999999</v>
      </c>
      <c r="AA395">
        <v>2967.46</v>
      </c>
      <c r="AB395">
        <v>712.67</v>
      </c>
      <c r="AC395">
        <f t="shared" si="86"/>
        <v>1743.2189999999998</v>
      </c>
      <c r="AD395" s="6">
        <f t="shared" si="87"/>
        <v>0.47368421052631576</v>
      </c>
      <c r="AE395" t="s">
        <v>32</v>
      </c>
      <c r="AF395" t="s">
        <v>33</v>
      </c>
      <c r="AG395">
        <f t="shared" si="88"/>
        <v>8</v>
      </c>
      <c r="AH395">
        <f t="shared" si="89"/>
        <v>2024</v>
      </c>
      <c r="AI395" t="str">
        <f t="shared" si="90"/>
        <v>CLEAN</v>
      </c>
    </row>
    <row r="396" spans="1:35">
      <c r="A396" t="s">
        <v>1282</v>
      </c>
      <c r="B396">
        <f t="shared" si="78"/>
        <v>1</v>
      </c>
      <c r="C396" t="str">
        <f>IF(COUNTIF($A$2:A396, A396)&gt;1, "DUPLICATE_FLAGGED_FOR_REVIEW", "")</f>
        <v/>
      </c>
      <c r="D396" s="3">
        <v>45385</v>
      </c>
      <c r="E396" s="2">
        <v>45386</v>
      </c>
      <c r="F396" s="2" t="str">
        <f t="shared" si="79"/>
        <v>OK</v>
      </c>
      <c r="G396" s="4">
        <f t="shared" si="80"/>
        <v>1</v>
      </c>
      <c r="H396" t="s">
        <v>1283</v>
      </c>
      <c r="I396" t="s">
        <v>264</v>
      </c>
      <c r="J396" t="s">
        <v>24</v>
      </c>
      <c r="K396" t="s">
        <v>63</v>
      </c>
      <c r="L396" t="str">
        <f t="shared" si="81"/>
        <v>West</v>
      </c>
      <c r="M396" t="s">
        <v>64</v>
      </c>
      <c r="N396" t="s">
        <v>65</v>
      </c>
      <c r="O396" t="s">
        <v>41</v>
      </c>
      <c r="P396" t="s">
        <v>57</v>
      </c>
      <c r="Q396" t="s">
        <v>1284</v>
      </c>
      <c r="R396" t="s">
        <v>50</v>
      </c>
      <c r="S396" t="str">
        <f t="shared" si="82"/>
        <v>First Class</v>
      </c>
      <c r="T396">
        <v>7</v>
      </c>
      <c r="U396">
        <v>3945.21</v>
      </c>
      <c r="V396">
        <v>0</v>
      </c>
      <c r="W396">
        <f t="shared" si="83"/>
        <v>0</v>
      </c>
      <c r="X396" t="str">
        <f t="shared" si="84"/>
        <v/>
      </c>
      <c r="Y396">
        <v>27616.47</v>
      </c>
      <c r="Z396">
        <f t="shared" si="85"/>
        <v>27616.47</v>
      </c>
      <c r="AA396">
        <v>21225.26</v>
      </c>
      <c r="AB396">
        <v>6391.21</v>
      </c>
      <c r="AC396">
        <f t="shared" si="86"/>
        <v>23671.260000000002</v>
      </c>
      <c r="AD396" s="6">
        <f t="shared" si="87"/>
        <v>0.85714285714285721</v>
      </c>
      <c r="AE396" t="s">
        <v>32</v>
      </c>
      <c r="AF396" t="s">
        <v>33</v>
      </c>
      <c r="AG396">
        <f t="shared" si="88"/>
        <v>4</v>
      </c>
      <c r="AH396">
        <f t="shared" si="89"/>
        <v>2024</v>
      </c>
      <c r="AI396" t="str">
        <f t="shared" si="90"/>
        <v>CLEAN</v>
      </c>
    </row>
    <row r="397" spans="1:35">
      <c r="A397" t="s">
        <v>1285</v>
      </c>
      <c r="B397">
        <f t="shared" si="78"/>
        <v>1</v>
      </c>
      <c r="C397" t="str">
        <f>IF(COUNTIF($A$2:A397, A397)&gt;1, "DUPLICATE_FLAGGED_FOR_REVIEW", "")</f>
        <v/>
      </c>
      <c r="D397" s="3">
        <v>45449</v>
      </c>
      <c r="E397" s="2">
        <v>45479</v>
      </c>
      <c r="F397" s="2" t="str">
        <f t="shared" si="79"/>
        <v>OK</v>
      </c>
      <c r="G397" s="4">
        <f t="shared" si="80"/>
        <v>30</v>
      </c>
      <c r="H397" t="s">
        <v>1286</v>
      </c>
      <c r="I397" t="s">
        <v>118</v>
      </c>
      <c r="J397" t="s">
        <v>95</v>
      </c>
      <c r="K397" t="s">
        <v>54</v>
      </c>
      <c r="L397" t="str">
        <f t="shared" si="81"/>
        <v>South</v>
      </c>
      <c r="M397" t="s">
        <v>247</v>
      </c>
      <c r="N397" t="s">
        <v>248</v>
      </c>
      <c r="O397" t="s">
        <v>41</v>
      </c>
      <c r="P397" t="s">
        <v>42</v>
      </c>
      <c r="Q397" t="s">
        <v>1287</v>
      </c>
      <c r="R397" t="s">
        <v>44</v>
      </c>
      <c r="S397" t="str">
        <f t="shared" si="82"/>
        <v>Same Day</v>
      </c>
      <c r="T397">
        <v>7</v>
      </c>
      <c r="U397">
        <v>861.91</v>
      </c>
      <c r="V397">
        <v>0.05</v>
      </c>
      <c r="W397">
        <f t="shared" si="83"/>
        <v>0.05</v>
      </c>
      <c r="X397" t="str">
        <f t="shared" si="84"/>
        <v/>
      </c>
      <c r="Y397">
        <v>5731.7</v>
      </c>
      <c r="Z397">
        <f t="shared" si="85"/>
        <v>5731.7014999999992</v>
      </c>
      <c r="AA397">
        <v>4115.5600000000004</v>
      </c>
      <c r="AB397">
        <v>1616.14</v>
      </c>
      <c r="AC397">
        <f t="shared" si="86"/>
        <v>4869.7914999999994</v>
      </c>
      <c r="AD397" s="6">
        <f t="shared" si="87"/>
        <v>0.84962406015037595</v>
      </c>
      <c r="AE397" t="s">
        <v>32</v>
      </c>
      <c r="AF397" t="s">
        <v>33</v>
      </c>
      <c r="AG397">
        <f t="shared" si="88"/>
        <v>6</v>
      </c>
      <c r="AH397">
        <f t="shared" si="89"/>
        <v>2024</v>
      </c>
      <c r="AI397" t="str">
        <f t="shared" si="90"/>
        <v>CLEAN</v>
      </c>
    </row>
    <row r="398" spans="1:35">
      <c r="A398" t="s">
        <v>1288</v>
      </c>
      <c r="B398">
        <f t="shared" si="78"/>
        <v>1</v>
      </c>
      <c r="C398" t="str">
        <f>IF(COUNTIF($A$2:A398, A398)&gt;1, "DUPLICATE_FLAGGED_FOR_REVIEW", "")</f>
        <v/>
      </c>
      <c r="D398" s="3">
        <v>45761</v>
      </c>
      <c r="E398" s="2">
        <v>45769</v>
      </c>
      <c r="F398" s="2" t="str">
        <f t="shared" si="79"/>
        <v>OK</v>
      </c>
      <c r="G398" s="4">
        <f t="shared" si="80"/>
        <v>8</v>
      </c>
      <c r="H398" t="s">
        <v>1289</v>
      </c>
      <c r="I398" t="s">
        <v>89</v>
      </c>
      <c r="J398" t="s">
        <v>37</v>
      </c>
      <c r="K398" t="s">
        <v>54</v>
      </c>
      <c r="L398" t="str">
        <f t="shared" si="81"/>
        <v>South</v>
      </c>
      <c r="M398" t="s">
        <v>175</v>
      </c>
      <c r="N398" t="s">
        <v>176</v>
      </c>
      <c r="O398" t="s">
        <v>74</v>
      </c>
      <c r="P398" t="s">
        <v>274</v>
      </c>
      <c r="Q398" t="s">
        <v>1290</v>
      </c>
      <c r="R398" t="s">
        <v>59</v>
      </c>
      <c r="S398" t="str">
        <f t="shared" si="82"/>
        <v>Standard Class</v>
      </c>
      <c r="T398">
        <v>2</v>
      </c>
      <c r="U398">
        <v>638.73</v>
      </c>
      <c r="V398">
        <v>0.05</v>
      </c>
      <c r="W398">
        <f t="shared" si="83"/>
        <v>0.05</v>
      </c>
      <c r="X398" t="str">
        <f t="shared" si="84"/>
        <v/>
      </c>
      <c r="Y398">
        <v>1213.5899999999999</v>
      </c>
      <c r="Z398">
        <f t="shared" si="85"/>
        <v>1213.587</v>
      </c>
      <c r="AA398">
        <v>956.22</v>
      </c>
      <c r="AB398">
        <v>257.37</v>
      </c>
      <c r="AC398">
        <f t="shared" si="86"/>
        <v>574.85699999999997</v>
      </c>
      <c r="AD398" s="6">
        <f t="shared" si="87"/>
        <v>0.47368421052631576</v>
      </c>
      <c r="AE398" t="s">
        <v>32</v>
      </c>
      <c r="AF398" t="s">
        <v>33</v>
      </c>
      <c r="AG398">
        <f t="shared" si="88"/>
        <v>4</v>
      </c>
      <c r="AH398">
        <f t="shared" si="89"/>
        <v>2025</v>
      </c>
      <c r="AI398" t="str">
        <f t="shared" si="90"/>
        <v>CLEAN</v>
      </c>
    </row>
    <row r="399" spans="1:35">
      <c r="A399" t="s">
        <v>1291</v>
      </c>
      <c r="B399">
        <f t="shared" si="78"/>
        <v>1</v>
      </c>
      <c r="C399" t="str">
        <f>IF(COUNTIF($A$2:A399, A399)&gt;1, "DUPLICATE_FLAGGED_FOR_REVIEW", "")</f>
        <v/>
      </c>
      <c r="D399" s="3">
        <v>45817</v>
      </c>
      <c r="E399" s="2">
        <v>45818</v>
      </c>
      <c r="F399" s="2" t="str">
        <f t="shared" si="79"/>
        <v>OK</v>
      </c>
      <c r="G399" s="4">
        <f t="shared" si="80"/>
        <v>1</v>
      </c>
      <c r="H399" t="s">
        <v>1292</v>
      </c>
      <c r="I399" t="s">
        <v>132</v>
      </c>
      <c r="J399" t="s">
        <v>37</v>
      </c>
      <c r="K399" t="s">
        <v>25</v>
      </c>
      <c r="L399" t="str">
        <f t="shared" si="81"/>
        <v>North</v>
      </c>
      <c r="M399" t="s">
        <v>136</v>
      </c>
      <c r="N399" t="s">
        <v>137</v>
      </c>
      <c r="O399" t="s">
        <v>41</v>
      </c>
      <c r="P399" t="s">
        <v>42</v>
      </c>
      <c r="Q399" t="s">
        <v>1293</v>
      </c>
      <c r="R399" t="s">
        <v>31</v>
      </c>
      <c r="S399" t="str">
        <f t="shared" si="82"/>
        <v>Second Class</v>
      </c>
      <c r="T399">
        <v>2</v>
      </c>
      <c r="U399">
        <v>1731.88</v>
      </c>
      <c r="V399">
        <v>0</v>
      </c>
      <c r="W399">
        <f t="shared" si="83"/>
        <v>0</v>
      </c>
      <c r="X399" t="str">
        <f t="shared" si="84"/>
        <v/>
      </c>
      <c r="Y399">
        <v>3463.76</v>
      </c>
      <c r="Z399">
        <f t="shared" si="85"/>
        <v>3463.76</v>
      </c>
      <c r="AA399">
        <v>2143.7399999999998</v>
      </c>
      <c r="AB399">
        <v>1320.02</v>
      </c>
      <c r="AC399">
        <f t="shared" si="86"/>
        <v>1731.88</v>
      </c>
      <c r="AD399" s="6">
        <f t="shared" si="87"/>
        <v>0.5</v>
      </c>
      <c r="AE399" t="s">
        <v>32</v>
      </c>
      <c r="AF399" t="s">
        <v>33</v>
      </c>
      <c r="AG399">
        <f t="shared" si="88"/>
        <v>6</v>
      </c>
      <c r="AH399">
        <f t="shared" si="89"/>
        <v>2025</v>
      </c>
      <c r="AI399" t="str">
        <f t="shared" si="90"/>
        <v>CLEAN</v>
      </c>
    </row>
    <row r="400" spans="1:35">
      <c r="A400" t="s">
        <v>1294</v>
      </c>
      <c r="B400">
        <f t="shared" si="78"/>
        <v>1</v>
      </c>
      <c r="C400" t="str">
        <f>IF(COUNTIF($A$2:A400, A400)&gt;1, "DUPLICATE_FLAGGED_FOR_REVIEW", "")</f>
        <v/>
      </c>
      <c r="D400" s="3">
        <v>45492</v>
      </c>
      <c r="E400" s="2">
        <v>45499</v>
      </c>
      <c r="F400" s="2" t="str">
        <f t="shared" si="79"/>
        <v>OK</v>
      </c>
      <c r="G400" s="4">
        <f t="shared" si="80"/>
        <v>7</v>
      </c>
      <c r="H400" t="s">
        <v>1295</v>
      </c>
      <c r="I400" t="s">
        <v>71</v>
      </c>
      <c r="J400" t="s">
        <v>90</v>
      </c>
      <c r="K400" t="s">
        <v>25</v>
      </c>
      <c r="L400" t="str">
        <f t="shared" si="81"/>
        <v>North</v>
      </c>
      <c r="M400" t="s">
        <v>122</v>
      </c>
      <c r="N400" t="s">
        <v>123</v>
      </c>
      <c r="O400" t="s">
        <v>74</v>
      </c>
      <c r="P400" t="s">
        <v>274</v>
      </c>
      <c r="Q400" t="s">
        <v>1296</v>
      </c>
      <c r="R400" t="s">
        <v>44</v>
      </c>
      <c r="S400" t="str">
        <f t="shared" si="82"/>
        <v>Same Day</v>
      </c>
      <c r="T400">
        <v>2</v>
      </c>
      <c r="U400">
        <v>1263.6500000000001</v>
      </c>
      <c r="V400">
        <v>0.2</v>
      </c>
      <c r="W400">
        <f t="shared" si="83"/>
        <v>0.2</v>
      </c>
      <c r="X400" t="str">
        <f t="shared" si="84"/>
        <v/>
      </c>
      <c r="Y400">
        <v>2021.84</v>
      </c>
      <c r="Z400">
        <f t="shared" si="85"/>
        <v>2021.8400000000001</v>
      </c>
      <c r="AA400">
        <v>1355.22</v>
      </c>
      <c r="AB400">
        <v>666.62</v>
      </c>
      <c r="AC400">
        <f t="shared" si="86"/>
        <v>758.19</v>
      </c>
      <c r="AD400" s="6">
        <f t="shared" si="87"/>
        <v>0.375</v>
      </c>
      <c r="AE400" t="s">
        <v>32</v>
      </c>
      <c r="AF400" t="s">
        <v>33</v>
      </c>
      <c r="AG400">
        <f t="shared" si="88"/>
        <v>7</v>
      </c>
      <c r="AH400">
        <f t="shared" si="89"/>
        <v>2024</v>
      </c>
      <c r="AI400" t="str">
        <f t="shared" si="90"/>
        <v>CLEAN</v>
      </c>
    </row>
    <row r="401" spans="1:35">
      <c r="A401" t="s">
        <v>1297</v>
      </c>
      <c r="B401">
        <f t="shared" si="78"/>
        <v>1</v>
      </c>
      <c r="C401" t="str">
        <f>IF(COUNTIF($A$2:A401, A401)&gt;1, "DUPLICATE_FLAGGED_FOR_REVIEW", "")</f>
        <v/>
      </c>
      <c r="D401" s="3">
        <v>45771</v>
      </c>
      <c r="E401" s="2">
        <v>45776</v>
      </c>
      <c r="F401" s="2" t="str">
        <f t="shared" si="79"/>
        <v>OK</v>
      </c>
      <c r="G401" s="4">
        <f t="shared" si="80"/>
        <v>5</v>
      </c>
      <c r="H401" t="s">
        <v>1298</v>
      </c>
      <c r="I401" t="s">
        <v>162</v>
      </c>
      <c r="J401" t="s">
        <v>37</v>
      </c>
      <c r="K401" t="s">
        <v>54</v>
      </c>
      <c r="L401" t="str">
        <f t="shared" si="81"/>
        <v>South</v>
      </c>
      <c r="M401" t="s">
        <v>84</v>
      </c>
      <c r="N401" t="s">
        <v>85</v>
      </c>
      <c r="O401" t="s">
        <v>28</v>
      </c>
      <c r="P401" t="s">
        <v>29</v>
      </c>
      <c r="Q401" t="s">
        <v>1299</v>
      </c>
      <c r="R401" t="s">
        <v>44</v>
      </c>
      <c r="S401" t="str">
        <f t="shared" si="82"/>
        <v>Same Day</v>
      </c>
      <c r="T401">
        <v>1</v>
      </c>
      <c r="U401">
        <v>4358.5</v>
      </c>
      <c r="V401">
        <v>0.25</v>
      </c>
      <c r="W401">
        <f t="shared" si="83"/>
        <v>0.25</v>
      </c>
      <c r="X401" t="str">
        <f t="shared" si="84"/>
        <v/>
      </c>
      <c r="Y401">
        <v>3268.88</v>
      </c>
      <c r="Z401">
        <f t="shared" si="85"/>
        <v>3268.875</v>
      </c>
      <c r="AA401">
        <v>1993.74</v>
      </c>
      <c r="AB401">
        <v>1275.1400000000001</v>
      </c>
      <c r="AC401">
        <f t="shared" si="86"/>
        <v>-1089.625</v>
      </c>
      <c r="AD401" s="6">
        <f t="shared" si="87"/>
        <v>-0.33333333333333331</v>
      </c>
      <c r="AE401" t="s">
        <v>32</v>
      </c>
      <c r="AF401" t="s">
        <v>33</v>
      </c>
      <c r="AG401">
        <f t="shared" si="88"/>
        <v>4</v>
      </c>
      <c r="AH401">
        <f t="shared" si="89"/>
        <v>2025</v>
      </c>
      <c r="AI401" t="str">
        <f t="shared" si="90"/>
        <v>CLEAN</v>
      </c>
    </row>
    <row r="402" spans="1:35">
      <c r="A402" t="s">
        <v>1300</v>
      </c>
      <c r="B402">
        <f t="shared" si="78"/>
        <v>1</v>
      </c>
      <c r="C402" t="str">
        <f>IF(COUNTIF($A$2:A402, A402)&gt;1, "DUPLICATE_FLAGGED_FOR_REVIEW", "")</f>
        <v/>
      </c>
      <c r="D402" s="3">
        <v>45814</v>
      </c>
      <c r="E402" s="2">
        <v>45819</v>
      </c>
      <c r="F402" s="2" t="str">
        <f t="shared" si="79"/>
        <v>OK</v>
      </c>
      <c r="G402" s="4">
        <f t="shared" si="80"/>
        <v>5</v>
      </c>
      <c r="H402" t="s">
        <v>1301</v>
      </c>
      <c r="I402" t="s">
        <v>132</v>
      </c>
      <c r="J402" t="s">
        <v>37</v>
      </c>
      <c r="K402" t="s">
        <v>25</v>
      </c>
      <c r="L402" t="str">
        <f t="shared" si="81"/>
        <v>North</v>
      </c>
      <c r="M402" t="s">
        <v>136</v>
      </c>
      <c r="N402" t="s">
        <v>137</v>
      </c>
      <c r="O402" t="s">
        <v>28</v>
      </c>
      <c r="P402" t="s">
        <v>29</v>
      </c>
      <c r="Q402" t="s">
        <v>1302</v>
      </c>
      <c r="R402" t="s">
        <v>44</v>
      </c>
      <c r="S402" t="str">
        <f t="shared" si="82"/>
        <v>Same Day</v>
      </c>
      <c r="T402">
        <v>7</v>
      </c>
      <c r="U402">
        <v>878.09</v>
      </c>
      <c r="V402">
        <v>-0.1</v>
      </c>
      <c r="W402">
        <f t="shared" si="83"/>
        <v>-0.1</v>
      </c>
      <c r="X402" t="str">
        <f t="shared" si="84"/>
        <v>INVALID_NEGATIVE_DISCOUNT</v>
      </c>
      <c r="Y402">
        <v>5839.3</v>
      </c>
      <c r="Z402">
        <f t="shared" si="85"/>
        <v>6761.2930000000006</v>
      </c>
      <c r="AA402">
        <v>4877.38</v>
      </c>
      <c r="AB402">
        <v>961.92</v>
      </c>
      <c r="AC402">
        <f t="shared" si="86"/>
        <v>5883.2030000000004</v>
      </c>
      <c r="AD402" s="6">
        <f t="shared" si="87"/>
        <v>0.87012987012987009</v>
      </c>
      <c r="AE402" t="s">
        <v>32</v>
      </c>
      <c r="AF402" t="s">
        <v>33</v>
      </c>
      <c r="AG402">
        <f t="shared" si="88"/>
        <v>6</v>
      </c>
      <c r="AH402">
        <f t="shared" si="89"/>
        <v>2025</v>
      </c>
      <c r="AI402" t="str">
        <f t="shared" si="90"/>
        <v>INVALID</v>
      </c>
    </row>
    <row r="403" spans="1:35">
      <c r="A403" t="s">
        <v>1303</v>
      </c>
      <c r="B403">
        <f t="shared" si="78"/>
        <v>1</v>
      </c>
      <c r="C403" t="str">
        <f>IF(COUNTIF($A$2:A403, A403)&gt;1, "DUPLICATE_FLAGGED_FOR_REVIEW", "")</f>
        <v/>
      </c>
      <c r="D403" s="3">
        <v>45725</v>
      </c>
      <c r="E403" s="2">
        <v>45732</v>
      </c>
      <c r="F403" s="2" t="str">
        <f t="shared" si="79"/>
        <v>OK</v>
      </c>
      <c r="G403" s="4">
        <f t="shared" si="80"/>
        <v>7</v>
      </c>
      <c r="H403" t="s">
        <v>1304</v>
      </c>
      <c r="I403" t="s">
        <v>53</v>
      </c>
      <c r="J403" t="s">
        <v>37</v>
      </c>
      <c r="K403" t="s">
        <v>38</v>
      </c>
      <c r="L403" t="str">
        <f t="shared" si="81"/>
        <v>East</v>
      </c>
      <c r="M403" t="s">
        <v>228</v>
      </c>
      <c r="N403" t="s">
        <v>229</v>
      </c>
      <c r="O403" t="s">
        <v>41</v>
      </c>
      <c r="P403" t="s">
        <v>42</v>
      </c>
      <c r="Q403" t="s">
        <v>1305</v>
      </c>
      <c r="R403" t="s">
        <v>44</v>
      </c>
      <c r="S403" t="str">
        <f t="shared" si="82"/>
        <v>Same Day</v>
      </c>
      <c r="T403">
        <v>3</v>
      </c>
      <c r="U403">
        <v>2625.85</v>
      </c>
      <c r="V403">
        <v>0</v>
      </c>
      <c r="W403">
        <f t="shared" si="83"/>
        <v>0</v>
      </c>
      <c r="X403" t="str">
        <f t="shared" si="84"/>
        <v/>
      </c>
      <c r="Y403">
        <v>7877.55</v>
      </c>
      <c r="Z403">
        <f t="shared" si="85"/>
        <v>7877.5499999999993</v>
      </c>
      <c r="AA403">
        <v>5562.77</v>
      </c>
      <c r="AB403">
        <v>2314.7800000000002</v>
      </c>
      <c r="AC403">
        <f t="shared" si="86"/>
        <v>5251.6999999999989</v>
      </c>
      <c r="AD403" s="6">
        <f t="shared" si="87"/>
        <v>0.66666666666666663</v>
      </c>
      <c r="AE403" t="s">
        <v>32</v>
      </c>
      <c r="AF403" t="s">
        <v>33</v>
      </c>
      <c r="AG403">
        <f t="shared" si="88"/>
        <v>3</v>
      </c>
      <c r="AH403">
        <f t="shared" si="89"/>
        <v>2025</v>
      </c>
      <c r="AI403" t="str">
        <f t="shared" si="90"/>
        <v>CLEAN</v>
      </c>
    </row>
    <row r="404" spans="1:35">
      <c r="A404" t="s">
        <v>1306</v>
      </c>
      <c r="B404">
        <f t="shared" si="78"/>
        <v>1</v>
      </c>
      <c r="C404" t="str">
        <f>IF(COUNTIF($A$2:A404, A404)&gt;1, "DUPLICATE_FLAGGED_FOR_REVIEW", "")</f>
        <v/>
      </c>
      <c r="D404" s="3">
        <v>45373</v>
      </c>
      <c r="E404" s="2">
        <v>45373</v>
      </c>
      <c r="F404" s="2" t="str">
        <f t="shared" si="79"/>
        <v>OK</v>
      </c>
      <c r="G404" s="4">
        <f t="shared" si="80"/>
        <v>0</v>
      </c>
      <c r="H404" t="s">
        <v>1307</v>
      </c>
      <c r="I404" t="s">
        <v>114</v>
      </c>
      <c r="J404" t="s">
        <v>37</v>
      </c>
      <c r="K404" t="s">
        <v>54</v>
      </c>
      <c r="L404" t="str">
        <f t="shared" si="81"/>
        <v>South</v>
      </c>
      <c r="M404" t="s">
        <v>175</v>
      </c>
      <c r="N404" t="s">
        <v>176</v>
      </c>
      <c r="O404" t="s">
        <v>41</v>
      </c>
      <c r="P404" t="s">
        <v>42</v>
      </c>
      <c r="Q404" t="s">
        <v>1308</v>
      </c>
      <c r="R404" t="s">
        <v>2760</v>
      </c>
      <c r="S404" t="str">
        <f t="shared" si="82"/>
        <v>Unknown</v>
      </c>
      <c r="T404">
        <v>3</v>
      </c>
      <c r="U404">
        <v>1365.26</v>
      </c>
      <c r="V404">
        <v>0</v>
      </c>
      <c r="W404">
        <f t="shared" si="83"/>
        <v>0</v>
      </c>
      <c r="X404" t="str">
        <f t="shared" si="84"/>
        <v/>
      </c>
      <c r="Y404">
        <v>4095.78</v>
      </c>
      <c r="Z404">
        <f t="shared" si="85"/>
        <v>4095.7799999999997</v>
      </c>
      <c r="AA404">
        <v>2807.77</v>
      </c>
      <c r="AB404">
        <v>1288.01</v>
      </c>
      <c r="AC404">
        <f t="shared" si="86"/>
        <v>2730.5199999999995</v>
      </c>
      <c r="AD404" s="6">
        <f t="shared" si="87"/>
        <v>0.66666666666666663</v>
      </c>
      <c r="AE404" t="s">
        <v>32</v>
      </c>
      <c r="AF404" t="s">
        <v>33</v>
      </c>
      <c r="AG404">
        <f t="shared" si="88"/>
        <v>3</v>
      </c>
      <c r="AH404">
        <f t="shared" si="89"/>
        <v>2024</v>
      </c>
      <c r="AI404" t="str">
        <f t="shared" si="90"/>
        <v>WARNING</v>
      </c>
    </row>
    <row r="405" spans="1:35">
      <c r="A405" t="s">
        <v>1309</v>
      </c>
      <c r="B405">
        <f t="shared" si="78"/>
        <v>1</v>
      </c>
      <c r="C405" t="str">
        <f>IF(COUNTIF($A$2:A405, A405)&gt;1, "DUPLICATE_FLAGGED_FOR_REVIEW", "")</f>
        <v/>
      </c>
      <c r="D405" s="3">
        <v>45565</v>
      </c>
      <c r="E405" s="2">
        <v>45569</v>
      </c>
      <c r="F405" s="2" t="str">
        <f t="shared" si="79"/>
        <v>OK</v>
      </c>
      <c r="G405" s="4">
        <f t="shared" si="80"/>
        <v>4</v>
      </c>
      <c r="H405" t="s">
        <v>1310</v>
      </c>
      <c r="I405" t="s">
        <v>53</v>
      </c>
      <c r="J405" t="s">
        <v>37</v>
      </c>
      <c r="K405" t="s">
        <v>54</v>
      </c>
      <c r="L405" t="str">
        <f t="shared" si="81"/>
        <v>South</v>
      </c>
      <c r="M405" t="s">
        <v>185</v>
      </c>
      <c r="N405" t="s">
        <v>186</v>
      </c>
      <c r="O405" t="s">
        <v>28</v>
      </c>
      <c r="P405" t="s">
        <v>29</v>
      </c>
      <c r="Q405" t="s">
        <v>1311</v>
      </c>
      <c r="R405" t="s">
        <v>44</v>
      </c>
      <c r="S405" t="str">
        <f t="shared" si="82"/>
        <v>Same Day</v>
      </c>
      <c r="T405">
        <v>5</v>
      </c>
      <c r="U405">
        <v>3512.25</v>
      </c>
      <c r="V405">
        <v>0.05</v>
      </c>
      <c r="W405">
        <f t="shared" si="83"/>
        <v>0.05</v>
      </c>
      <c r="X405" t="str">
        <f t="shared" si="84"/>
        <v/>
      </c>
      <c r="Y405">
        <v>16683.189999999999</v>
      </c>
      <c r="Z405">
        <f t="shared" si="85"/>
        <v>16683.1875</v>
      </c>
      <c r="AA405">
        <v>10301.16</v>
      </c>
      <c r="AB405">
        <v>6382.03</v>
      </c>
      <c r="AC405">
        <f t="shared" si="86"/>
        <v>13170.9375</v>
      </c>
      <c r="AD405" s="6">
        <f t="shared" si="87"/>
        <v>0.78947368421052633</v>
      </c>
      <c r="AE405" t="s">
        <v>32</v>
      </c>
      <c r="AF405" t="s">
        <v>103</v>
      </c>
      <c r="AG405">
        <f t="shared" si="88"/>
        <v>9</v>
      </c>
      <c r="AH405">
        <f t="shared" si="89"/>
        <v>2024</v>
      </c>
      <c r="AI405" t="str">
        <f t="shared" si="90"/>
        <v>CLEAN</v>
      </c>
    </row>
    <row r="406" spans="1:35">
      <c r="A406" t="s">
        <v>1312</v>
      </c>
      <c r="B406">
        <f t="shared" si="78"/>
        <v>1</v>
      </c>
      <c r="C406" t="str">
        <f>IF(COUNTIF($A$2:A406, A406)&gt;1, "DUPLICATE_FLAGGED_FOR_REVIEW", "")</f>
        <v/>
      </c>
      <c r="D406" s="3">
        <v>45318</v>
      </c>
      <c r="E406" s="2">
        <v>45353</v>
      </c>
      <c r="F406" s="2" t="str">
        <f t="shared" si="79"/>
        <v>OK</v>
      </c>
      <c r="G406" s="4">
        <f t="shared" si="80"/>
        <v>35</v>
      </c>
      <c r="H406" t="s">
        <v>1313</v>
      </c>
      <c r="I406" t="s">
        <v>89</v>
      </c>
      <c r="J406" t="s">
        <v>90</v>
      </c>
      <c r="K406" t="s">
        <v>63</v>
      </c>
      <c r="L406" t="str">
        <f t="shared" si="81"/>
        <v>West</v>
      </c>
      <c r="M406" t="s">
        <v>26</v>
      </c>
      <c r="N406" t="s">
        <v>109</v>
      </c>
      <c r="O406" t="s">
        <v>41</v>
      </c>
      <c r="P406" t="s">
        <v>66</v>
      </c>
      <c r="Q406" t="s">
        <v>1314</v>
      </c>
      <c r="R406" t="s">
        <v>44</v>
      </c>
      <c r="S406" t="str">
        <f t="shared" si="82"/>
        <v>Same Day</v>
      </c>
      <c r="T406">
        <v>3</v>
      </c>
      <c r="U406">
        <v>359.61</v>
      </c>
      <c r="V406">
        <v>0</v>
      </c>
      <c r="W406">
        <f t="shared" si="83"/>
        <v>0</v>
      </c>
      <c r="X406" t="str">
        <f t="shared" si="84"/>
        <v/>
      </c>
      <c r="Y406">
        <v>1078.83</v>
      </c>
      <c r="Z406">
        <f t="shared" si="85"/>
        <v>1078.83</v>
      </c>
      <c r="AA406">
        <v>926.35</v>
      </c>
      <c r="AB406">
        <v>152.47999999999999</v>
      </c>
      <c r="AC406">
        <f t="shared" si="86"/>
        <v>719.21999999999991</v>
      </c>
      <c r="AD406" s="6">
        <f t="shared" si="87"/>
        <v>0.66666666666666663</v>
      </c>
      <c r="AE406" t="s">
        <v>32</v>
      </c>
      <c r="AF406" t="s">
        <v>33</v>
      </c>
      <c r="AG406">
        <f t="shared" si="88"/>
        <v>1</v>
      </c>
      <c r="AH406">
        <f t="shared" si="89"/>
        <v>2024</v>
      </c>
      <c r="AI406" t="str">
        <f t="shared" si="90"/>
        <v>CLEAN</v>
      </c>
    </row>
    <row r="407" spans="1:35">
      <c r="A407" t="s">
        <v>1315</v>
      </c>
      <c r="B407">
        <f t="shared" si="78"/>
        <v>1</v>
      </c>
      <c r="C407" t="str">
        <f>IF(COUNTIF($A$2:A407, A407)&gt;1, "DUPLICATE_FLAGGED_FOR_REVIEW", "")</f>
        <v/>
      </c>
      <c r="D407" s="3">
        <v>45558</v>
      </c>
      <c r="E407" s="2">
        <v>45559</v>
      </c>
      <c r="F407" s="2" t="str">
        <f t="shared" si="79"/>
        <v>OK</v>
      </c>
      <c r="G407" s="4">
        <f t="shared" si="80"/>
        <v>1</v>
      </c>
      <c r="H407" t="s">
        <v>1316</v>
      </c>
      <c r="I407" t="s">
        <v>89</v>
      </c>
      <c r="J407" t="s">
        <v>95</v>
      </c>
      <c r="K407" t="s">
        <v>63</v>
      </c>
      <c r="L407" t="str">
        <f t="shared" si="81"/>
        <v>West</v>
      </c>
      <c r="M407" t="s">
        <v>180</v>
      </c>
      <c r="N407" t="s">
        <v>181</v>
      </c>
      <c r="O407" t="s">
        <v>41</v>
      </c>
      <c r="P407" t="s">
        <v>158</v>
      </c>
      <c r="Q407" t="s">
        <v>1317</v>
      </c>
      <c r="R407" t="s">
        <v>2760</v>
      </c>
      <c r="S407" t="str">
        <f t="shared" si="82"/>
        <v>Unknown</v>
      </c>
      <c r="T407">
        <v>7</v>
      </c>
      <c r="U407">
        <v>3878.01</v>
      </c>
      <c r="V407">
        <v>0.1</v>
      </c>
      <c r="W407">
        <f t="shared" si="83"/>
        <v>0.1</v>
      </c>
      <c r="X407" t="str">
        <f t="shared" si="84"/>
        <v/>
      </c>
      <c r="Y407">
        <v>24431.46</v>
      </c>
      <c r="Z407">
        <f t="shared" si="85"/>
        <v>24431.463</v>
      </c>
      <c r="AA407">
        <v>18202.36</v>
      </c>
      <c r="AB407">
        <v>6229.1</v>
      </c>
      <c r="AC407">
        <f t="shared" si="86"/>
        <v>20553.453000000001</v>
      </c>
      <c r="AD407" s="6">
        <f t="shared" si="87"/>
        <v>0.84126984126984128</v>
      </c>
      <c r="AE407" t="s">
        <v>32</v>
      </c>
      <c r="AF407" t="s">
        <v>33</v>
      </c>
      <c r="AG407">
        <f t="shared" si="88"/>
        <v>9</v>
      </c>
      <c r="AH407">
        <f t="shared" si="89"/>
        <v>2024</v>
      </c>
      <c r="AI407" t="str">
        <f t="shared" si="90"/>
        <v>WARNING</v>
      </c>
    </row>
    <row r="408" spans="1:35">
      <c r="A408" t="s">
        <v>1318</v>
      </c>
      <c r="B408">
        <f t="shared" si="78"/>
        <v>1</v>
      </c>
      <c r="C408" t="str">
        <f>IF(COUNTIF($A$2:A408, A408)&gt;1, "DUPLICATE_FLAGGED_FOR_REVIEW", "")</f>
        <v/>
      </c>
      <c r="D408" s="3">
        <v>45713</v>
      </c>
      <c r="E408" s="2">
        <v>45713</v>
      </c>
      <c r="F408" s="2" t="str">
        <f t="shared" si="79"/>
        <v>OK</v>
      </c>
      <c r="G408" s="4">
        <f t="shared" si="80"/>
        <v>0</v>
      </c>
      <c r="H408" t="s">
        <v>1319</v>
      </c>
      <c r="I408" t="s">
        <v>264</v>
      </c>
      <c r="J408" t="s">
        <v>37</v>
      </c>
      <c r="K408" t="s">
        <v>63</v>
      </c>
      <c r="L408" t="str">
        <f t="shared" si="81"/>
        <v>West</v>
      </c>
      <c r="M408" t="s">
        <v>190</v>
      </c>
      <c r="N408" t="s">
        <v>191</v>
      </c>
      <c r="O408" t="s">
        <v>41</v>
      </c>
      <c r="P408" t="s">
        <v>57</v>
      </c>
      <c r="Q408" t="s">
        <v>1320</v>
      </c>
      <c r="R408" t="s">
        <v>59</v>
      </c>
      <c r="S408" t="str">
        <f t="shared" si="82"/>
        <v>Standard Class</v>
      </c>
      <c r="T408">
        <v>2</v>
      </c>
      <c r="U408">
        <v>3924.2</v>
      </c>
      <c r="V408">
        <v>0.25</v>
      </c>
      <c r="W408">
        <f t="shared" si="83"/>
        <v>0.25</v>
      </c>
      <c r="X408" t="str">
        <f t="shared" si="84"/>
        <v/>
      </c>
      <c r="Y408">
        <v>5886.3</v>
      </c>
      <c r="Z408">
        <f t="shared" si="85"/>
        <v>5886.2999999999993</v>
      </c>
      <c r="AA408">
        <v>3621.76</v>
      </c>
      <c r="AB408">
        <v>2264.54</v>
      </c>
      <c r="AC408">
        <f t="shared" si="86"/>
        <v>1962.0999999999995</v>
      </c>
      <c r="AD408" s="6">
        <f t="shared" si="87"/>
        <v>0.33333333333333326</v>
      </c>
      <c r="AE408" t="s">
        <v>111</v>
      </c>
      <c r="AF408" t="s">
        <v>103</v>
      </c>
      <c r="AG408">
        <f t="shared" si="88"/>
        <v>2</v>
      </c>
      <c r="AH408">
        <f t="shared" si="89"/>
        <v>2025</v>
      </c>
      <c r="AI408" t="str">
        <f t="shared" si="90"/>
        <v>CLEAN</v>
      </c>
    </row>
    <row r="409" spans="1:35">
      <c r="A409" t="s">
        <v>1321</v>
      </c>
      <c r="B409">
        <f t="shared" si="78"/>
        <v>1</v>
      </c>
      <c r="C409" t="str">
        <f>IF(COUNTIF($A$2:A409, A409)&gt;1, "DUPLICATE_FLAGGED_FOR_REVIEW", "")</f>
        <v/>
      </c>
      <c r="D409" s="3">
        <v>45424</v>
      </c>
      <c r="E409" s="2">
        <v>45425</v>
      </c>
      <c r="F409" s="2" t="str">
        <f t="shared" si="79"/>
        <v>OK</v>
      </c>
      <c r="G409" s="4">
        <f t="shared" si="80"/>
        <v>1</v>
      </c>
      <c r="H409" t="s">
        <v>1322</v>
      </c>
      <c r="I409" t="s">
        <v>118</v>
      </c>
      <c r="J409" t="s">
        <v>90</v>
      </c>
      <c r="K409" t="s">
        <v>63</v>
      </c>
      <c r="L409" t="str">
        <f t="shared" si="81"/>
        <v>West</v>
      </c>
      <c r="M409" t="s">
        <v>190</v>
      </c>
      <c r="N409" t="s">
        <v>191</v>
      </c>
      <c r="O409" t="s">
        <v>28</v>
      </c>
      <c r="P409" t="s">
        <v>91</v>
      </c>
      <c r="Q409" t="s">
        <v>1323</v>
      </c>
      <c r="R409" t="s">
        <v>31</v>
      </c>
      <c r="S409" t="str">
        <f t="shared" si="82"/>
        <v>Second Class</v>
      </c>
      <c r="T409">
        <v>3</v>
      </c>
      <c r="U409">
        <v>2644.55</v>
      </c>
      <c r="V409">
        <v>0</v>
      </c>
      <c r="W409">
        <f t="shared" si="83"/>
        <v>0</v>
      </c>
      <c r="X409" t="str">
        <f t="shared" si="84"/>
        <v/>
      </c>
      <c r="Y409">
        <v>7933.65</v>
      </c>
      <c r="Z409">
        <f t="shared" si="85"/>
        <v>7933.6500000000005</v>
      </c>
      <c r="AA409">
        <v>5698.42</v>
      </c>
      <c r="AB409">
        <v>2235.23</v>
      </c>
      <c r="AC409">
        <f t="shared" si="86"/>
        <v>5289.1</v>
      </c>
      <c r="AD409" s="6">
        <f t="shared" si="87"/>
        <v>0.66666666666666663</v>
      </c>
      <c r="AE409" t="s">
        <v>32</v>
      </c>
      <c r="AF409" t="s">
        <v>33</v>
      </c>
      <c r="AG409">
        <f t="shared" si="88"/>
        <v>5</v>
      </c>
      <c r="AH409">
        <f t="shared" si="89"/>
        <v>2024</v>
      </c>
      <c r="AI409" t="str">
        <f t="shared" si="90"/>
        <v>CLEAN</v>
      </c>
    </row>
    <row r="410" spans="1:35">
      <c r="A410" t="s">
        <v>1324</v>
      </c>
      <c r="B410">
        <f t="shared" si="78"/>
        <v>1</v>
      </c>
      <c r="C410" t="str">
        <f>IF(COUNTIF($A$2:A410, A410)&gt;1, "DUPLICATE_FLAGGED_FOR_REVIEW", "")</f>
        <v/>
      </c>
      <c r="D410" s="3">
        <v>45665</v>
      </c>
      <c r="E410" s="2">
        <v>45724</v>
      </c>
      <c r="F410" s="2" t="str">
        <f t="shared" si="79"/>
        <v>OK</v>
      </c>
      <c r="G410" s="4">
        <f t="shared" si="80"/>
        <v>59</v>
      </c>
      <c r="H410" t="s">
        <v>1325</v>
      </c>
      <c r="I410" t="s">
        <v>132</v>
      </c>
      <c r="J410" t="s">
        <v>24</v>
      </c>
      <c r="K410" t="s">
        <v>63</v>
      </c>
      <c r="L410" t="str">
        <f t="shared" si="81"/>
        <v>West</v>
      </c>
      <c r="M410" t="s">
        <v>64</v>
      </c>
      <c r="N410" t="s">
        <v>65</v>
      </c>
      <c r="O410" t="s">
        <v>41</v>
      </c>
      <c r="P410" t="s">
        <v>66</v>
      </c>
      <c r="Q410" t="s">
        <v>1326</v>
      </c>
      <c r="R410" t="s">
        <v>50</v>
      </c>
      <c r="S410" t="str">
        <f t="shared" si="82"/>
        <v>First Class</v>
      </c>
      <c r="T410">
        <v>4</v>
      </c>
      <c r="U410">
        <v>1773.46</v>
      </c>
      <c r="V410">
        <v>0</v>
      </c>
      <c r="W410">
        <f t="shared" si="83"/>
        <v>0</v>
      </c>
      <c r="X410" t="str">
        <f t="shared" si="84"/>
        <v/>
      </c>
      <c r="Y410">
        <v>7093.84</v>
      </c>
      <c r="Z410">
        <f t="shared" si="85"/>
        <v>7093.84</v>
      </c>
      <c r="AA410">
        <v>4587.49</v>
      </c>
      <c r="AB410">
        <v>2506.35</v>
      </c>
      <c r="AC410">
        <f t="shared" si="86"/>
        <v>5320.38</v>
      </c>
      <c r="AD410" s="6">
        <f t="shared" si="87"/>
        <v>0.75</v>
      </c>
      <c r="AE410" t="s">
        <v>155</v>
      </c>
      <c r="AF410" t="s">
        <v>103</v>
      </c>
      <c r="AG410">
        <f t="shared" si="88"/>
        <v>1</v>
      </c>
      <c r="AH410">
        <f t="shared" si="89"/>
        <v>2025</v>
      </c>
      <c r="AI410" t="str">
        <f t="shared" si="90"/>
        <v>CLEAN</v>
      </c>
    </row>
    <row r="411" spans="1:35">
      <c r="A411" t="s">
        <v>1327</v>
      </c>
      <c r="B411">
        <f t="shared" si="78"/>
        <v>1</v>
      </c>
      <c r="C411" t="str">
        <f>IF(COUNTIF($A$2:A411, A411)&gt;1, "DUPLICATE_FLAGGED_FOR_REVIEW", "")</f>
        <v/>
      </c>
      <c r="D411" s="3">
        <v>45701</v>
      </c>
      <c r="E411" s="2">
        <v>45703</v>
      </c>
      <c r="F411" s="2" t="str">
        <f t="shared" si="79"/>
        <v>OK</v>
      </c>
      <c r="G411" s="4">
        <f t="shared" si="80"/>
        <v>2</v>
      </c>
      <c r="H411" t="s">
        <v>1328</v>
      </c>
      <c r="I411" t="s">
        <v>23</v>
      </c>
      <c r="J411" t="s">
        <v>24</v>
      </c>
      <c r="K411" t="s">
        <v>38</v>
      </c>
      <c r="L411" t="str">
        <f t="shared" si="81"/>
        <v>East</v>
      </c>
      <c r="M411" t="s">
        <v>166</v>
      </c>
      <c r="N411" t="s">
        <v>167</v>
      </c>
      <c r="O411" t="s">
        <v>74</v>
      </c>
      <c r="P411" t="s">
        <v>75</v>
      </c>
      <c r="Q411" t="s">
        <v>1329</v>
      </c>
      <c r="R411" t="s">
        <v>44</v>
      </c>
      <c r="S411" t="str">
        <f t="shared" si="82"/>
        <v>Same Day</v>
      </c>
      <c r="T411">
        <v>1</v>
      </c>
      <c r="U411">
        <v>3025.46</v>
      </c>
      <c r="V411">
        <v>0.25</v>
      </c>
      <c r="W411">
        <f t="shared" si="83"/>
        <v>0.25</v>
      </c>
      <c r="X411" t="str">
        <f t="shared" si="84"/>
        <v/>
      </c>
      <c r="Y411">
        <v>2269.1</v>
      </c>
      <c r="Z411">
        <f t="shared" si="85"/>
        <v>2269.0950000000003</v>
      </c>
      <c r="AA411">
        <v>1593.59</v>
      </c>
      <c r="AB411">
        <v>675.51</v>
      </c>
      <c r="AC411">
        <f t="shared" si="86"/>
        <v>-756.36499999999978</v>
      </c>
      <c r="AD411" s="6">
        <f t="shared" si="87"/>
        <v>-0.3333333333333332</v>
      </c>
      <c r="AE411" t="s">
        <v>102</v>
      </c>
      <c r="AF411" t="s">
        <v>103</v>
      </c>
      <c r="AG411">
        <f t="shared" si="88"/>
        <v>2</v>
      </c>
      <c r="AH411">
        <f t="shared" si="89"/>
        <v>2025</v>
      </c>
      <c r="AI411" t="str">
        <f t="shared" si="90"/>
        <v>CLEAN</v>
      </c>
    </row>
    <row r="412" spans="1:35">
      <c r="A412" t="s">
        <v>1330</v>
      </c>
      <c r="B412">
        <f t="shared" si="78"/>
        <v>1</v>
      </c>
      <c r="C412" t="str">
        <f>IF(COUNTIF($A$2:A412, A412)&gt;1, "DUPLICATE_FLAGGED_FOR_REVIEW", "")</f>
        <v/>
      </c>
      <c r="D412" s="3">
        <v>45394</v>
      </c>
      <c r="E412" s="2">
        <v>45402</v>
      </c>
      <c r="F412" s="2" t="str">
        <f t="shared" si="79"/>
        <v>OK</v>
      </c>
      <c r="G412" s="4">
        <f t="shared" si="80"/>
        <v>8</v>
      </c>
      <c r="H412" t="s">
        <v>1331</v>
      </c>
      <c r="I412" t="s">
        <v>162</v>
      </c>
      <c r="J412" t="s">
        <v>24</v>
      </c>
      <c r="K412" t="s">
        <v>63</v>
      </c>
      <c r="L412" t="str">
        <f t="shared" si="81"/>
        <v>West</v>
      </c>
      <c r="M412" t="s">
        <v>190</v>
      </c>
      <c r="N412" t="s">
        <v>191</v>
      </c>
      <c r="O412" t="s">
        <v>41</v>
      </c>
      <c r="P412" t="s">
        <v>42</v>
      </c>
      <c r="Q412" t="s">
        <v>1332</v>
      </c>
      <c r="R412" t="s">
        <v>50</v>
      </c>
      <c r="S412" t="str">
        <f t="shared" si="82"/>
        <v>First Class</v>
      </c>
      <c r="T412">
        <v>9</v>
      </c>
      <c r="U412">
        <v>1302.6099999999999</v>
      </c>
      <c r="V412">
        <v>0.2</v>
      </c>
      <c r="W412">
        <f t="shared" si="83"/>
        <v>0.2</v>
      </c>
      <c r="X412" t="str">
        <f t="shared" si="84"/>
        <v/>
      </c>
      <c r="Y412">
        <v>9378.7900000000009</v>
      </c>
      <c r="Z412">
        <f t="shared" si="85"/>
        <v>9378.7919999999995</v>
      </c>
      <c r="AA412">
        <v>6774.48</v>
      </c>
      <c r="AB412">
        <v>2604.31</v>
      </c>
      <c r="AC412">
        <f t="shared" si="86"/>
        <v>8076.1819999999998</v>
      </c>
      <c r="AD412" s="6">
        <f t="shared" si="87"/>
        <v>0.86111111111111116</v>
      </c>
      <c r="AE412" t="s">
        <v>32</v>
      </c>
      <c r="AF412" t="s">
        <v>33</v>
      </c>
      <c r="AG412">
        <f t="shared" si="88"/>
        <v>4</v>
      </c>
      <c r="AH412">
        <f t="shared" si="89"/>
        <v>2024</v>
      </c>
      <c r="AI412" t="str">
        <f t="shared" si="90"/>
        <v>CLEAN</v>
      </c>
    </row>
    <row r="413" spans="1:35">
      <c r="A413" t="s">
        <v>1333</v>
      </c>
      <c r="B413">
        <f t="shared" si="78"/>
        <v>1</v>
      </c>
      <c r="C413" t="str">
        <f>IF(COUNTIF($A$2:A413, A413)&gt;1, "DUPLICATE_FLAGGED_FOR_REVIEW", "")</f>
        <v/>
      </c>
      <c r="D413" s="3">
        <v>45892</v>
      </c>
      <c r="E413" s="2">
        <v>45897</v>
      </c>
      <c r="F413" s="2" t="str">
        <f t="shared" si="79"/>
        <v>OK</v>
      </c>
      <c r="G413" s="4">
        <f t="shared" si="80"/>
        <v>5</v>
      </c>
      <c r="H413" t="s">
        <v>1334</v>
      </c>
      <c r="I413" t="s">
        <v>53</v>
      </c>
      <c r="J413" t="s">
        <v>95</v>
      </c>
      <c r="K413" t="s">
        <v>63</v>
      </c>
      <c r="L413" t="str">
        <f t="shared" si="81"/>
        <v>West</v>
      </c>
      <c r="M413" t="s">
        <v>26</v>
      </c>
      <c r="N413" t="s">
        <v>109</v>
      </c>
      <c r="O413" t="s">
        <v>41</v>
      </c>
      <c r="P413" t="s">
        <v>42</v>
      </c>
      <c r="Q413" t="s">
        <v>1335</v>
      </c>
      <c r="R413" t="s">
        <v>50</v>
      </c>
      <c r="S413" t="str">
        <f t="shared" si="82"/>
        <v>First Class</v>
      </c>
      <c r="T413">
        <v>1</v>
      </c>
      <c r="U413">
        <v>4167.8100000000004</v>
      </c>
      <c r="V413">
        <v>0.2</v>
      </c>
      <c r="W413">
        <f t="shared" si="83"/>
        <v>0.2</v>
      </c>
      <c r="X413" t="str">
        <f t="shared" si="84"/>
        <v/>
      </c>
      <c r="Y413">
        <v>3334.25</v>
      </c>
      <c r="Z413">
        <f t="shared" si="85"/>
        <v>3334.2480000000005</v>
      </c>
      <c r="AA413">
        <v>2768.77</v>
      </c>
      <c r="AB413">
        <v>565.48</v>
      </c>
      <c r="AC413">
        <f t="shared" si="86"/>
        <v>-833.5619999999999</v>
      </c>
      <c r="AD413" s="6">
        <f t="shared" si="87"/>
        <v>-0.24999999999999994</v>
      </c>
      <c r="AE413" t="s">
        <v>155</v>
      </c>
      <c r="AF413" t="s">
        <v>103</v>
      </c>
      <c r="AG413">
        <f t="shared" si="88"/>
        <v>8</v>
      </c>
      <c r="AH413">
        <f t="shared" si="89"/>
        <v>2025</v>
      </c>
      <c r="AI413" t="str">
        <f t="shared" si="90"/>
        <v>CLEAN</v>
      </c>
    </row>
    <row r="414" spans="1:35">
      <c r="A414" t="s">
        <v>1336</v>
      </c>
      <c r="B414">
        <f t="shared" si="78"/>
        <v>1</v>
      </c>
      <c r="C414" t="str">
        <f>IF(COUNTIF($A$2:A414, A414)&gt;1, "DUPLICATE_FLAGGED_FOR_REVIEW", "")</f>
        <v/>
      </c>
      <c r="D414" s="3">
        <v>45313</v>
      </c>
      <c r="E414" s="2">
        <v>45321</v>
      </c>
      <c r="F414" s="2" t="str">
        <f t="shared" si="79"/>
        <v>OK</v>
      </c>
      <c r="G414" s="4">
        <f t="shared" si="80"/>
        <v>8</v>
      </c>
      <c r="H414" t="s">
        <v>1337</v>
      </c>
      <c r="I414" t="s">
        <v>47</v>
      </c>
      <c r="J414" t="s">
        <v>90</v>
      </c>
      <c r="K414" t="s">
        <v>54</v>
      </c>
      <c r="L414" t="str">
        <f t="shared" si="81"/>
        <v>South</v>
      </c>
      <c r="M414" t="s">
        <v>175</v>
      </c>
      <c r="N414" t="s">
        <v>176</v>
      </c>
      <c r="O414" t="s">
        <v>41</v>
      </c>
      <c r="P414" t="s">
        <v>66</v>
      </c>
      <c r="Q414" t="s">
        <v>1338</v>
      </c>
      <c r="R414" t="s">
        <v>44</v>
      </c>
      <c r="S414" t="str">
        <f t="shared" si="82"/>
        <v>Same Day</v>
      </c>
      <c r="T414">
        <v>1</v>
      </c>
      <c r="U414">
        <v>2111.39</v>
      </c>
      <c r="V414">
        <v>0.25</v>
      </c>
      <c r="W414">
        <f t="shared" si="83"/>
        <v>0.25</v>
      </c>
      <c r="X414" t="str">
        <f t="shared" si="84"/>
        <v/>
      </c>
      <c r="Y414">
        <v>1583.54</v>
      </c>
      <c r="Z414">
        <f t="shared" si="85"/>
        <v>1583.5425</v>
      </c>
      <c r="AA414">
        <v>1014.19</v>
      </c>
      <c r="AB414">
        <v>569.35</v>
      </c>
      <c r="AC414">
        <f t="shared" si="86"/>
        <v>-527.84749999999985</v>
      </c>
      <c r="AD414" s="6">
        <f t="shared" si="87"/>
        <v>-0.33333333333333326</v>
      </c>
      <c r="AE414" t="s">
        <v>32</v>
      </c>
      <c r="AF414" t="s">
        <v>33</v>
      </c>
      <c r="AG414">
        <f t="shared" si="88"/>
        <v>1</v>
      </c>
      <c r="AH414">
        <f t="shared" si="89"/>
        <v>2024</v>
      </c>
      <c r="AI414" t="str">
        <f t="shared" si="90"/>
        <v>CLEAN</v>
      </c>
    </row>
    <row r="415" spans="1:35">
      <c r="A415" t="s">
        <v>1339</v>
      </c>
      <c r="B415">
        <f t="shared" si="78"/>
        <v>1</v>
      </c>
      <c r="C415" t="str">
        <f>IF(COUNTIF($A$2:A415, A415)&gt;1, "DUPLICATE_FLAGGED_FOR_REVIEW", "")</f>
        <v/>
      </c>
      <c r="D415" s="3">
        <v>45882</v>
      </c>
      <c r="E415" s="2">
        <v>45886</v>
      </c>
      <c r="F415" s="2" t="str">
        <f t="shared" si="79"/>
        <v>OK</v>
      </c>
      <c r="G415" s="4">
        <f t="shared" si="80"/>
        <v>4</v>
      </c>
      <c r="H415" t="s">
        <v>1340</v>
      </c>
      <c r="I415" t="s">
        <v>79</v>
      </c>
      <c r="J415" t="s">
        <v>95</v>
      </c>
      <c r="K415" t="s">
        <v>63</v>
      </c>
      <c r="L415" t="str">
        <f t="shared" si="81"/>
        <v>West</v>
      </c>
      <c r="M415" t="s">
        <v>72</v>
      </c>
      <c r="N415" t="s">
        <v>73</v>
      </c>
      <c r="O415" t="s">
        <v>74</v>
      </c>
      <c r="P415" t="s">
        <v>75</v>
      </c>
      <c r="Q415" t="s">
        <v>1341</v>
      </c>
      <c r="R415" t="s">
        <v>31</v>
      </c>
      <c r="S415" t="str">
        <f t="shared" si="82"/>
        <v>Second Class</v>
      </c>
      <c r="T415">
        <v>8</v>
      </c>
      <c r="U415">
        <v>1918.23</v>
      </c>
      <c r="V415">
        <v>0</v>
      </c>
      <c r="W415">
        <f t="shared" si="83"/>
        <v>0</v>
      </c>
      <c r="X415" t="str">
        <f t="shared" si="84"/>
        <v/>
      </c>
      <c r="Y415">
        <v>15345.84</v>
      </c>
      <c r="Z415">
        <f t="shared" si="85"/>
        <v>15345.84</v>
      </c>
      <c r="AA415">
        <v>10735.33</v>
      </c>
      <c r="AB415">
        <v>4610.51</v>
      </c>
      <c r="AC415">
        <f t="shared" si="86"/>
        <v>13427.61</v>
      </c>
      <c r="AD415" s="6">
        <f t="shared" si="87"/>
        <v>0.875</v>
      </c>
      <c r="AE415" t="s">
        <v>111</v>
      </c>
      <c r="AF415" t="s">
        <v>68</v>
      </c>
      <c r="AG415">
        <f t="shared" si="88"/>
        <v>8</v>
      </c>
      <c r="AH415">
        <f t="shared" si="89"/>
        <v>2025</v>
      </c>
      <c r="AI415" t="str">
        <f t="shared" si="90"/>
        <v>CLEAN</v>
      </c>
    </row>
    <row r="416" spans="1:35">
      <c r="A416" t="s">
        <v>1342</v>
      </c>
      <c r="B416">
        <f t="shared" si="78"/>
        <v>1</v>
      </c>
      <c r="C416" t="str">
        <f>IF(COUNTIF($A$2:A416, A416)&gt;1, "DUPLICATE_FLAGGED_FOR_REVIEW", "")</f>
        <v/>
      </c>
      <c r="D416" s="3">
        <v>45533</v>
      </c>
      <c r="E416" s="2">
        <v>45534</v>
      </c>
      <c r="F416" s="2" t="str">
        <f t="shared" si="79"/>
        <v>OK</v>
      </c>
      <c r="G416" s="4">
        <f t="shared" si="80"/>
        <v>1</v>
      </c>
      <c r="H416" t="s">
        <v>1343</v>
      </c>
      <c r="I416" t="s">
        <v>53</v>
      </c>
      <c r="J416" t="s">
        <v>95</v>
      </c>
      <c r="K416" t="s">
        <v>38</v>
      </c>
      <c r="L416" t="str">
        <f t="shared" si="81"/>
        <v>East</v>
      </c>
      <c r="M416" t="s">
        <v>166</v>
      </c>
      <c r="N416" t="s">
        <v>167</v>
      </c>
      <c r="O416" t="s">
        <v>28</v>
      </c>
      <c r="P416" t="s">
        <v>124</v>
      </c>
      <c r="Q416" t="s">
        <v>1344</v>
      </c>
      <c r="R416" t="s">
        <v>50</v>
      </c>
      <c r="S416" t="str">
        <f t="shared" si="82"/>
        <v>First Class</v>
      </c>
      <c r="T416">
        <v>4</v>
      </c>
      <c r="U416">
        <v>2484.08</v>
      </c>
      <c r="V416">
        <v>0.05</v>
      </c>
      <c r="W416">
        <f t="shared" si="83"/>
        <v>0.05</v>
      </c>
      <c r="X416" t="str">
        <f t="shared" si="84"/>
        <v/>
      </c>
      <c r="Y416">
        <v>9439.5</v>
      </c>
      <c r="Z416">
        <f t="shared" si="85"/>
        <v>9439.503999999999</v>
      </c>
      <c r="AA416">
        <v>5519.39</v>
      </c>
      <c r="AB416">
        <v>3920.11</v>
      </c>
      <c r="AC416">
        <f t="shared" si="86"/>
        <v>6955.4239999999991</v>
      </c>
      <c r="AD416" s="6">
        <f t="shared" si="87"/>
        <v>0.73684210526315785</v>
      </c>
      <c r="AE416" t="s">
        <v>32</v>
      </c>
      <c r="AF416" t="s">
        <v>33</v>
      </c>
      <c r="AG416">
        <f t="shared" si="88"/>
        <v>8</v>
      </c>
      <c r="AH416">
        <f t="shared" si="89"/>
        <v>2024</v>
      </c>
      <c r="AI416" t="str">
        <f t="shared" si="90"/>
        <v>CLEAN</v>
      </c>
    </row>
    <row r="417" spans="1:35">
      <c r="A417" t="s">
        <v>1345</v>
      </c>
      <c r="B417">
        <f t="shared" si="78"/>
        <v>1</v>
      </c>
      <c r="C417" t="str">
        <f>IF(COUNTIF($A$2:A417, A417)&gt;1, "DUPLICATE_FLAGGED_FOR_REVIEW", "")</f>
        <v/>
      </c>
      <c r="D417" s="3">
        <v>45316</v>
      </c>
      <c r="E417" s="2">
        <v>45318</v>
      </c>
      <c r="F417" s="2" t="str">
        <f t="shared" si="79"/>
        <v>OK</v>
      </c>
      <c r="G417" s="4">
        <f t="shared" si="80"/>
        <v>2</v>
      </c>
      <c r="H417" t="s">
        <v>1346</v>
      </c>
      <c r="I417" t="s">
        <v>128</v>
      </c>
      <c r="J417" t="s">
        <v>90</v>
      </c>
      <c r="K417" t="s">
        <v>54</v>
      </c>
      <c r="L417" t="str">
        <f t="shared" si="81"/>
        <v>South</v>
      </c>
      <c r="M417" t="s">
        <v>175</v>
      </c>
      <c r="N417" t="s">
        <v>176</v>
      </c>
      <c r="O417" t="s">
        <v>28</v>
      </c>
      <c r="P417" t="s">
        <v>124</v>
      </c>
      <c r="Q417" t="s">
        <v>1347</v>
      </c>
      <c r="R417" t="s">
        <v>44</v>
      </c>
      <c r="S417" t="str">
        <f t="shared" si="82"/>
        <v>Same Day</v>
      </c>
      <c r="T417">
        <v>7</v>
      </c>
      <c r="U417">
        <v>1727.26</v>
      </c>
      <c r="V417">
        <v>0.15</v>
      </c>
      <c r="W417">
        <f t="shared" si="83"/>
        <v>0.15</v>
      </c>
      <c r="X417" t="str">
        <f t="shared" si="84"/>
        <v/>
      </c>
      <c r="Y417">
        <v>10277.200000000001</v>
      </c>
      <c r="Z417">
        <f t="shared" si="85"/>
        <v>10277.197</v>
      </c>
      <c r="AA417">
        <v>7906.5</v>
      </c>
      <c r="AB417">
        <v>2370.6999999999998</v>
      </c>
      <c r="AC417">
        <f t="shared" si="86"/>
        <v>8549.9369999999999</v>
      </c>
      <c r="AD417" s="6">
        <f t="shared" si="87"/>
        <v>0.83193277310924363</v>
      </c>
      <c r="AE417" t="s">
        <v>32</v>
      </c>
      <c r="AF417" t="s">
        <v>103</v>
      </c>
      <c r="AG417">
        <f t="shared" si="88"/>
        <v>1</v>
      </c>
      <c r="AH417">
        <f t="shared" si="89"/>
        <v>2024</v>
      </c>
      <c r="AI417" t="str">
        <f t="shared" si="90"/>
        <v>CLEAN</v>
      </c>
    </row>
    <row r="418" spans="1:35">
      <c r="A418" t="s">
        <v>1348</v>
      </c>
      <c r="B418">
        <f t="shared" si="78"/>
        <v>1</v>
      </c>
      <c r="C418" t="str">
        <f>IF(COUNTIF($A$2:A418, A418)&gt;1, "DUPLICATE_FLAGGED_FOR_REVIEW", "")</f>
        <v/>
      </c>
      <c r="D418" s="3">
        <v>45665</v>
      </c>
      <c r="E418" s="2">
        <v>45673</v>
      </c>
      <c r="F418" s="2" t="str">
        <f t="shared" si="79"/>
        <v>OK</v>
      </c>
      <c r="G418" s="4">
        <f t="shared" si="80"/>
        <v>8</v>
      </c>
      <c r="H418" t="s">
        <v>1349</v>
      </c>
      <c r="I418" t="s">
        <v>79</v>
      </c>
      <c r="J418" t="s">
        <v>24</v>
      </c>
      <c r="K418" t="s">
        <v>54</v>
      </c>
      <c r="L418" t="str">
        <f t="shared" si="81"/>
        <v>South</v>
      </c>
      <c r="M418" t="s">
        <v>55</v>
      </c>
      <c r="N418" t="s">
        <v>56</v>
      </c>
      <c r="O418" t="s">
        <v>41</v>
      </c>
      <c r="P418" t="s">
        <v>57</v>
      </c>
      <c r="Q418" t="s">
        <v>1350</v>
      </c>
      <c r="R418" t="s">
        <v>50</v>
      </c>
      <c r="S418" t="str">
        <f t="shared" si="82"/>
        <v>First Class</v>
      </c>
      <c r="T418">
        <v>8</v>
      </c>
      <c r="U418">
        <v>638.95000000000005</v>
      </c>
      <c r="V418">
        <v>0.25</v>
      </c>
      <c r="W418">
        <f t="shared" si="83"/>
        <v>0.25</v>
      </c>
      <c r="X418" t="str">
        <f t="shared" si="84"/>
        <v/>
      </c>
      <c r="Y418">
        <v>3833.7</v>
      </c>
      <c r="Z418">
        <f t="shared" si="85"/>
        <v>3833.7000000000003</v>
      </c>
      <c r="AA418">
        <v>2886.35</v>
      </c>
      <c r="AB418">
        <v>947.35</v>
      </c>
      <c r="AC418">
        <f t="shared" si="86"/>
        <v>3194.75</v>
      </c>
      <c r="AD418" s="6">
        <f t="shared" si="87"/>
        <v>0.83333333333333326</v>
      </c>
      <c r="AE418" t="s">
        <v>32</v>
      </c>
      <c r="AF418" t="s">
        <v>33</v>
      </c>
      <c r="AG418">
        <f t="shared" si="88"/>
        <v>1</v>
      </c>
      <c r="AH418">
        <f t="shared" si="89"/>
        <v>2025</v>
      </c>
      <c r="AI418" t="str">
        <f t="shared" si="90"/>
        <v>CLEAN</v>
      </c>
    </row>
    <row r="419" spans="1:35">
      <c r="A419" t="s">
        <v>1351</v>
      </c>
      <c r="B419">
        <f t="shared" si="78"/>
        <v>1</v>
      </c>
      <c r="C419" t="str">
        <f>IF(COUNTIF($A$2:A419, A419)&gt;1, "DUPLICATE_FLAGGED_FOR_REVIEW", "")</f>
        <v/>
      </c>
      <c r="D419" s="3">
        <v>45686</v>
      </c>
      <c r="E419" s="2">
        <v>45779</v>
      </c>
      <c r="F419" s="2" t="str">
        <f t="shared" si="79"/>
        <v>OK</v>
      </c>
      <c r="G419" s="4">
        <f t="shared" si="80"/>
        <v>93</v>
      </c>
      <c r="H419" t="s">
        <v>1352</v>
      </c>
      <c r="I419" t="s">
        <v>36</v>
      </c>
      <c r="J419" t="s">
        <v>24</v>
      </c>
      <c r="K419" t="s">
        <v>63</v>
      </c>
      <c r="L419" t="str">
        <f t="shared" si="81"/>
        <v>West</v>
      </c>
      <c r="M419" t="s">
        <v>180</v>
      </c>
      <c r="N419" t="s">
        <v>181</v>
      </c>
      <c r="O419" t="s">
        <v>28</v>
      </c>
      <c r="P419" t="s">
        <v>48</v>
      </c>
      <c r="Q419" t="s">
        <v>1353</v>
      </c>
      <c r="R419" t="s">
        <v>50</v>
      </c>
      <c r="S419" t="str">
        <f t="shared" si="82"/>
        <v>First Class</v>
      </c>
      <c r="T419">
        <v>6</v>
      </c>
      <c r="U419">
        <v>3863</v>
      </c>
      <c r="V419">
        <v>0.2</v>
      </c>
      <c r="W419">
        <f t="shared" si="83"/>
        <v>0.2</v>
      </c>
      <c r="X419" t="str">
        <f t="shared" si="84"/>
        <v/>
      </c>
      <c r="Y419">
        <v>18542.400000000001</v>
      </c>
      <c r="Z419">
        <f t="shared" si="85"/>
        <v>18542.400000000001</v>
      </c>
      <c r="AA419">
        <v>11193.75</v>
      </c>
      <c r="AB419">
        <v>7348.65</v>
      </c>
      <c r="AC419">
        <f t="shared" si="86"/>
        <v>14679.400000000001</v>
      </c>
      <c r="AD419" s="6">
        <f t="shared" si="87"/>
        <v>0.79166666666666663</v>
      </c>
      <c r="AE419" t="s">
        <v>32</v>
      </c>
      <c r="AF419" t="s">
        <v>33</v>
      </c>
      <c r="AG419">
        <f t="shared" si="88"/>
        <v>1</v>
      </c>
      <c r="AH419">
        <f t="shared" si="89"/>
        <v>2025</v>
      </c>
      <c r="AI419" t="str">
        <f t="shared" si="90"/>
        <v>CLEAN</v>
      </c>
    </row>
    <row r="420" spans="1:35">
      <c r="A420" t="s">
        <v>1354</v>
      </c>
      <c r="B420">
        <f t="shared" si="78"/>
        <v>1</v>
      </c>
      <c r="C420" t="str">
        <f>IF(COUNTIF($A$2:A420, A420)&gt;1, "DUPLICATE_FLAGGED_FOR_REVIEW", "")</f>
        <v/>
      </c>
      <c r="D420" s="3">
        <v>45546</v>
      </c>
      <c r="E420" s="2">
        <v>45613</v>
      </c>
      <c r="F420" s="2" t="str">
        <f t="shared" si="79"/>
        <v>OK</v>
      </c>
      <c r="G420" s="4">
        <f t="shared" si="80"/>
        <v>67</v>
      </c>
      <c r="H420" t="s">
        <v>1355</v>
      </c>
      <c r="I420" t="s">
        <v>132</v>
      </c>
      <c r="J420" t="s">
        <v>90</v>
      </c>
      <c r="K420" t="s">
        <v>38</v>
      </c>
      <c r="L420" t="str">
        <f t="shared" si="81"/>
        <v>East</v>
      </c>
      <c r="M420" t="s">
        <v>39</v>
      </c>
      <c r="N420" t="s">
        <v>40</v>
      </c>
      <c r="O420" t="s">
        <v>74</v>
      </c>
      <c r="P420" t="s">
        <v>80</v>
      </c>
      <c r="Q420" t="s">
        <v>1356</v>
      </c>
      <c r="R420" t="s">
        <v>59</v>
      </c>
      <c r="S420" t="str">
        <f t="shared" si="82"/>
        <v>Standard Class</v>
      </c>
      <c r="T420">
        <v>6</v>
      </c>
      <c r="U420">
        <v>3660.4</v>
      </c>
      <c r="V420">
        <v>0</v>
      </c>
      <c r="W420">
        <f t="shared" si="83"/>
        <v>0</v>
      </c>
      <c r="X420" t="str">
        <f t="shared" si="84"/>
        <v/>
      </c>
      <c r="Y420">
        <v>21962.400000000001</v>
      </c>
      <c r="Z420">
        <f t="shared" si="85"/>
        <v>21962.400000000001</v>
      </c>
      <c r="AA420">
        <v>15331.99</v>
      </c>
      <c r="AB420">
        <v>6630.41</v>
      </c>
      <c r="AC420">
        <f t="shared" si="86"/>
        <v>18302</v>
      </c>
      <c r="AD420" s="6">
        <f t="shared" si="87"/>
        <v>0.83333333333333326</v>
      </c>
      <c r="AE420" t="s">
        <v>155</v>
      </c>
      <c r="AF420" t="s">
        <v>68</v>
      </c>
      <c r="AG420">
        <f t="shared" si="88"/>
        <v>9</v>
      </c>
      <c r="AH420">
        <f t="shared" si="89"/>
        <v>2024</v>
      </c>
      <c r="AI420" t="str">
        <f t="shared" si="90"/>
        <v>CLEAN</v>
      </c>
    </row>
    <row r="421" spans="1:35">
      <c r="A421" t="s">
        <v>1357</v>
      </c>
      <c r="B421">
        <f t="shared" si="78"/>
        <v>1</v>
      </c>
      <c r="C421" t="str">
        <f>IF(COUNTIF($A$2:A421, A421)&gt;1, "DUPLICATE_FLAGGED_FOR_REVIEW", "")</f>
        <v/>
      </c>
      <c r="D421" s="3">
        <v>45926</v>
      </c>
      <c r="E421" s="2">
        <v>45930</v>
      </c>
      <c r="F421" s="2" t="str">
        <f t="shared" si="79"/>
        <v>OK</v>
      </c>
      <c r="G421" s="4">
        <f t="shared" si="80"/>
        <v>4</v>
      </c>
      <c r="H421" t="s">
        <v>1358</v>
      </c>
      <c r="I421" t="s">
        <v>132</v>
      </c>
      <c r="J421" t="s">
        <v>95</v>
      </c>
      <c r="K421" t="s">
        <v>25</v>
      </c>
      <c r="L421" t="str">
        <f t="shared" si="81"/>
        <v>North</v>
      </c>
      <c r="M421" t="s">
        <v>236</v>
      </c>
      <c r="N421" t="s">
        <v>237</v>
      </c>
      <c r="O421" t="s">
        <v>74</v>
      </c>
      <c r="P421" t="s">
        <v>171</v>
      </c>
      <c r="Q421" t="s">
        <v>1359</v>
      </c>
      <c r="R421" t="s">
        <v>44</v>
      </c>
      <c r="S421" t="str">
        <f t="shared" si="82"/>
        <v>Same Day</v>
      </c>
      <c r="T421">
        <v>2</v>
      </c>
      <c r="U421">
        <v>688.83</v>
      </c>
      <c r="V421">
        <v>0.05</v>
      </c>
      <c r="W421">
        <f t="shared" si="83"/>
        <v>0.05</v>
      </c>
      <c r="X421" t="str">
        <f t="shared" si="84"/>
        <v/>
      </c>
      <c r="Y421">
        <v>1308.78</v>
      </c>
      <c r="Z421">
        <f t="shared" si="85"/>
        <v>1308.777</v>
      </c>
      <c r="AA421">
        <v>843</v>
      </c>
      <c r="AB421">
        <v>465.78</v>
      </c>
      <c r="AC421">
        <f t="shared" si="86"/>
        <v>619.947</v>
      </c>
      <c r="AD421" s="6">
        <f t="shared" si="87"/>
        <v>0.47368421052631576</v>
      </c>
      <c r="AE421" t="s">
        <v>32</v>
      </c>
      <c r="AF421" t="s">
        <v>33</v>
      </c>
      <c r="AG421">
        <f t="shared" si="88"/>
        <v>9</v>
      </c>
      <c r="AH421">
        <f t="shared" si="89"/>
        <v>2025</v>
      </c>
      <c r="AI421" t="str">
        <f t="shared" si="90"/>
        <v>CLEAN</v>
      </c>
    </row>
    <row r="422" spans="1:35">
      <c r="A422" t="s">
        <v>1360</v>
      </c>
      <c r="B422">
        <f t="shared" si="78"/>
        <v>1</v>
      </c>
      <c r="C422" t="str">
        <f>IF(COUNTIF($A$2:A422, A422)&gt;1, "DUPLICATE_FLAGGED_FOR_REVIEW", "")</f>
        <v/>
      </c>
      <c r="D422" s="3">
        <v>45734</v>
      </c>
      <c r="E422" s="2">
        <v>45735</v>
      </c>
      <c r="F422" s="2" t="str">
        <f t="shared" si="79"/>
        <v>OK</v>
      </c>
      <c r="G422" s="4">
        <f t="shared" si="80"/>
        <v>1</v>
      </c>
      <c r="H422" t="s">
        <v>1361</v>
      </c>
      <c r="I422" t="s">
        <v>47</v>
      </c>
      <c r="J422" t="s">
        <v>90</v>
      </c>
      <c r="K422" t="s">
        <v>54</v>
      </c>
      <c r="L422" t="str">
        <f t="shared" si="81"/>
        <v>South</v>
      </c>
      <c r="M422" t="s">
        <v>247</v>
      </c>
      <c r="N422" t="s">
        <v>248</v>
      </c>
      <c r="O422" t="s">
        <v>74</v>
      </c>
      <c r="P422" t="s">
        <v>274</v>
      </c>
      <c r="Q422" t="s">
        <v>1362</v>
      </c>
      <c r="R422" t="s">
        <v>59</v>
      </c>
      <c r="S422" t="str">
        <f t="shared" si="82"/>
        <v>Standard Class</v>
      </c>
      <c r="T422">
        <v>2</v>
      </c>
      <c r="U422">
        <v>1209.99</v>
      </c>
      <c r="V422">
        <v>0.25</v>
      </c>
      <c r="W422">
        <f t="shared" si="83"/>
        <v>0.25</v>
      </c>
      <c r="X422" t="str">
        <f t="shared" si="84"/>
        <v/>
      </c>
      <c r="Y422">
        <v>1814.99</v>
      </c>
      <c r="Z422">
        <f t="shared" si="85"/>
        <v>1814.9850000000001</v>
      </c>
      <c r="AA422">
        <v>1120.06</v>
      </c>
      <c r="AB422">
        <v>694.93</v>
      </c>
      <c r="AC422">
        <f t="shared" si="86"/>
        <v>604.99500000000012</v>
      </c>
      <c r="AD422" s="6">
        <f t="shared" si="87"/>
        <v>0.33333333333333337</v>
      </c>
      <c r="AE422" t="s">
        <v>111</v>
      </c>
      <c r="AF422" t="s">
        <v>68</v>
      </c>
      <c r="AG422">
        <f t="shared" si="88"/>
        <v>3</v>
      </c>
      <c r="AH422">
        <f t="shared" si="89"/>
        <v>2025</v>
      </c>
      <c r="AI422" t="str">
        <f t="shared" si="90"/>
        <v>CLEAN</v>
      </c>
    </row>
    <row r="423" spans="1:35">
      <c r="A423" t="s">
        <v>1363</v>
      </c>
      <c r="B423">
        <f t="shared" si="78"/>
        <v>1</v>
      </c>
      <c r="C423" t="str">
        <f>IF(COUNTIF($A$2:A423, A423)&gt;1, "DUPLICATE_FLAGGED_FOR_REVIEW", "")</f>
        <v/>
      </c>
      <c r="D423" s="3">
        <v>45822</v>
      </c>
      <c r="E423" s="2">
        <v>45827</v>
      </c>
      <c r="F423" s="2" t="str">
        <f t="shared" si="79"/>
        <v>OK</v>
      </c>
      <c r="G423" s="4">
        <f t="shared" si="80"/>
        <v>5</v>
      </c>
      <c r="H423" t="s">
        <v>1364</v>
      </c>
      <c r="I423" t="s">
        <v>141</v>
      </c>
      <c r="J423" t="s">
        <v>37</v>
      </c>
      <c r="K423" t="s">
        <v>25</v>
      </c>
      <c r="L423" t="str">
        <f t="shared" si="81"/>
        <v>North</v>
      </c>
      <c r="M423" t="s">
        <v>350</v>
      </c>
      <c r="N423" t="s">
        <v>351</v>
      </c>
      <c r="O423" t="s">
        <v>28</v>
      </c>
      <c r="P423" t="s">
        <v>153</v>
      </c>
      <c r="Q423" t="s">
        <v>1365</v>
      </c>
      <c r="R423" t="s">
        <v>44</v>
      </c>
      <c r="S423" t="str">
        <f t="shared" si="82"/>
        <v>Same Day</v>
      </c>
      <c r="T423">
        <v>3</v>
      </c>
      <c r="U423">
        <v>1037.45</v>
      </c>
      <c r="V423">
        <v>0.2</v>
      </c>
      <c r="W423">
        <f t="shared" si="83"/>
        <v>0.2</v>
      </c>
      <c r="X423" t="str">
        <f t="shared" si="84"/>
        <v/>
      </c>
      <c r="Y423">
        <v>2489.88</v>
      </c>
      <c r="Z423">
        <f t="shared" si="85"/>
        <v>2489.8800000000006</v>
      </c>
      <c r="AA423">
        <v>1707.52</v>
      </c>
      <c r="AB423">
        <v>782.36</v>
      </c>
      <c r="AC423">
        <f t="shared" si="86"/>
        <v>1452.4300000000005</v>
      </c>
      <c r="AD423" s="6">
        <f t="shared" si="87"/>
        <v>0.58333333333333337</v>
      </c>
      <c r="AE423" t="s">
        <v>111</v>
      </c>
      <c r="AF423" t="s">
        <v>103</v>
      </c>
      <c r="AG423">
        <f t="shared" si="88"/>
        <v>6</v>
      </c>
      <c r="AH423">
        <f t="shared" si="89"/>
        <v>2025</v>
      </c>
      <c r="AI423" t="str">
        <f t="shared" si="90"/>
        <v>CLEAN</v>
      </c>
    </row>
    <row r="424" spans="1:35">
      <c r="A424" t="s">
        <v>1366</v>
      </c>
      <c r="B424">
        <f t="shared" si="78"/>
        <v>1</v>
      </c>
      <c r="C424" t="str">
        <f>IF(COUNTIF($A$2:A424, A424)&gt;1, "DUPLICATE_FLAGGED_FOR_REVIEW", "")</f>
        <v/>
      </c>
      <c r="D424" s="3">
        <v>45725</v>
      </c>
      <c r="E424" s="2">
        <v>45906</v>
      </c>
      <c r="F424" s="2" t="str">
        <f t="shared" si="79"/>
        <v>OK</v>
      </c>
      <c r="G424" s="4">
        <f t="shared" si="80"/>
        <v>181</v>
      </c>
      <c r="H424" t="s">
        <v>1367</v>
      </c>
      <c r="I424" t="s">
        <v>264</v>
      </c>
      <c r="J424" t="s">
        <v>24</v>
      </c>
      <c r="K424" t="s">
        <v>63</v>
      </c>
      <c r="L424" t="str">
        <f t="shared" si="81"/>
        <v>West</v>
      </c>
      <c r="M424" t="s">
        <v>72</v>
      </c>
      <c r="N424" t="s">
        <v>73</v>
      </c>
      <c r="O424" t="s">
        <v>74</v>
      </c>
      <c r="P424" t="s">
        <v>80</v>
      </c>
      <c r="Q424" t="s">
        <v>1368</v>
      </c>
      <c r="R424" t="s">
        <v>44</v>
      </c>
      <c r="S424" t="str">
        <f t="shared" si="82"/>
        <v>Same Day</v>
      </c>
      <c r="T424">
        <v>7</v>
      </c>
      <c r="U424">
        <v>688.85</v>
      </c>
      <c r="V424">
        <v>0.15</v>
      </c>
      <c r="W424">
        <f t="shared" si="83"/>
        <v>0.15</v>
      </c>
      <c r="X424" t="str">
        <f t="shared" si="84"/>
        <v/>
      </c>
      <c r="Y424">
        <v>4098.66</v>
      </c>
      <c r="Z424">
        <f t="shared" si="85"/>
        <v>4098.6574999999993</v>
      </c>
      <c r="AA424">
        <v>2678.06</v>
      </c>
      <c r="AB424">
        <v>1420.6</v>
      </c>
      <c r="AC424">
        <f t="shared" si="86"/>
        <v>3409.8074999999994</v>
      </c>
      <c r="AD424" s="6">
        <f t="shared" si="87"/>
        <v>0.83193277310924374</v>
      </c>
      <c r="AE424" t="s">
        <v>32</v>
      </c>
      <c r="AF424" t="s">
        <v>33</v>
      </c>
      <c r="AG424">
        <f t="shared" si="88"/>
        <v>3</v>
      </c>
      <c r="AH424">
        <f t="shared" si="89"/>
        <v>2025</v>
      </c>
      <c r="AI424" t="str">
        <f t="shared" si="90"/>
        <v>CLEAN</v>
      </c>
    </row>
    <row r="425" spans="1:35">
      <c r="A425" t="s">
        <v>1369</v>
      </c>
      <c r="B425">
        <f t="shared" si="78"/>
        <v>2</v>
      </c>
      <c r="C425" t="str">
        <f>IF(COUNTIF($A$2:A425, A425)&gt;1, "DUPLICATE_FLAGGED_FOR_REVIEW", "")</f>
        <v/>
      </c>
      <c r="D425" s="3">
        <v>45342</v>
      </c>
      <c r="E425" s="2">
        <v>45349</v>
      </c>
      <c r="F425" s="2" t="str">
        <f t="shared" si="79"/>
        <v>OK</v>
      </c>
      <c r="G425" s="4">
        <f t="shared" si="80"/>
        <v>7</v>
      </c>
      <c r="H425" t="s">
        <v>1370</v>
      </c>
      <c r="I425" t="s">
        <v>162</v>
      </c>
      <c r="J425" t="s">
        <v>24</v>
      </c>
      <c r="K425" t="s">
        <v>54</v>
      </c>
      <c r="L425" t="str">
        <f t="shared" si="81"/>
        <v>South</v>
      </c>
      <c r="M425" t="s">
        <v>185</v>
      </c>
      <c r="N425" t="s">
        <v>186</v>
      </c>
      <c r="O425" t="s">
        <v>74</v>
      </c>
      <c r="P425" t="s">
        <v>75</v>
      </c>
      <c r="Q425" t="s">
        <v>1371</v>
      </c>
      <c r="R425" t="s">
        <v>50</v>
      </c>
      <c r="S425" t="str">
        <f t="shared" si="82"/>
        <v>First Class</v>
      </c>
      <c r="T425">
        <v>9</v>
      </c>
      <c r="U425">
        <v>3779.31</v>
      </c>
      <c r="V425">
        <v>0.2</v>
      </c>
      <c r="W425">
        <f t="shared" si="83"/>
        <v>0.2</v>
      </c>
      <c r="X425" t="str">
        <f t="shared" si="84"/>
        <v/>
      </c>
      <c r="Y425">
        <v>27211.03</v>
      </c>
      <c r="Z425">
        <f t="shared" si="85"/>
        <v>27211.032000000003</v>
      </c>
      <c r="AA425">
        <v>17940.43</v>
      </c>
      <c r="AB425">
        <v>9270.6</v>
      </c>
      <c r="AC425">
        <f t="shared" si="86"/>
        <v>23431.722000000002</v>
      </c>
      <c r="AD425" s="6">
        <f t="shared" si="87"/>
        <v>0.86111111111111105</v>
      </c>
      <c r="AE425" t="s">
        <v>32</v>
      </c>
      <c r="AF425" t="s">
        <v>33</v>
      </c>
      <c r="AG425">
        <f t="shared" si="88"/>
        <v>2</v>
      </c>
      <c r="AH425">
        <f t="shared" si="89"/>
        <v>2024</v>
      </c>
      <c r="AI425" t="str">
        <f t="shared" si="90"/>
        <v>CLEAN</v>
      </c>
    </row>
    <row r="426" spans="1:35">
      <c r="A426" t="s">
        <v>1372</v>
      </c>
      <c r="B426">
        <f t="shared" si="78"/>
        <v>1</v>
      </c>
      <c r="C426" t="str">
        <f>IF(COUNTIF($A$2:A426, A426)&gt;1, "DUPLICATE_FLAGGED_FOR_REVIEW", "")</f>
        <v/>
      </c>
      <c r="D426" s="3">
        <v>45469</v>
      </c>
      <c r="E426" s="2">
        <v>45472</v>
      </c>
      <c r="F426" s="2" t="str">
        <f t="shared" si="79"/>
        <v>OK</v>
      </c>
      <c r="G426" s="4">
        <f t="shared" si="80"/>
        <v>3</v>
      </c>
      <c r="H426" t="s">
        <v>1373</v>
      </c>
      <c r="I426" t="s">
        <v>79</v>
      </c>
      <c r="J426" t="s">
        <v>90</v>
      </c>
      <c r="K426" t="s">
        <v>25</v>
      </c>
      <c r="L426" t="str">
        <f t="shared" si="81"/>
        <v>North</v>
      </c>
      <c r="M426" t="s">
        <v>122</v>
      </c>
      <c r="N426" t="s">
        <v>123</v>
      </c>
      <c r="O426" t="s">
        <v>74</v>
      </c>
      <c r="P426" t="s">
        <v>171</v>
      </c>
      <c r="Q426" t="s">
        <v>1374</v>
      </c>
      <c r="R426" t="s">
        <v>59</v>
      </c>
      <c r="S426" t="str">
        <f t="shared" si="82"/>
        <v>Standard Class</v>
      </c>
      <c r="T426">
        <v>8</v>
      </c>
      <c r="U426">
        <v>804.52</v>
      </c>
      <c r="V426">
        <v>0</v>
      </c>
      <c r="W426">
        <f t="shared" si="83"/>
        <v>0</v>
      </c>
      <c r="X426" t="str">
        <f t="shared" si="84"/>
        <v/>
      </c>
      <c r="Y426">
        <v>6436.16</v>
      </c>
      <c r="Z426">
        <f t="shared" si="85"/>
        <v>6436.16</v>
      </c>
      <c r="AA426">
        <v>4263.83</v>
      </c>
      <c r="AB426">
        <v>2172.33</v>
      </c>
      <c r="AC426">
        <f t="shared" si="86"/>
        <v>5631.6399999999994</v>
      </c>
      <c r="AD426" s="6">
        <f t="shared" si="87"/>
        <v>0.87499999999999989</v>
      </c>
      <c r="AE426" t="s">
        <v>32</v>
      </c>
      <c r="AF426" t="s">
        <v>33</v>
      </c>
      <c r="AG426">
        <f t="shared" si="88"/>
        <v>6</v>
      </c>
      <c r="AH426">
        <f t="shared" si="89"/>
        <v>2024</v>
      </c>
      <c r="AI426" t="str">
        <f t="shared" si="90"/>
        <v>CLEAN</v>
      </c>
    </row>
    <row r="427" spans="1:35">
      <c r="A427" t="s">
        <v>1375</v>
      </c>
      <c r="B427">
        <f t="shared" si="78"/>
        <v>1</v>
      </c>
      <c r="C427" t="str">
        <f>IF(COUNTIF($A$2:A427, A427)&gt;1, "DUPLICATE_FLAGGED_FOR_REVIEW", "")</f>
        <v/>
      </c>
      <c r="D427" s="3">
        <v>45561</v>
      </c>
      <c r="E427" s="2">
        <v>45562</v>
      </c>
      <c r="F427" s="2" t="str">
        <f t="shared" si="79"/>
        <v>OK</v>
      </c>
      <c r="G427" s="4">
        <f t="shared" si="80"/>
        <v>1</v>
      </c>
      <c r="H427" t="s">
        <v>1376</v>
      </c>
      <c r="I427" t="s">
        <v>47</v>
      </c>
      <c r="J427" t="s">
        <v>95</v>
      </c>
      <c r="K427" t="s">
        <v>25</v>
      </c>
      <c r="L427" t="str">
        <f t="shared" si="81"/>
        <v>North</v>
      </c>
      <c r="M427" t="s">
        <v>350</v>
      </c>
      <c r="N427" t="s">
        <v>351</v>
      </c>
      <c r="O427" t="s">
        <v>28</v>
      </c>
      <c r="P427" t="s">
        <v>91</v>
      </c>
      <c r="Q427" t="s">
        <v>1377</v>
      </c>
      <c r="R427" t="s">
        <v>50</v>
      </c>
      <c r="S427" t="str">
        <f t="shared" si="82"/>
        <v>First Class</v>
      </c>
      <c r="T427">
        <v>2</v>
      </c>
      <c r="U427">
        <v>1065.69</v>
      </c>
      <c r="V427">
        <v>0.1</v>
      </c>
      <c r="W427">
        <f t="shared" si="83"/>
        <v>0.1</v>
      </c>
      <c r="X427" t="str">
        <f t="shared" si="84"/>
        <v/>
      </c>
      <c r="Y427">
        <v>1918.24</v>
      </c>
      <c r="Z427">
        <f t="shared" si="85"/>
        <v>1918.2420000000002</v>
      </c>
      <c r="AA427">
        <v>1373.52</v>
      </c>
      <c r="AB427">
        <v>544.72</v>
      </c>
      <c r="AC427">
        <f t="shared" si="86"/>
        <v>852.55200000000013</v>
      </c>
      <c r="AD427" s="6">
        <f t="shared" si="87"/>
        <v>0.44444444444444448</v>
      </c>
      <c r="AE427" t="s">
        <v>102</v>
      </c>
      <c r="AF427" t="s">
        <v>68</v>
      </c>
      <c r="AG427">
        <f t="shared" si="88"/>
        <v>9</v>
      </c>
      <c r="AH427">
        <f t="shared" si="89"/>
        <v>2024</v>
      </c>
      <c r="AI427" t="str">
        <f t="shared" si="90"/>
        <v>CLEAN</v>
      </c>
    </row>
    <row r="428" spans="1:35">
      <c r="A428" t="s">
        <v>1378</v>
      </c>
      <c r="B428">
        <f t="shared" si="78"/>
        <v>1</v>
      </c>
      <c r="C428" t="str">
        <f>IF(COUNTIF($A$2:A428, A428)&gt;1, "DUPLICATE_FLAGGED_FOR_REVIEW", "")</f>
        <v/>
      </c>
      <c r="D428" s="3">
        <v>45473</v>
      </c>
      <c r="E428" s="2">
        <v>45474</v>
      </c>
      <c r="F428" s="2" t="str">
        <f t="shared" si="79"/>
        <v>OK</v>
      </c>
      <c r="G428" s="4">
        <f t="shared" si="80"/>
        <v>1</v>
      </c>
      <c r="H428" t="s">
        <v>1379</v>
      </c>
      <c r="I428" t="s">
        <v>89</v>
      </c>
      <c r="J428" t="s">
        <v>24</v>
      </c>
      <c r="K428" t="s">
        <v>25</v>
      </c>
      <c r="L428" t="str">
        <f t="shared" si="81"/>
        <v>North</v>
      </c>
      <c r="M428" t="s">
        <v>236</v>
      </c>
      <c r="N428" t="s">
        <v>237</v>
      </c>
      <c r="O428" t="s">
        <v>74</v>
      </c>
      <c r="P428" t="s">
        <v>80</v>
      </c>
      <c r="Q428" t="s">
        <v>1380</v>
      </c>
      <c r="R428" t="s">
        <v>44</v>
      </c>
      <c r="S428" t="str">
        <f t="shared" si="82"/>
        <v>Same Day</v>
      </c>
      <c r="T428">
        <v>8</v>
      </c>
      <c r="U428">
        <v>3756.66</v>
      </c>
      <c r="V428">
        <v>0.1</v>
      </c>
      <c r="W428">
        <f t="shared" si="83"/>
        <v>0.1</v>
      </c>
      <c r="X428" t="str">
        <f t="shared" si="84"/>
        <v/>
      </c>
      <c r="Y428">
        <v>27047.95</v>
      </c>
      <c r="Z428">
        <f t="shared" si="85"/>
        <v>27047.952000000001</v>
      </c>
      <c r="AA428">
        <v>18431.330000000002</v>
      </c>
      <c r="AB428">
        <v>8616.6200000000008</v>
      </c>
      <c r="AC428">
        <f t="shared" si="86"/>
        <v>23291.292000000001</v>
      </c>
      <c r="AD428" s="6">
        <f t="shared" si="87"/>
        <v>0.86111111111111116</v>
      </c>
      <c r="AE428" t="s">
        <v>32</v>
      </c>
      <c r="AF428" t="s">
        <v>33</v>
      </c>
      <c r="AG428">
        <f t="shared" si="88"/>
        <v>6</v>
      </c>
      <c r="AH428">
        <f t="shared" si="89"/>
        <v>2024</v>
      </c>
      <c r="AI428" t="str">
        <f t="shared" si="90"/>
        <v>CLEAN</v>
      </c>
    </row>
    <row r="429" spans="1:35">
      <c r="A429" t="s">
        <v>1381</v>
      </c>
      <c r="B429">
        <f t="shared" si="78"/>
        <v>1</v>
      </c>
      <c r="C429" t="str">
        <f>IF(COUNTIF($A$2:A429, A429)&gt;1, "DUPLICATE_FLAGGED_FOR_REVIEW", "")</f>
        <v/>
      </c>
      <c r="D429" s="3">
        <v>45769</v>
      </c>
      <c r="E429" s="2">
        <v>45771</v>
      </c>
      <c r="F429" s="2" t="str">
        <f t="shared" si="79"/>
        <v>OK</v>
      </c>
      <c r="G429" s="4">
        <f t="shared" si="80"/>
        <v>2</v>
      </c>
      <c r="H429" t="s">
        <v>1382</v>
      </c>
      <c r="I429" t="s">
        <v>47</v>
      </c>
      <c r="J429" t="s">
        <v>90</v>
      </c>
      <c r="K429" t="s">
        <v>2760</v>
      </c>
      <c r="L429" t="str">
        <f t="shared" si="81"/>
        <v>Unknown</v>
      </c>
      <c r="M429" t="s">
        <v>228</v>
      </c>
      <c r="N429" t="s">
        <v>229</v>
      </c>
      <c r="O429" t="s">
        <v>74</v>
      </c>
      <c r="P429" t="s">
        <v>75</v>
      </c>
      <c r="Q429" t="s">
        <v>1383</v>
      </c>
      <c r="R429" t="s">
        <v>59</v>
      </c>
      <c r="S429" t="str">
        <f t="shared" si="82"/>
        <v>Standard Class</v>
      </c>
      <c r="T429">
        <v>9</v>
      </c>
      <c r="U429">
        <v>2939.44</v>
      </c>
      <c r="V429">
        <v>0</v>
      </c>
      <c r="W429">
        <f t="shared" si="83"/>
        <v>0</v>
      </c>
      <c r="X429" t="str">
        <f t="shared" si="84"/>
        <v/>
      </c>
      <c r="Y429">
        <v>26454.959999999999</v>
      </c>
      <c r="Z429">
        <f t="shared" si="85"/>
        <v>26454.959999999999</v>
      </c>
      <c r="AA429">
        <v>17630.25</v>
      </c>
      <c r="AB429">
        <v>8824.7099999999991</v>
      </c>
      <c r="AC429">
        <f t="shared" si="86"/>
        <v>23515.52</v>
      </c>
      <c r="AD429" s="6">
        <f t="shared" si="87"/>
        <v>0.88888888888888895</v>
      </c>
      <c r="AE429" t="s">
        <v>32</v>
      </c>
      <c r="AF429" t="s">
        <v>33</v>
      </c>
      <c r="AG429">
        <f t="shared" si="88"/>
        <v>4</v>
      </c>
      <c r="AH429">
        <f t="shared" si="89"/>
        <v>2025</v>
      </c>
      <c r="AI429" t="str">
        <f t="shared" si="90"/>
        <v>WARNING</v>
      </c>
    </row>
    <row r="430" spans="1:35">
      <c r="A430" t="s">
        <v>1384</v>
      </c>
      <c r="B430">
        <f t="shared" si="78"/>
        <v>1</v>
      </c>
      <c r="C430" t="str">
        <f>IF(COUNTIF($A$2:A430, A430)&gt;1, "DUPLICATE_FLAGGED_FOR_REVIEW", "")</f>
        <v/>
      </c>
      <c r="D430" s="3">
        <v>45731</v>
      </c>
      <c r="E430" s="2">
        <v>45738</v>
      </c>
      <c r="F430" s="2" t="str">
        <f t="shared" si="79"/>
        <v>OK</v>
      </c>
      <c r="G430" s="4">
        <f t="shared" si="80"/>
        <v>7</v>
      </c>
      <c r="H430" t="s">
        <v>1385</v>
      </c>
      <c r="I430" t="s">
        <v>23</v>
      </c>
      <c r="J430" t="s">
        <v>37</v>
      </c>
      <c r="K430" t="s">
        <v>38</v>
      </c>
      <c r="L430" t="str">
        <f t="shared" si="81"/>
        <v>East</v>
      </c>
      <c r="M430" t="s">
        <v>99</v>
      </c>
      <c r="N430" t="s">
        <v>100</v>
      </c>
      <c r="O430" t="s">
        <v>74</v>
      </c>
      <c r="P430" t="s">
        <v>171</v>
      </c>
      <c r="Q430" t="s">
        <v>1386</v>
      </c>
      <c r="R430" t="s">
        <v>44</v>
      </c>
      <c r="S430" t="str">
        <f t="shared" si="82"/>
        <v>Same Day</v>
      </c>
      <c r="T430">
        <v>2</v>
      </c>
      <c r="U430">
        <v>1235.93</v>
      </c>
      <c r="V430">
        <v>0.25</v>
      </c>
      <c r="W430">
        <f t="shared" si="83"/>
        <v>0.25</v>
      </c>
      <c r="X430" t="str">
        <f t="shared" si="84"/>
        <v/>
      </c>
      <c r="Y430">
        <v>1853.89</v>
      </c>
      <c r="Z430">
        <f t="shared" si="85"/>
        <v>1853.895</v>
      </c>
      <c r="AA430">
        <v>1101.23</v>
      </c>
      <c r="AB430">
        <v>752.66</v>
      </c>
      <c r="AC430">
        <f t="shared" si="86"/>
        <v>617.96499999999992</v>
      </c>
      <c r="AD430" s="6">
        <f t="shared" si="87"/>
        <v>0.33333333333333331</v>
      </c>
      <c r="AE430" t="s">
        <v>111</v>
      </c>
      <c r="AF430" t="s">
        <v>68</v>
      </c>
      <c r="AG430">
        <f t="shared" si="88"/>
        <v>3</v>
      </c>
      <c r="AH430">
        <f t="shared" si="89"/>
        <v>2025</v>
      </c>
      <c r="AI430" t="str">
        <f t="shared" si="90"/>
        <v>CLEAN</v>
      </c>
    </row>
    <row r="431" spans="1:35">
      <c r="A431" t="s">
        <v>1387</v>
      </c>
      <c r="B431">
        <f t="shared" si="78"/>
        <v>1</v>
      </c>
      <c r="C431" t="str">
        <f>IF(COUNTIF($A$2:A431, A431)&gt;1, "DUPLICATE_FLAGGED_FOR_REVIEW", "")</f>
        <v/>
      </c>
      <c r="D431" s="3">
        <v>45717</v>
      </c>
      <c r="E431" s="2">
        <v>45724</v>
      </c>
      <c r="F431" s="2" t="str">
        <f t="shared" si="79"/>
        <v>OK</v>
      </c>
      <c r="G431" s="4">
        <f t="shared" si="80"/>
        <v>7</v>
      </c>
      <c r="H431" t="s">
        <v>1388</v>
      </c>
      <c r="I431" t="s">
        <v>79</v>
      </c>
      <c r="J431" t="s">
        <v>95</v>
      </c>
      <c r="K431" t="s">
        <v>25</v>
      </c>
      <c r="L431" t="str">
        <f t="shared" si="81"/>
        <v>North</v>
      </c>
      <c r="M431" t="s">
        <v>26</v>
      </c>
      <c r="N431" t="s">
        <v>27</v>
      </c>
      <c r="O431" t="s">
        <v>74</v>
      </c>
      <c r="P431" t="s">
        <v>80</v>
      </c>
      <c r="Q431" t="s">
        <v>1389</v>
      </c>
      <c r="R431" t="s">
        <v>44</v>
      </c>
      <c r="S431" t="str">
        <f t="shared" si="82"/>
        <v>Same Day</v>
      </c>
      <c r="T431">
        <v>8</v>
      </c>
      <c r="U431">
        <v>2943.1</v>
      </c>
      <c r="V431">
        <v>0.25</v>
      </c>
      <c r="W431">
        <f t="shared" si="83"/>
        <v>0.25</v>
      </c>
      <c r="X431" t="str">
        <f t="shared" si="84"/>
        <v/>
      </c>
      <c r="Y431">
        <v>17658.599999999999</v>
      </c>
      <c r="Z431">
        <f t="shared" si="85"/>
        <v>17658.599999999999</v>
      </c>
      <c r="AA431">
        <v>13842.48</v>
      </c>
      <c r="AB431">
        <v>3816.12</v>
      </c>
      <c r="AC431">
        <f t="shared" si="86"/>
        <v>14715.499999999998</v>
      </c>
      <c r="AD431" s="6">
        <f t="shared" si="87"/>
        <v>0.83333333333333326</v>
      </c>
      <c r="AE431" t="s">
        <v>32</v>
      </c>
      <c r="AF431" t="s">
        <v>33</v>
      </c>
      <c r="AG431">
        <f t="shared" si="88"/>
        <v>3</v>
      </c>
      <c r="AH431">
        <f t="shared" si="89"/>
        <v>2025</v>
      </c>
      <c r="AI431" t="str">
        <f t="shared" si="90"/>
        <v>CLEAN</v>
      </c>
    </row>
    <row r="432" spans="1:35">
      <c r="A432" t="s">
        <v>1390</v>
      </c>
      <c r="B432">
        <f t="shared" si="78"/>
        <v>1</v>
      </c>
      <c r="C432" t="str">
        <f>IF(COUNTIF($A$2:A432, A432)&gt;1, "DUPLICATE_FLAGGED_FOR_REVIEW", "")</f>
        <v/>
      </c>
      <c r="D432" s="3">
        <v>45534</v>
      </c>
      <c r="E432" s="2">
        <v>45537</v>
      </c>
      <c r="F432" s="2" t="str">
        <f t="shared" si="79"/>
        <v>OK</v>
      </c>
      <c r="G432" s="4">
        <f t="shared" si="80"/>
        <v>3</v>
      </c>
      <c r="H432" t="s">
        <v>1391</v>
      </c>
      <c r="I432" t="s">
        <v>79</v>
      </c>
      <c r="J432" t="s">
        <v>37</v>
      </c>
      <c r="K432" t="s">
        <v>25</v>
      </c>
      <c r="L432" t="str">
        <f t="shared" si="81"/>
        <v>North</v>
      </c>
      <c r="M432" t="s">
        <v>236</v>
      </c>
      <c r="N432" t="s">
        <v>237</v>
      </c>
      <c r="O432" t="s">
        <v>28</v>
      </c>
      <c r="P432" t="s">
        <v>29</v>
      </c>
      <c r="Q432" t="s">
        <v>1392</v>
      </c>
      <c r="R432" t="s">
        <v>31</v>
      </c>
      <c r="S432" t="str">
        <f t="shared" si="82"/>
        <v>Second Class</v>
      </c>
      <c r="T432">
        <v>1</v>
      </c>
      <c r="U432">
        <v>4320.84</v>
      </c>
      <c r="V432">
        <v>0.15</v>
      </c>
      <c r="W432">
        <f t="shared" si="83"/>
        <v>0.15</v>
      </c>
      <c r="X432" t="str">
        <f t="shared" si="84"/>
        <v/>
      </c>
      <c r="Y432">
        <v>3672.71</v>
      </c>
      <c r="Z432">
        <f t="shared" si="85"/>
        <v>3672.7139999999999</v>
      </c>
      <c r="AA432">
        <v>2714.23</v>
      </c>
      <c r="AB432">
        <v>763.38</v>
      </c>
      <c r="AC432">
        <f t="shared" si="86"/>
        <v>-648.1260000000002</v>
      </c>
      <c r="AD432" s="6">
        <f t="shared" si="87"/>
        <v>-0.17647058823529418</v>
      </c>
      <c r="AE432" t="s">
        <v>32</v>
      </c>
      <c r="AF432" t="s">
        <v>33</v>
      </c>
      <c r="AG432">
        <f t="shared" si="88"/>
        <v>8</v>
      </c>
      <c r="AH432">
        <f t="shared" si="89"/>
        <v>2024</v>
      </c>
      <c r="AI432" t="str">
        <f t="shared" si="90"/>
        <v>CLEAN</v>
      </c>
    </row>
    <row r="433" spans="1:35">
      <c r="A433" t="s">
        <v>1393</v>
      </c>
      <c r="B433">
        <f t="shared" si="78"/>
        <v>1</v>
      </c>
      <c r="C433" t="str">
        <f>IF(COUNTIF($A$2:A433, A433)&gt;1, "DUPLICATE_FLAGGED_FOR_REVIEW", "")</f>
        <v/>
      </c>
      <c r="D433" s="3">
        <v>45332</v>
      </c>
      <c r="E433" s="2">
        <v>45335</v>
      </c>
      <c r="F433" s="2" t="str">
        <f t="shared" si="79"/>
        <v>OK</v>
      </c>
      <c r="G433" s="4">
        <f t="shared" si="80"/>
        <v>3</v>
      </c>
      <c r="H433" t="s">
        <v>1394</v>
      </c>
      <c r="I433" t="s">
        <v>23</v>
      </c>
      <c r="J433" t="s">
        <v>95</v>
      </c>
      <c r="K433" t="s">
        <v>63</v>
      </c>
      <c r="L433" t="str">
        <f t="shared" si="81"/>
        <v>West</v>
      </c>
      <c r="M433" t="s">
        <v>190</v>
      </c>
      <c r="N433" t="s">
        <v>191</v>
      </c>
      <c r="O433" t="s">
        <v>74</v>
      </c>
      <c r="P433" t="s">
        <v>274</v>
      </c>
      <c r="Q433" t="s">
        <v>1395</v>
      </c>
      <c r="R433" t="s">
        <v>44</v>
      </c>
      <c r="S433" t="str">
        <f t="shared" si="82"/>
        <v>Same Day</v>
      </c>
      <c r="T433">
        <v>2</v>
      </c>
      <c r="U433">
        <v>4118.45</v>
      </c>
      <c r="V433">
        <v>0.25</v>
      </c>
      <c r="W433">
        <f t="shared" si="83"/>
        <v>0.25</v>
      </c>
      <c r="X433" t="str">
        <f t="shared" si="84"/>
        <v/>
      </c>
      <c r="Y433">
        <v>6177.67</v>
      </c>
      <c r="Z433">
        <f t="shared" si="85"/>
        <v>6177.6749999999993</v>
      </c>
      <c r="AA433">
        <v>4520.75</v>
      </c>
      <c r="AB433">
        <v>1656.92</v>
      </c>
      <c r="AC433">
        <f t="shared" si="86"/>
        <v>2059.2249999999995</v>
      </c>
      <c r="AD433" s="6">
        <f t="shared" si="87"/>
        <v>0.33333333333333326</v>
      </c>
      <c r="AE433" t="s">
        <v>32</v>
      </c>
      <c r="AF433" t="s">
        <v>33</v>
      </c>
      <c r="AG433">
        <f t="shared" si="88"/>
        <v>2</v>
      </c>
      <c r="AH433">
        <f t="shared" si="89"/>
        <v>2024</v>
      </c>
      <c r="AI433" t="str">
        <f t="shared" si="90"/>
        <v>CLEAN</v>
      </c>
    </row>
    <row r="434" spans="1:35">
      <c r="A434" t="s">
        <v>1396</v>
      </c>
      <c r="B434">
        <f t="shared" si="78"/>
        <v>1</v>
      </c>
      <c r="C434" t="str">
        <f>IF(COUNTIF($A$2:A434, A434)&gt;1, "DUPLICATE_FLAGGED_FOR_REVIEW", "")</f>
        <v/>
      </c>
      <c r="D434" s="3">
        <v>45533</v>
      </c>
      <c r="E434" s="2">
        <v>45537</v>
      </c>
      <c r="F434" s="2" t="str">
        <f t="shared" si="79"/>
        <v>OK</v>
      </c>
      <c r="G434" s="4">
        <f t="shared" si="80"/>
        <v>4</v>
      </c>
      <c r="H434" t="s">
        <v>1397</v>
      </c>
      <c r="I434" t="s">
        <v>114</v>
      </c>
      <c r="J434" t="s">
        <v>37</v>
      </c>
      <c r="K434" t="s">
        <v>63</v>
      </c>
      <c r="L434" t="str">
        <f t="shared" si="81"/>
        <v>West</v>
      </c>
      <c r="M434" t="s">
        <v>64</v>
      </c>
      <c r="N434" t="s">
        <v>65</v>
      </c>
      <c r="O434" t="s">
        <v>41</v>
      </c>
      <c r="P434" t="s">
        <v>158</v>
      </c>
      <c r="Q434" t="s">
        <v>1398</v>
      </c>
      <c r="R434" t="s">
        <v>59</v>
      </c>
      <c r="S434" t="str">
        <f t="shared" si="82"/>
        <v>Standard Class</v>
      </c>
      <c r="T434">
        <v>6</v>
      </c>
      <c r="U434">
        <v>172.82</v>
      </c>
      <c r="V434">
        <v>0.05</v>
      </c>
      <c r="W434">
        <f t="shared" si="83"/>
        <v>0.05</v>
      </c>
      <c r="X434" t="str">
        <f t="shared" si="84"/>
        <v/>
      </c>
      <c r="Y434">
        <v>985.07</v>
      </c>
      <c r="Z434">
        <f t="shared" si="85"/>
        <v>985.07400000000007</v>
      </c>
      <c r="AA434">
        <v>844.48</v>
      </c>
      <c r="AB434">
        <v>140.59</v>
      </c>
      <c r="AC434">
        <f t="shared" si="86"/>
        <v>812.25400000000013</v>
      </c>
      <c r="AD434" s="6">
        <f t="shared" si="87"/>
        <v>0.82456140350877205</v>
      </c>
      <c r="AE434" t="s">
        <v>32</v>
      </c>
      <c r="AF434" t="s">
        <v>33</v>
      </c>
      <c r="AG434">
        <f t="shared" si="88"/>
        <v>8</v>
      </c>
      <c r="AH434">
        <f t="shared" si="89"/>
        <v>2024</v>
      </c>
      <c r="AI434" t="str">
        <f t="shared" si="90"/>
        <v>CLEAN</v>
      </c>
    </row>
    <row r="435" spans="1:35">
      <c r="A435" t="s">
        <v>1399</v>
      </c>
      <c r="B435">
        <f t="shared" si="78"/>
        <v>1</v>
      </c>
      <c r="C435" t="str">
        <f>IF(COUNTIF($A$2:A435, A435)&gt;1, "DUPLICATE_FLAGGED_FOR_REVIEW", "")</f>
        <v/>
      </c>
      <c r="D435" s="3">
        <v>45401</v>
      </c>
      <c r="E435" s="2">
        <v>45402</v>
      </c>
      <c r="F435" s="2" t="str">
        <f t="shared" si="79"/>
        <v>OK</v>
      </c>
      <c r="G435" s="4">
        <f t="shared" si="80"/>
        <v>1</v>
      </c>
      <c r="H435" t="s">
        <v>1400</v>
      </c>
      <c r="I435" t="s">
        <v>114</v>
      </c>
      <c r="J435" t="s">
        <v>90</v>
      </c>
      <c r="K435" t="s">
        <v>54</v>
      </c>
      <c r="L435" t="str">
        <f t="shared" si="81"/>
        <v>South</v>
      </c>
      <c r="M435" t="s">
        <v>185</v>
      </c>
      <c r="N435" t="s">
        <v>186</v>
      </c>
      <c r="O435" t="s">
        <v>28</v>
      </c>
      <c r="P435" t="s">
        <v>48</v>
      </c>
      <c r="Q435" t="s">
        <v>1401</v>
      </c>
      <c r="R435" t="s">
        <v>31</v>
      </c>
      <c r="S435" t="str">
        <f t="shared" si="82"/>
        <v>Second Class</v>
      </c>
      <c r="T435">
        <v>4</v>
      </c>
      <c r="U435">
        <v>1540.22</v>
      </c>
      <c r="V435">
        <v>0</v>
      </c>
      <c r="W435">
        <f t="shared" si="83"/>
        <v>0</v>
      </c>
      <c r="X435" t="str">
        <f t="shared" si="84"/>
        <v/>
      </c>
      <c r="Y435">
        <v>6160.88</v>
      </c>
      <c r="Z435">
        <f t="shared" si="85"/>
        <v>6160.88</v>
      </c>
      <c r="AA435">
        <v>4938.7</v>
      </c>
      <c r="AB435">
        <v>1222.18</v>
      </c>
      <c r="AC435">
        <f t="shared" si="86"/>
        <v>4620.66</v>
      </c>
      <c r="AD435" s="6">
        <f t="shared" si="87"/>
        <v>0.75</v>
      </c>
      <c r="AE435" t="s">
        <v>102</v>
      </c>
      <c r="AF435" t="s">
        <v>103</v>
      </c>
      <c r="AG435">
        <f t="shared" si="88"/>
        <v>4</v>
      </c>
      <c r="AH435">
        <f t="shared" si="89"/>
        <v>2024</v>
      </c>
      <c r="AI435" t="str">
        <f t="shared" si="90"/>
        <v>CLEAN</v>
      </c>
    </row>
    <row r="436" spans="1:35">
      <c r="A436" t="s">
        <v>1402</v>
      </c>
      <c r="B436">
        <f t="shared" si="78"/>
        <v>1</v>
      </c>
      <c r="C436" t="str">
        <f>IF(COUNTIF($A$2:A436, A436)&gt;1, "DUPLICATE_FLAGGED_FOR_REVIEW", "")</f>
        <v/>
      </c>
      <c r="D436" s="3">
        <v>45965</v>
      </c>
      <c r="E436" s="2">
        <v>45762</v>
      </c>
      <c r="F436" s="2" t="str">
        <f t="shared" si="79"/>
        <v>ERROR: Ship before order</v>
      </c>
      <c r="G436" s="4">
        <f t="shared" si="80"/>
        <v>-203</v>
      </c>
      <c r="H436" t="s">
        <v>1403</v>
      </c>
      <c r="I436" t="s">
        <v>36</v>
      </c>
      <c r="J436" t="s">
        <v>95</v>
      </c>
      <c r="K436" t="s">
        <v>25</v>
      </c>
      <c r="L436" t="str">
        <f t="shared" si="81"/>
        <v>North</v>
      </c>
      <c r="M436" t="s">
        <v>136</v>
      </c>
      <c r="N436" t="s">
        <v>137</v>
      </c>
      <c r="O436" t="s">
        <v>74</v>
      </c>
      <c r="P436" t="s">
        <v>75</v>
      </c>
      <c r="Q436" t="s">
        <v>1404</v>
      </c>
      <c r="R436" t="s">
        <v>31</v>
      </c>
      <c r="S436" t="str">
        <f t="shared" si="82"/>
        <v>Second Class</v>
      </c>
      <c r="T436">
        <v>5</v>
      </c>
      <c r="U436">
        <v>652.78</v>
      </c>
      <c r="V436">
        <v>0</v>
      </c>
      <c r="W436">
        <f t="shared" si="83"/>
        <v>0</v>
      </c>
      <c r="X436" t="str">
        <f t="shared" si="84"/>
        <v/>
      </c>
      <c r="Y436">
        <v>3263.9</v>
      </c>
      <c r="Z436">
        <f t="shared" si="85"/>
        <v>3263.8999999999996</v>
      </c>
      <c r="AA436">
        <v>2068.44</v>
      </c>
      <c r="AB436">
        <v>1195.46</v>
      </c>
      <c r="AC436">
        <f t="shared" si="86"/>
        <v>2611.12</v>
      </c>
      <c r="AD436" s="6">
        <f t="shared" si="87"/>
        <v>0.8</v>
      </c>
      <c r="AE436" t="s">
        <v>32</v>
      </c>
      <c r="AF436" t="s">
        <v>33</v>
      </c>
      <c r="AG436">
        <f t="shared" si="88"/>
        <v>11</v>
      </c>
      <c r="AH436">
        <f t="shared" si="89"/>
        <v>2025</v>
      </c>
      <c r="AI436" t="str">
        <f t="shared" si="90"/>
        <v>INVALID</v>
      </c>
    </row>
    <row r="437" spans="1:35">
      <c r="A437" t="s">
        <v>1405</v>
      </c>
      <c r="B437">
        <f t="shared" si="78"/>
        <v>1</v>
      </c>
      <c r="C437" t="str">
        <f>IF(COUNTIF($A$2:A437, A437)&gt;1, "DUPLICATE_FLAGGED_FOR_REVIEW", "")</f>
        <v/>
      </c>
      <c r="D437" s="3">
        <v>45759</v>
      </c>
      <c r="E437" s="2">
        <v>45767</v>
      </c>
      <c r="F437" s="2" t="str">
        <f t="shared" si="79"/>
        <v>OK</v>
      </c>
      <c r="G437" s="4">
        <f t="shared" si="80"/>
        <v>8</v>
      </c>
      <c r="H437" t="s">
        <v>1406</v>
      </c>
      <c r="I437" t="s">
        <v>264</v>
      </c>
      <c r="J437" t="s">
        <v>95</v>
      </c>
      <c r="K437" t="s">
        <v>25</v>
      </c>
      <c r="L437" t="str">
        <f t="shared" si="81"/>
        <v>North</v>
      </c>
      <c r="M437" t="s">
        <v>350</v>
      </c>
      <c r="N437" t="s">
        <v>351</v>
      </c>
      <c r="O437" t="s">
        <v>74</v>
      </c>
      <c r="P437" t="s">
        <v>274</v>
      </c>
      <c r="Q437" t="s">
        <v>1407</v>
      </c>
      <c r="R437" t="s">
        <v>59</v>
      </c>
      <c r="S437" t="str">
        <f t="shared" si="82"/>
        <v>Standard Class</v>
      </c>
      <c r="T437">
        <v>1</v>
      </c>
      <c r="U437">
        <v>2737.71</v>
      </c>
      <c r="V437">
        <v>0.15</v>
      </c>
      <c r="W437">
        <f t="shared" si="83"/>
        <v>0.15</v>
      </c>
      <c r="X437" t="str">
        <f t="shared" si="84"/>
        <v/>
      </c>
      <c r="Y437">
        <v>2327.0500000000002</v>
      </c>
      <c r="Z437">
        <f t="shared" si="85"/>
        <v>2327.0535</v>
      </c>
      <c r="AA437">
        <v>1919.42</v>
      </c>
      <c r="AB437">
        <v>407.63</v>
      </c>
      <c r="AC437">
        <f t="shared" si="86"/>
        <v>-410.65650000000005</v>
      </c>
      <c r="AD437" s="6">
        <f t="shared" si="87"/>
        <v>-0.17647058823529413</v>
      </c>
      <c r="AE437" t="s">
        <v>32</v>
      </c>
      <c r="AF437" t="s">
        <v>68</v>
      </c>
      <c r="AG437">
        <f t="shared" si="88"/>
        <v>4</v>
      </c>
      <c r="AH437">
        <f t="shared" si="89"/>
        <v>2025</v>
      </c>
      <c r="AI437" t="str">
        <f t="shared" si="90"/>
        <v>CLEAN</v>
      </c>
    </row>
    <row r="438" spans="1:35">
      <c r="A438" t="s">
        <v>1408</v>
      </c>
      <c r="B438">
        <f t="shared" si="78"/>
        <v>1</v>
      </c>
      <c r="C438" t="str">
        <f>IF(COUNTIF($A$2:A438, A438)&gt;1, "DUPLICATE_FLAGGED_FOR_REVIEW", "")</f>
        <v/>
      </c>
      <c r="D438" s="3">
        <v>45459</v>
      </c>
      <c r="E438" s="2">
        <v>45464</v>
      </c>
      <c r="F438" s="2" t="str">
        <f t="shared" si="79"/>
        <v>OK</v>
      </c>
      <c r="G438" s="4">
        <f t="shared" si="80"/>
        <v>5</v>
      </c>
      <c r="H438" t="s">
        <v>1409</v>
      </c>
      <c r="I438" t="s">
        <v>79</v>
      </c>
      <c r="J438" t="s">
        <v>24</v>
      </c>
      <c r="K438" t="s">
        <v>54</v>
      </c>
      <c r="L438" t="str">
        <f t="shared" si="81"/>
        <v>South</v>
      </c>
      <c r="M438" t="s">
        <v>185</v>
      </c>
      <c r="N438" t="s">
        <v>186</v>
      </c>
      <c r="O438" t="s">
        <v>41</v>
      </c>
      <c r="P438" t="s">
        <v>57</v>
      </c>
      <c r="Q438" t="s">
        <v>1410</v>
      </c>
      <c r="R438" t="s">
        <v>44</v>
      </c>
      <c r="S438" t="str">
        <f t="shared" si="82"/>
        <v>Same Day</v>
      </c>
      <c r="T438">
        <v>6</v>
      </c>
      <c r="U438">
        <v>1156.78</v>
      </c>
      <c r="V438">
        <v>0.05</v>
      </c>
      <c r="W438">
        <f t="shared" si="83"/>
        <v>0.05</v>
      </c>
      <c r="X438" t="str">
        <f t="shared" si="84"/>
        <v/>
      </c>
      <c r="Y438">
        <v>6593.65</v>
      </c>
      <c r="Z438">
        <f t="shared" si="85"/>
        <v>6593.6459999999997</v>
      </c>
      <c r="AA438">
        <v>4359.3900000000003</v>
      </c>
      <c r="AB438">
        <v>2234.2600000000002</v>
      </c>
      <c r="AC438">
        <f t="shared" si="86"/>
        <v>5436.866</v>
      </c>
      <c r="AD438" s="6">
        <f t="shared" si="87"/>
        <v>0.82456140350877194</v>
      </c>
      <c r="AE438" t="s">
        <v>32</v>
      </c>
      <c r="AF438" t="s">
        <v>103</v>
      </c>
      <c r="AG438">
        <f t="shared" si="88"/>
        <v>6</v>
      </c>
      <c r="AH438">
        <f t="shared" si="89"/>
        <v>2024</v>
      </c>
      <c r="AI438" t="str">
        <f t="shared" si="90"/>
        <v>CLEAN</v>
      </c>
    </row>
    <row r="439" spans="1:35">
      <c r="A439" t="s">
        <v>1411</v>
      </c>
      <c r="B439">
        <f t="shared" si="78"/>
        <v>1</v>
      </c>
      <c r="C439" t="str">
        <f>IF(COUNTIF($A$2:A439, A439)&gt;1, "DUPLICATE_FLAGGED_FOR_REVIEW", "")</f>
        <v/>
      </c>
      <c r="D439" s="3">
        <v>45337</v>
      </c>
      <c r="E439" s="2">
        <v>45340</v>
      </c>
      <c r="F439" s="2" t="str">
        <f t="shared" si="79"/>
        <v>OK</v>
      </c>
      <c r="G439" s="4">
        <f t="shared" si="80"/>
        <v>3</v>
      </c>
      <c r="H439" t="s">
        <v>1412</v>
      </c>
      <c r="I439" t="s">
        <v>89</v>
      </c>
      <c r="J439" t="s">
        <v>37</v>
      </c>
      <c r="K439" t="s">
        <v>54</v>
      </c>
      <c r="L439" t="str">
        <f t="shared" si="81"/>
        <v>South</v>
      </c>
      <c r="M439" t="s">
        <v>185</v>
      </c>
      <c r="N439" t="s">
        <v>186</v>
      </c>
      <c r="O439" t="s">
        <v>74</v>
      </c>
      <c r="P439" t="s">
        <v>75</v>
      </c>
      <c r="Q439" t="s">
        <v>1413</v>
      </c>
      <c r="R439" t="s">
        <v>44</v>
      </c>
      <c r="S439" t="str">
        <f t="shared" si="82"/>
        <v>Same Day</v>
      </c>
      <c r="T439">
        <v>8</v>
      </c>
      <c r="U439">
        <v>379.82</v>
      </c>
      <c r="V439">
        <v>0.05</v>
      </c>
      <c r="W439">
        <f t="shared" si="83"/>
        <v>0.05</v>
      </c>
      <c r="X439" t="str">
        <f t="shared" si="84"/>
        <v/>
      </c>
      <c r="Y439">
        <v>2886.63</v>
      </c>
      <c r="Z439">
        <f t="shared" si="85"/>
        <v>2886.6319999999996</v>
      </c>
      <c r="AA439">
        <v>1588.23</v>
      </c>
      <c r="AB439">
        <v>1298.4000000000001</v>
      </c>
      <c r="AC439">
        <f t="shared" si="86"/>
        <v>2506.8119999999994</v>
      </c>
      <c r="AD439" s="6">
        <f t="shared" si="87"/>
        <v>0.86842105263157887</v>
      </c>
      <c r="AE439" t="s">
        <v>155</v>
      </c>
      <c r="AF439" t="s">
        <v>103</v>
      </c>
      <c r="AG439">
        <f t="shared" si="88"/>
        <v>2</v>
      </c>
      <c r="AH439">
        <f t="shared" si="89"/>
        <v>2024</v>
      </c>
      <c r="AI439" t="str">
        <f t="shared" si="90"/>
        <v>CLEAN</v>
      </c>
    </row>
    <row r="440" spans="1:35">
      <c r="A440" t="s">
        <v>1414</v>
      </c>
      <c r="B440">
        <f t="shared" si="78"/>
        <v>1</v>
      </c>
      <c r="C440" t="str">
        <f>IF(COUNTIF($A$2:A440, A440)&gt;1, "DUPLICATE_FLAGGED_FOR_REVIEW", "")</f>
        <v/>
      </c>
      <c r="D440" s="3">
        <v>45784</v>
      </c>
      <c r="E440" s="2">
        <v>45782</v>
      </c>
      <c r="F440" s="2" t="str">
        <f t="shared" si="79"/>
        <v>ERROR: Ship before order</v>
      </c>
      <c r="G440" s="4">
        <f t="shared" si="80"/>
        <v>-2</v>
      </c>
      <c r="H440" t="s">
        <v>1415</v>
      </c>
      <c r="I440" t="s">
        <v>79</v>
      </c>
      <c r="J440" t="s">
        <v>90</v>
      </c>
      <c r="K440" t="s">
        <v>38</v>
      </c>
      <c r="L440" t="str">
        <f t="shared" si="81"/>
        <v>East</v>
      </c>
      <c r="M440" t="s">
        <v>228</v>
      </c>
      <c r="N440" t="s">
        <v>229</v>
      </c>
      <c r="O440" t="s">
        <v>74</v>
      </c>
      <c r="P440" t="s">
        <v>171</v>
      </c>
      <c r="Q440" t="s">
        <v>1416</v>
      </c>
      <c r="R440" t="s">
        <v>59</v>
      </c>
      <c r="S440" t="str">
        <f t="shared" si="82"/>
        <v>Standard Class</v>
      </c>
      <c r="T440">
        <v>1</v>
      </c>
      <c r="U440">
        <v>2266.4699999999998</v>
      </c>
      <c r="V440">
        <v>0.2</v>
      </c>
      <c r="W440">
        <f t="shared" si="83"/>
        <v>0.2</v>
      </c>
      <c r="X440" t="str">
        <f t="shared" si="84"/>
        <v/>
      </c>
      <c r="Y440">
        <v>1813.18</v>
      </c>
      <c r="Z440">
        <f t="shared" si="85"/>
        <v>1813.1759999999999</v>
      </c>
      <c r="AA440">
        <v>1363.64</v>
      </c>
      <c r="AB440">
        <v>449.54</v>
      </c>
      <c r="AC440">
        <f t="shared" si="86"/>
        <v>-453.29399999999987</v>
      </c>
      <c r="AD440" s="6">
        <f t="shared" si="87"/>
        <v>-0.24999999999999994</v>
      </c>
      <c r="AE440" t="s">
        <v>32</v>
      </c>
      <c r="AF440" t="s">
        <v>33</v>
      </c>
      <c r="AG440">
        <f t="shared" si="88"/>
        <v>5</v>
      </c>
      <c r="AH440">
        <f t="shared" si="89"/>
        <v>2025</v>
      </c>
      <c r="AI440" t="str">
        <f t="shared" si="90"/>
        <v>INVALID</v>
      </c>
    </row>
    <row r="441" spans="1:35">
      <c r="A441" t="s">
        <v>1417</v>
      </c>
      <c r="B441">
        <f t="shared" si="78"/>
        <v>1</v>
      </c>
      <c r="C441" t="str">
        <f>IF(COUNTIF($A$2:A441, A441)&gt;1, "DUPLICATE_FLAGGED_FOR_REVIEW", "")</f>
        <v/>
      </c>
      <c r="D441" s="3">
        <v>45838</v>
      </c>
      <c r="E441" s="2">
        <v>45841</v>
      </c>
      <c r="F441" s="2" t="str">
        <f t="shared" si="79"/>
        <v>OK</v>
      </c>
      <c r="G441" s="4">
        <f t="shared" si="80"/>
        <v>3</v>
      </c>
      <c r="H441" t="s">
        <v>1418</v>
      </c>
      <c r="I441" t="s">
        <v>128</v>
      </c>
      <c r="J441" t="s">
        <v>95</v>
      </c>
      <c r="K441" t="s">
        <v>63</v>
      </c>
      <c r="L441" t="str">
        <f t="shared" si="81"/>
        <v>West</v>
      </c>
      <c r="M441" t="s">
        <v>190</v>
      </c>
      <c r="N441" t="s">
        <v>191</v>
      </c>
      <c r="O441" t="s">
        <v>28</v>
      </c>
      <c r="P441" t="s">
        <v>124</v>
      </c>
      <c r="Q441" t="s">
        <v>1419</v>
      </c>
      <c r="R441" t="s">
        <v>44</v>
      </c>
      <c r="S441" t="str">
        <f t="shared" si="82"/>
        <v>Same Day</v>
      </c>
      <c r="T441">
        <v>5</v>
      </c>
      <c r="U441">
        <v>665.25</v>
      </c>
      <c r="V441">
        <v>0</v>
      </c>
      <c r="W441">
        <f t="shared" si="83"/>
        <v>0</v>
      </c>
      <c r="X441" t="str">
        <f t="shared" si="84"/>
        <v/>
      </c>
      <c r="Y441">
        <v>3326.25</v>
      </c>
      <c r="Z441">
        <f t="shared" si="85"/>
        <v>3326.25</v>
      </c>
      <c r="AA441">
        <v>2689.36</v>
      </c>
      <c r="AB441">
        <v>636.89</v>
      </c>
      <c r="AC441">
        <f t="shared" si="86"/>
        <v>2661</v>
      </c>
      <c r="AD441" s="6">
        <f t="shared" si="87"/>
        <v>0.8</v>
      </c>
      <c r="AE441" t="s">
        <v>102</v>
      </c>
      <c r="AF441" t="s">
        <v>103</v>
      </c>
      <c r="AG441">
        <f t="shared" si="88"/>
        <v>6</v>
      </c>
      <c r="AH441">
        <f t="shared" si="89"/>
        <v>2025</v>
      </c>
      <c r="AI441" t="str">
        <f t="shared" si="90"/>
        <v>CLEAN</v>
      </c>
    </row>
    <row r="442" spans="1:35">
      <c r="A442" t="s">
        <v>1420</v>
      </c>
      <c r="B442">
        <f t="shared" si="78"/>
        <v>1</v>
      </c>
      <c r="C442" t="str">
        <f>IF(COUNTIF($A$2:A442, A442)&gt;1, "DUPLICATE_FLAGGED_FOR_REVIEW", "")</f>
        <v/>
      </c>
      <c r="D442" s="3">
        <v>45326</v>
      </c>
      <c r="E442" s="2">
        <v>45508</v>
      </c>
      <c r="F442" s="2" t="str">
        <f t="shared" si="79"/>
        <v>OK</v>
      </c>
      <c r="G442" s="4">
        <f t="shared" si="80"/>
        <v>182</v>
      </c>
      <c r="H442" t="s">
        <v>270</v>
      </c>
      <c r="I442" t="s">
        <v>71</v>
      </c>
      <c r="J442" t="s">
        <v>90</v>
      </c>
      <c r="K442" t="s">
        <v>38</v>
      </c>
      <c r="L442" t="str">
        <f t="shared" si="81"/>
        <v>East</v>
      </c>
      <c r="M442" t="s">
        <v>39</v>
      </c>
      <c r="N442" t="s">
        <v>40</v>
      </c>
      <c r="O442" t="s">
        <v>74</v>
      </c>
      <c r="P442" t="s">
        <v>274</v>
      </c>
      <c r="Q442" t="s">
        <v>1421</v>
      </c>
      <c r="R442" t="s">
        <v>31</v>
      </c>
      <c r="S442" t="str">
        <f t="shared" si="82"/>
        <v>Second Class</v>
      </c>
      <c r="T442">
        <v>6</v>
      </c>
      <c r="U442">
        <v>3722.84</v>
      </c>
      <c r="V442">
        <v>0.2</v>
      </c>
      <c r="W442">
        <f t="shared" si="83"/>
        <v>0.2</v>
      </c>
      <c r="X442" t="str">
        <f t="shared" si="84"/>
        <v/>
      </c>
      <c r="Y442">
        <v>17869.63</v>
      </c>
      <c r="Z442">
        <f t="shared" si="85"/>
        <v>17869.632000000001</v>
      </c>
      <c r="AA442">
        <v>12163.8</v>
      </c>
      <c r="AB442">
        <v>5705.83</v>
      </c>
      <c r="AC442">
        <f t="shared" si="86"/>
        <v>14146.792000000001</v>
      </c>
      <c r="AD442" s="6">
        <f t="shared" si="87"/>
        <v>0.79166666666666663</v>
      </c>
      <c r="AE442" t="s">
        <v>32</v>
      </c>
      <c r="AF442" t="s">
        <v>33</v>
      </c>
      <c r="AG442">
        <f t="shared" si="88"/>
        <v>2</v>
      </c>
      <c r="AH442">
        <f t="shared" si="89"/>
        <v>2024</v>
      </c>
      <c r="AI442" t="str">
        <f t="shared" si="90"/>
        <v>CLEAN</v>
      </c>
    </row>
    <row r="443" spans="1:35">
      <c r="A443" t="s">
        <v>1422</v>
      </c>
      <c r="B443">
        <f t="shared" si="78"/>
        <v>1</v>
      </c>
      <c r="C443" t="str">
        <f>IF(COUNTIF($A$2:A443, A443)&gt;1, "DUPLICATE_FLAGGED_FOR_REVIEW", "")</f>
        <v/>
      </c>
      <c r="D443" s="3">
        <v>45568</v>
      </c>
      <c r="E443" s="2">
        <v>45568</v>
      </c>
      <c r="F443" s="2" t="str">
        <f t="shared" si="79"/>
        <v>OK</v>
      </c>
      <c r="G443" s="4">
        <f t="shared" si="80"/>
        <v>0</v>
      </c>
      <c r="H443" t="s">
        <v>1423</v>
      </c>
      <c r="I443" t="s">
        <v>23</v>
      </c>
      <c r="J443" t="s">
        <v>24</v>
      </c>
      <c r="K443" t="s">
        <v>38</v>
      </c>
      <c r="L443" t="str">
        <f t="shared" si="81"/>
        <v>East</v>
      </c>
      <c r="M443" t="s">
        <v>145</v>
      </c>
      <c r="N443" t="s">
        <v>146</v>
      </c>
      <c r="O443" t="s">
        <v>41</v>
      </c>
      <c r="P443" t="s">
        <v>158</v>
      </c>
      <c r="Q443" t="s">
        <v>1424</v>
      </c>
      <c r="R443" t="s">
        <v>59</v>
      </c>
      <c r="S443" t="str">
        <f t="shared" si="82"/>
        <v>Standard Class</v>
      </c>
      <c r="T443">
        <v>6</v>
      </c>
      <c r="U443">
        <v>4217.49</v>
      </c>
      <c r="V443">
        <v>0</v>
      </c>
      <c r="W443">
        <f t="shared" si="83"/>
        <v>0</v>
      </c>
      <c r="X443" t="str">
        <f t="shared" si="84"/>
        <v/>
      </c>
      <c r="Y443">
        <v>25304.94</v>
      </c>
      <c r="Z443">
        <f t="shared" si="85"/>
        <v>25304.94</v>
      </c>
      <c r="AA443">
        <v>20771.95</v>
      </c>
      <c r="AB443">
        <v>4532.99</v>
      </c>
      <c r="AC443">
        <f t="shared" si="86"/>
        <v>21087.449999999997</v>
      </c>
      <c r="AD443" s="6">
        <f t="shared" si="87"/>
        <v>0.83333333333333326</v>
      </c>
      <c r="AE443" t="s">
        <v>32</v>
      </c>
      <c r="AF443" t="s">
        <v>68</v>
      </c>
      <c r="AG443">
        <f t="shared" si="88"/>
        <v>10</v>
      </c>
      <c r="AH443">
        <f t="shared" si="89"/>
        <v>2024</v>
      </c>
      <c r="AI443" t="str">
        <f t="shared" si="90"/>
        <v>CLEAN</v>
      </c>
    </row>
    <row r="444" spans="1:35">
      <c r="A444" t="s">
        <v>1425</v>
      </c>
      <c r="B444">
        <f t="shared" si="78"/>
        <v>1</v>
      </c>
      <c r="C444" t="str">
        <f>IF(COUNTIF($A$2:A444, A444)&gt;1, "DUPLICATE_FLAGGED_FOR_REVIEW", "")</f>
        <v/>
      </c>
      <c r="D444" s="3">
        <v>45669</v>
      </c>
      <c r="E444" s="2">
        <v>45676</v>
      </c>
      <c r="F444" s="2" t="str">
        <f t="shared" si="79"/>
        <v>OK</v>
      </c>
      <c r="G444" s="4">
        <f t="shared" si="80"/>
        <v>7</v>
      </c>
      <c r="H444" t="s">
        <v>1426</v>
      </c>
      <c r="I444" t="s">
        <v>128</v>
      </c>
      <c r="J444" t="s">
        <v>24</v>
      </c>
      <c r="K444" t="s">
        <v>38</v>
      </c>
      <c r="L444" t="str">
        <f t="shared" si="81"/>
        <v>East</v>
      </c>
      <c r="M444" t="s">
        <v>228</v>
      </c>
      <c r="N444" t="s">
        <v>229</v>
      </c>
      <c r="O444" t="s">
        <v>41</v>
      </c>
      <c r="P444" t="s">
        <v>42</v>
      </c>
      <c r="Q444" t="s">
        <v>1427</v>
      </c>
      <c r="R444" t="s">
        <v>50</v>
      </c>
      <c r="S444" t="str">
        <f t="shared" si="82"/>
        <v>First Class</v>
      </c>
      <c r="T444">
        <v>1</v>
      </c>
      <c r="U444">
        <v>1842.31</v>
      </c>
      <c r="V444">
        <v>0</v>
      </c>
      <c r="W444">
        <f t="shared" si="83"/>
        <v>0</v>
      </c>
      <c r="X444" t="str">
        <f t="shared" si="84"/>
        <v/>
      </c>
      <c r="Y444">
        <v>1842.31</v>
      </c>
      <c r="Z444">
        <f t="shared" si="85"/>
        <v>1842.31</v>
      </c>
      <c r="AA444">
        <v>1019.17</v>
      </c>
      <c r="AB444">
        <v>823.14</v>
      </c>
      <c r="AC444">
        <f t="shared" si="86"/>
        <v>0</v>
      </c>
      <c r="AD444" s="6">
        <f t="shared" si="87"/>
        <v>0</v>
      </c>
      <c r="AE444" t="s">
        <v>32</v>
      </c>
      <c r="AF444" t="s">
        <v>33</v>
      </c>
      <c r="AG444">
        <f t="shared" si="88"/>
        <v>1</v>
      </c>
      <c r="AH444">
        <f t="shared" si="89"/>
        <v>2025</v>
      </c>
      <c r="AI444" t="str">
        <f t="shared" si="90"/>
        <v>CLEAN</v>
      </c>
    </row>
    <row r="445" spans="1:35">
      <c r="A445" t="s">
        <v>1428</v>
      </c>
      <c r="B445">
        <f t="shared" si="78"/>
        <v>1</v>
      </c>
      <c r="C445" t="str">
        <f>IF(COUNTIF($A$2:A445, A445)&gt;1, "DUPLICATE_FLAGGED_FOR_REVIEW", "")</f>
        <v/>
      </c>
      <c r="D445" s="3">
        <v>45386</v>
      </c>
      <c r="E445" s="2">
        <v>45389</v>
      </c>
      <c r="F445" s="2" t="str">
        <f t="shared" si="79"/>
        <v>OK</v>
      </c>
      <c r="G445" s="4">
        <f t="shared" si="80"/>
        <v>3</v>
      </c>
      <c r="H445" t="s">
        <v>1429</v>
      </c>
      <c r="I445" t="s">
        <v>141</v>
      </c>
      <c r="J445" t="s">
        <v>95</v>
      </c>
      <c r="K445" t="s">
        <v>38</v>
      </c>
      <c r="L445" t="str">
        <f t="shared" si="81"/>
        <v>East</v>
      </c>
      <c r="M445" t="s">
        <v>39</v>
      </c>
      <c r="N445" t="s">
        <v>40</v>
      </c>
      <c r="O445" t="s">
        <v>41</v>
      </c>
      <c r="P445" t="s">
        <v>57</v>
      </c>
      <c r="Q445" t="s">
        <v>1430</v>
      </c>
      <c r="R445" t="s">
        <v>50</v>
      </c>
      <c r="S445" t="str">
        <f t="shared" si="82"/>
        <v>First Class</v>
      </c>
      <c r="T445">
        <v>1</v>
      </c>
      <c r="U445">
        <v>3683.75</v>
      </c>
      <c r="V445">
        <v>0.1</v>
      </c>
      <c r="W445">
        <f t="shared" si="83"/>
        <v>0.1</v>
      </c>
      <c r="X445" t="str">
        <f t="shared" si="84"/>
        <v/>
      </c>
      <c r="Y445">
        <v>3315.38</v>
      </c>
      <c r="Z445">
        <f t="shared" si="85"/>
        <v>3315.375</v>
      </c>
      <c r="AA445">
        <v>2347.6799999999998</v>
      </c>
      <c r="AB445">
        <v>967.7</v>
      </c>
      <c r="AC445">
        <f t="shared" si="86"/>
        <v>-368.375</v>
      </c>
      <c r="AD445" s="6">
        <f t="shared" si="87"/>
        <v>-0.1111111111111111</v>
      </c>
      <c r="AE445" t="s">
        <v>32</v>
      </c>
      <c r="AF445" t="s">
        <v>33</v>
      </c>
      <c r="AG445">
        <f t="shared" si="88"/>
        <v>4</v>
      </c>
      <c r="AH445">
        <f t="shared" si="89"/>
        <v>2024</v>
      </c>
      <c r="AI445" t="str">
        <f t="shared" si="90"/>
        <v>CLEAN</v>
      </c>
    </row>
    <row r="446" spans="1:35">
      <c r="A446" t="s">
        <v>1431</v>
      </c>
      <c r="B446">
        <f t="shared" si="78"/>
        <v>1</v>
      </c>
      <c r="C446" t="str">
        <f>IF(COUNTIF($A$2:A446, A446)&gt;1, "DUPLICATE_FLAGGED_FOR_REVIEW", "")</f>
        <v/>
      </c>
      <c r="D446" s="3">
        <v>45881</v>
      </c>
      <c r="E446" s="2">
        <v>45885</v>
      </c>
      <c r="F446" s="2" t="str">
        <f t="shared" si="79"/>
        <v>OK</v>
      </c>
      <c r="G446" s="4">
        <f t="shared" si="80"/>
        <v>4</v>
      </c>
      <c r="H446" t="s">
        <v>1432</v>
      </c>
      <c r="I446" t="s">
        <v>62</v>
      </c>
      <c r="J446" t="s">
        <v>24</v>
      </c>
      <c r="K446" t="s">
        <v>38</v>
      </c>
      <c r="L446" t="str">
        <f t="shared" si="81"/>
        <v>East</v>
      </c>
      <c r="M446" t="s">
        <v>166</v>
      </c>
      <c r="N446" t="s">
        <v>167</v>
      </c>
      <c r="O446" t="s">
        <v>74</v>
      </c>
      <c r="P446" t="s">
        <v>75</v>
      </c>
      <c r="Q446" t="s">
        <v>1433</v>
      </c>
      <c r="R446" t="s">
        <v>44</v>
      </c>
      <c r="S446" t="str">
        <f t="shared" si="82"/>
        <v>Same Day</v>
      </c>
      <c r="T446">
        <v>9</v>
      </c>
      <c r="U446">
        <v>2379.2399999999998</v>
      </c>
      <c r="V446">
        <v>0.05</v>
      </c>
      <c r="W446">
        <f t="shared" si="83"/>
        <v>0.05</v>
      </c>
      <c r="X446" t="str">
        <f t="shared" si="84"/>
        <v/>
      </c>
      <c r="Y446">
        <v>20342.5</v>
      </c>
      <c r="Z446">
        <f t="shared" si="85"/>
        <v>20342.501999999997</v>
      </c>
      <c r="AA446">
        <v>12407.51</v>
      </c>
      <c r="AB446">
        <v>7934.99</v>
      </c>
      <c r="AC446">
        <f t="shared" si="86"/>
        <v>17963.261999999995</v>
      </c>
      <c r="AD446" s="6">
        <f t="shared" si="87"/>
        <v>0.88304093567251452</v>
      </c>
      <c r="AE446" t="s">
        <v>32</v>
      </c>
      <c r="AF446" t="s">
        <v>33</v>
      </c>
      <c r="AG446">
        <f t="shared" si="88"/>
        <v>8</v>
      </c>
      <c r="AH446">
        <f t="shared" si="89"/>
        <v>2025</v>
      </c>
      <c r="AI446" t="str">
        <f t="shared" si="90"/>
        <v>CLEAN</v>
      </c>
    </row>
    <row r="447" spans="1:35">
      <c r="A447" t="s">
        <v>1434</v>
      </c>
      <c r="B447">
        <f t="shared" si="78"/>
        <v>1</v>
      </c>
      <c r="C447" t="str">
        <f>IF(COUNTIF($A$2:A447, A447)&gt;1, "DUPLICATE_FLAGGED_FOR_REVIEW", "")</f>
        <v/>
      </c>
      <c r="D447" s="3">
        <v>45540</v>
      </c>
      <c r="E447" s="2">
        <v>45417</v>
      </c>
      <c r="F447" s="2" t="str">
        <f t="shared" si="79"/>
        <v>ERROR: Ship before order</v>
      </c>
      <c r="G447" s="4">
        <f t="shared" si="80"/>
        <v>-123</v>
      </c>
      <c r="H447" t="s">
        <v>1435</v>
      </c>
      <c r="I447" t="s">
        <v>53</v>
      </c>
      <c r="J447" t="s">
        <v>24</v>
      </c>
      <c r="K447" t="s">
        <v>38</v>
      </c>
      <c r="L447" t="str">
        <f t="shared" si="81"/>
        <v>East</v>
      </c>
      <c r="M447" t="s">
        <v>166</v>
      </c>
      <c r="N447" t="s">
        <v>167</v>
      </c>
      <c r="O447" t="s">
        <v>41</v>
      </c>
      <c r="P447" t="s">
        <v>158</v>
      </c>
      <c r="Q447" t="s">
        <v>1436</v>
      </c>
      <c r="R447" t="s">
        <v>44</v>
      </c>
      <c r="S447" t="str">
        <f t="shared" si="82"/>
        <v>Same Day</v>
      </c>
      <c r="T447">
        <v>2</v>
      </c>
      <c r="U447">
        <v>2111.23</v>
      </c>
      <c r="V447">
        <v>0.2</v>
      </c>
      <c r="W447">
        <f t="shared" si="83"/>
        <v>0.2</v>
      </c>
      <c r="X447" t="str">
        <f t="shared" si="84"/>
        <v/>
      </c>
      <c r="Y447">
        <v>3377.97</v>
      </c>
      <c r="Z447">
        <f t="shared" si="85"/>
        <v>3377.9680000000003</v>
      </c>
      <c r="AA447">
        <v>2496.29</v>
      </c>
      <c r="AB447">
        <v>881.68</v>
      </c>
      <c r="AC447">
        <f t="shared" si="86"/>
        <v>1266.7380000000003</v>
      </c>
      <c r="AD447" s="6">
        <f t="shared" si="87"/>
        <v>0.37500000000000006</v>
      </c>
      <c r="AE447" t="s">
        <v>32</v>
      </c>
      <c r="AF447" t="s">
        <v>33</v>
      </c>
      <c r="AG447">
        <f t="shared" si="88"/>
        <v>9</v>
      </c>
      <c r="AH447">
        <f t="shared" si="89"/>
        <v>2024</v>
      </c>
      <c r="AI447" t="str">
        <f t="shared" si="90"/>
        <v>INVALID</v>
      </c>
    </row>
    <row r="448" spans="1:35">
      <c r="A448" t="s">
        <v>1437</v>
      </c>
      <c r="B448">
        <f t="shared" si="78"/>
        <v>1</v>
      </c>
      <c r="C448" t="str">
        <f>IF(COUNTIF($A$2:A448, A448)&gt;1, "DUPLICATE_FLAGGED_FOR_REVIEW", "")</f>
        <v/>
      </c>
      <c r="D448" s="3">
        <v>45918</v>
      </c>
      <c r="E448" s="2">
        <v>45919</v>
      </c>
      <c r="F448" s="2" t="str">
        <f t="shared" si="79"/>
        <v>OK</v>
      </c>
      <c r="G448" s="4">
        <f t="shared" si="80"/>
        <v>1</v>
      </c>
      <c r="H448" t="s">
        <v>1438</v>
      </c>
      <c r="I448" t="s">
        <v>132</v>
      </c>
      <c r="J448" t="s">
        <v>95</v>
      </c>
      <c r="K448" t="s">
        <v>54</v>
      </c>
      <c r="L448" t="str">
        <f t="shared" si="81"/>
        <v>South</v>
      </c>
      <c r="M448" t="s">
        <v>84</v>
      </c>
      <c r="N448" t="s">
        <v>85</v>
      </c>
      <c r="O448" t="s">
        <v>28</v>
      </c>
      <c r="P448" t="s">
        <v>124</v>
      </c>
      <c r="Q448" t="s">
        <v>1439</v>
      </c>
      <c r="R448" t="s">
        <v>44</v>
      </c>
      <c r="S448" t="str">
        <f t="shared" si="82"/>
        <v>Same Day</v>
      </c>
      <c r="T448">
        <v>8</v>
      </c>
      <c r="U448">
        <v>4242.51</v>
      </c>
      <c r="V448">
        <v>0</v>
      </c>
      <c r="W448">
        <f t="shared" si="83"/>
        <v>0</v>
      </c>
      <c r="X448" t="str">
        <f t="shared" si="84"/>
        <v/>
      </c>
      <c r="Y448">
        <v>33940.080000000002</v>
      </c>
      <c r="Z448">
        <f t="shared" si="85"/>
        <v>33940.080000000002</v>
      </c>
      <c r="AA448">
        <v>23754.19</v>
      </c>
      <c r="AB448">
        <v>10185.89</v>
      </c>
      <c r="AC448">
        <f t="shared" si="86"/>
        <v>29697.57</v>
      </c>
      <c r="AD448" s="6">
        <f t="shared" si="87"/>
        <v>0.875</v>
      </c>
      <c r="AE448" t="s">
        <v>32</v>
      </c>
      <c r="AF448" t="s">
        <v>33</v>
      </c>
      <c r="AG448">
        <f t="shared" si="88"/>
        <v>9</v>
      </c>
      <c r="AH448">
        <f t="shared" si="89"/>
        <v>2025</v>
      </c>
      <c r="AI448" t="str">
        <f t="shared" si="90"/>
        <v>CLEAN</v>
      </c>
    </row>
    <row r="449" spans="1:35">
      <c r="A449" t="s">
        <v>1440</v>
      </c>
      <c r="B449">
        <f t="shared" si="78"/>
        <v>1</v>
      </c>
      <c r="C449" t="str">
        <f>IF(COUNTIF($A$2:A449, A449)&gt;1, "DUPLICATE_FLAGGED_FOR_REVIEW", "")</f>
        <v/>
      </c>
      <c r="D449" s="3">
        <v>45879</v>
      </c>
      <c r="E449" s="2">
        <v>45879</v>
      </c>
      <c r="F449" s="2" t="str">
        <f t="shared" si="79"/>
        <v>OK</v>
      </c>
      <c r="G449" s="4">
        <f t="shared" si="80"/>
        <v>0</v>
      </c>
      <c r="H449" t="s">
        <v>1441</v>
      </c>
      <c r="I449" t="s">
        <v>141</v>
      </c>
      <c r="J449" t="s">
        <v>95</v>
      </c>
      <c r="K449" t="s">
        <v>54</v>
      </c>
      <c r="L449" t="str">
        <f t="shared" si="81"/>
        <v>South</v>
      </c>
      <c r="M449" t="s">
        <v>55</v>
      </c>
      <c r="N449" t="s">
        <v>56</v>
      </c>
      <c r="O449" t="s">
        <v>41</v>
      </c>
      <c r="P449" t="s">
        <v>158</v>
      </c>
      <c r="Q449" t="s">
        <v>1442</v>
      </c>
      <c r="R449" t="s">
        <v>59</v>
      </c>
      <c r="S449" t="str">
        <f t="shared" si="82"/>
        <v>Standard Class</v>
      </c>
      <c r="T449">
        <v>6</v>
      </c>
      <c r="U449">
        <v>4288.7</v>
      </c>
      <c r="V449">
        <v>0.15</v>
      </c>
      <c r="W449">
        <f t="shared" si="83"/>
        <v>0.15</v>
      </c>
      <c r="X449" t="str">
        <f t="shared" si="84"/>
        <v/>
      </c>
      <c r="Y449">
        <v>21872.37</v>
      </c>
      <c r="Z449">
        <f t="shared" si="85"/>
        <v>21872.369999999995</v>
      </c>
      <c r="AA449">
        <v>13829.5</v>
      </c>
      <c r="AB449">
        <v>8042.87</v>
      </c>
      <c r="AC449">
        <f t="shared" si="86"/>
        <v>17583.669999999995</v>
      </c>
      <c r="AD449" s="6">
        <f t="shared" si="87"/>
        <v>0.8039215686274509</v>
      </c>
      <c r="AE449" t="s">
        <v>111</v>
      </c>
      <c r="AF449" t="s">
        <v>103</v>
      </c>
      <c r="AG449">
        <f t="shared" si="88"/>
        <v>8</v>
      </c>
      <c r="AH449">
        <f t="shared" si="89"/>
        <v>2025</v>
      </c>
      <c r="AI449" t="str">
        <f t="shared" si="90"/>
        <v>CLEAN</v>
      </c>
    </row>
    <row r="450" spans="1:35">
      <c r="A450" t="s">
        <v>1443</v>
      </c>
      <c r="B450">
        <f t="shared" si="78"/>
        <v>1</v>
      </c>
      <c r="C450" t="str">
        <f>IF(COUNTIF($A$2:A450, A450)&gt;1, "DUPLICATE_FLAGGED_FOR_REVIEW", "")</f>
        <v/>
      </c>
      <c r="D450" s="3">
        <v>45306</v>
      </c>
      <c r="E450" s="2">
        <v>45309</v>
      </c>
      <c r="F450" s="2" t="str">
        <f t="shared" si="79"/>
        <v>OK</v>
      </c>
      <c r="G450" s="4">
        <f t="shared" si="80"/>
        <v>3</v>
      </c>
      <c r="H450" t="s">
        <v>1444</v>
      </c>
      <c r="I450" t="s">
        <v>36</v>
      </c>
      <c r="J450" t="s">
        <v>37</v>
      </c>
      <c r="K450" t="s">
        <v>54</v>
      </c>
      <c r="L450" t="str">
        <f t="shared" si="81"/>
        <v>South</v>
      </c>
      <c r="M450" t="s">
        <v>84</v>
      </c>
      <c r="N450" t="s">
        <v>85</v>
      </c>
      <c r="O450" t="s">
        <v>41</v>
      </c>
      <c r="P450" t="s">
        <v>66</v>
      </c>
      <c r="Q450" t="s">
        <v>1445</v>
      </c>
      <c r="R450" t="s">
        <v>50</v>
      </c>
      <c r="S450" t="str">
        <f t="shared" si="82"/>
        <v>First Class</v>
      </c>
      <c r="T450">
        <v>2</v>
      </c>
      <c r="U450">
        <v>201.21</v>
      </c>
      <c r="V450">
        <v>0.15</v>
      </c>
      <c r="W450">
        <f t="shared" si="83"/>
        <v>0.15</v>
      </c>
      <c r="X450" t="str">
        <f t="shared" si="84"/>
        <v/>
      </c>
      <c r="Y450">
        <v>342.06</v>
      </c>
      <c r="Z450">
        <f t="shared" si="85"/>
        <v>342.05700000000002</v>
      </c>
      <c r="AA450">
        <v>244.57</v>
      </c>
      <c r="AB450">
        <v>97.49</v>
      </c>
      <c r="AC450">
        <f t="shared" si="86"/>
        <v>140.84700000000001</v>
      </c>
      <c r="AD450" s="6">
        <f t="shared" si="87"/>
        <v>0.41176470588235292</v>
      </c>
      <c r="AE450" t="s">
        <v>32</v>
      </c>
      <c r="AF450" t="s">
        <v>33</v>
      </c>
      <c r="AG450">
        <f t="shared" si="88"/>
        <v>1</v>
      </c>
      <c r="AH450">
        <f t="shared" si="89"/>
        <v>2024</v>
      </c>
      <c r="AI450" t="str">
        <f t="shared" si="90"/>
        <v>CLEAN</v>
      </c>
    </row>
    <row r="451" spans="1:35">
      <c r="A451" t="s">
        <v>1446</v>
      </c>
      <c r="B451">
        <f t="shared" ref="B451:B514" si="91">COUNTIF($A$2:$A$932, A451)</f>
        <v>1</v>
      </c>
      <c r="C451" t="str">
        <f>IF(COUNTIF($A$2:A451, A451)&gt;1, "DUPLICATE_FLAGGED_FOR_REVIEW", "")</f>
        <v/>
      </c>
      <c r="D451" s="3">
        <v>45449</v>
      </c>
      <c r="E451" s="2">
        <v>45456</v>
      </c>
      <c r="F451" s="2" t="str">
        <f t="shared" ref="F451:F514" si="92">IF(E451&lt;D451, "ERROR: Ship before order", "OK")</f>
        <v>OK</v>
      </c>
      <c r="G451" s="4">
        <f t="shared" ref="G451:G514" si="93">IF(AND(ISNUMBER(E451),ISNUMBER(D451)), E451-D451, "")</f>
        <v>7</v>
      </c>
      <c r="H451" t="s">
        <v>1340</v>
      </c>
      <c r="I451" t="s">
        <v>89</v>
      </c>
      <c r="J451" t="s">
        <v>90</v>
      </c>
      <c r="K451" t="s">
        <v>38</v>
      </c>
      <c r="L451" t="str">
        <f t="shared" ref="L451:L514" si="94">IF(OR(K451="",ISBLANK(K451)), "Unknown", K451)</f>
        <v>East</v>
      </c>
      <c r="M451" t="s">
        <v>166</v>
      </c>
      <c r="N451" t="s">
        <v>167</v>
      </c>
      <c r="O451" t="s">
        <v>74</v>
      </c>
      <c r="P451" t="s">
        <v>274</v>
      </c>
      <c r="Q451" t="s">
        <v>1447</v>
      </c>
      <c r="R451" t="s">
        <v>31</v>
      </c>
      <c r="S451" t="str">
        <f t="shared" ref="S451:S514" si="95">IF(OR(R451="",ISBLANK(R451)), "Unknown", R451)</f>
        <v>Second Class</v>
      </c>
      <c r="T451">
        <v>6</v>
      </c>
      <c r="U451">
        <v>3270.36</v>
      </c>
      <c r="V451">
        <v>0</v>
      </c>
      <c r="W451">
        <f t="shared" ref="W451:W514" si="96">IF(ISBLANK(V451), IF(AND(ISNUMBER(T451), ISNUMBER(U451)), 0, ""), IF(V451&lt;0, V451, IF(V451&gt;0.5, V451, V451)))</f>
        <v>0</v>
      </c>
      <c r="X451" t="str">
        <f t="shared" ref="X451:X514" si="97">IF(V451&lt;0,"INVALID_NEGATIVE_DISCOUNT",IF(V451&gt;0.5,"INVALID_DISCOUNT_ABOVE_50PCT",IF(AND(ISBLANK(V451), ISNUMBER(T451), ISNUMBER(U451)),"DISCOUNT_MISSING_SET_TO_0","")))</f>
        <v/>
      </c>
      <c r="Y451">
        <v>19622.16</v>
      </c>
      <c r="Z451">
        <f t="shared" ref="Z451:Z514" si="98">T451 * U451 * (1 - W451)</f>
        <v>19622.16</v>
      </c>
      <c r="AA451">
        <v>14271.27</v>
      </c>
      <c r="AB451">
        <v>5350.89</v>
      </c>
      <c r="AC451">
        <f t="shared" ref="AC451:AC514" si="99">Z451-U451</f>
        <v>16351.8</v>
      </c>
      <c r="AD451" s="6">
        <f t="shared" ref="AD451:AD514" si="100">IF(Z451&lt;&gt;0, AC451 / Z451, 0)</f>
        <v>0.83333333333333326</v>
      </c>
      <c r="AE451" t="s">
        <v>32</v>
      </c>
      <c r="AF451" t="s">
        <v>33</v>
      </c>
      <c r="AG451">
        <f t="shared" ref="AG451:AG514" si="101">MONTH(D451)</f>
        <v>6</v>
      </c>
      <c r="AH451">
        <f t="shared" ref="AH451:AH514" si="102">YEAR(D451)</f>
        <v>2024</v>
      </c>
      <c r="AI451" t="str">
        <f t="shared" ref="AI451:AI514" si="103">IF(OR(X451="INVALID_NEGATIVE_DISCOUNT",X451="INVALID_DISCOUNT_ABOVE_50PCT",F451="ERROR: Ship before order"),"INVALID",IF(OR(L451="Unknown",S451="Unknown",X451="DISCOUNT_MISSING_SET_TO_0"),"WARNING","CLEAN"))</f>
        <v>CLEAN</v>
      </c>
    </row>
    <row r="452" spans="1:35">
      <c r="A452" t="s">
        <v>1448</v>
      </c>
      <c r="B452">
        <f t="shared" si="91"/>
        <v>1</v>
      </c>
      <c r="C452" t="str">
        <f>IF(COUNTIF($A$2:A452, A452)&gt;1, "DUPLICATE_FLAGGED_FOR_REVIEW", "")</f>
        <v/>
      </c>
      <c r="D452" s="3">
        <v>45997</v>
      </c>
      <c r="E452" s="2">
        <v>45827</v>
      </c>
      <c r="F452" s="2" t="str">
        <f t="shared" si="92"/>
        <v>ERROR: Ship before order</v>
      </c>
      <c r="G452" s="4">
        <f t="shared" si="93"/>
        <v>-170</v>
      </c>
      <c r="H452" t="s">
        <v>1449</v>
      </c>
      <c r="I452" t="s">
        <v>62</v>
      </c>
      <c r="J452" t="s">
        <v>90</v>
      </c>
      <c r="K452" t="s">
        <v>25</v>
      </c>
      <c r="L452" t="str">
        <f t="shared" si="94"/>
        <v>North</v>
      </c>
      <c r="M452" t="s">
        <v>350</v>
      </c>
      <c r="N452" t="s">
        <v>351</v>
      </c>
      <c r="O452" t="s">
        <v>41</v>
      </c>
      <c r="P452" t="s">
        <v>66</v>
      </c>
      <c r="Q452" t="s">
        <v>1450</v>
      </c>
      <c r="R452" t="s">
        <v>59</v>
      </c>
      <c r="S452" t="str">
        <f t="shared" si="95"/>
        <v>Standard Class</v>
      </c>
      <c r="T452">
        <v>9</v>
      </c>
      <c r="U452">
        <v>2278.5700000000002</v>
      </c>
      <c r="V452">
        <v>0.25</v>
      </c>
      <c r="W452">
        <f t="shared" si="96"/>
        <v>0.25</v>
      </c>
      <c r="X452" t="str">
        <f t="shared" si="97"/>
        <v/>
      </c>
      <c r="Y452">
        <v>15380.35</v>
      </c>
      <c r="Z452">
        <f t="shared" si="98"/>
        <v>15380.3475</v>
      </c>
      <c r="AA452">
        <v>9907.3700000000008</v>
      </c>
      <c r="AB452">
        <v>5472.98</v>
      </c>
      <c r="AC452">
        <f t="shared" si="99"/>
        <v>13101.7775</v>
      </c>
      <c r="AD452" s="6">
        <f t="shared" si="100"/>
        <v>0.85185185185185186</v>
      </c>
      <c r="AE452" t="s">
        <v>32</v>
      </c>
      <c r="AF452" t="s">
        <v>33</v>
      </c>
      <c r="AG452">
        <f t="shared" si="101"/>
        <v>12</v>
      </c>
      <c r="AH452">
        <f t="shared" si="102"/>
        <v>2025</v>
      </c>
      <c r="AI452" t="str">
        <f t="shared" si="103"/>
        <v>INVALID</v>
      </c>
    </row>
    <row r="453" spans="1:35">
      <c r="A453" t="s">
        <v>1451</v>
      </c>
      <c r="B453">
        <f t="shared" si="91"/>
        <v>1</v>
      </c>
      <c r="C453" t="str">
        <f>IF(COUNTIF($A$2:A453, A453)&gt;1, "DUPLICATE_FLAGGED_FOR_REVIEW", "")</f>
        <v/>
      </c>
      <c r="D453" s="3">
        <v>45375</v>
      </c>
      <c r="E453" s="2">
        <v>45377</v>
      </c>
      <c r="F453" s="2" t="str">
        <f t="shared" si="92"/>
        <v>OK</v>
      </c>
      <c r="G453" s="4">
        <f t="shared" si="93"/>
        <v>2</v>
      </c>
      <c r="H453" t="s">
        <v>1452</v>
      </c>
      <c r="I453" t="s">
        <v>141</v>
      </c>
      <c r="J453" t="s">
        <v>37</v>
      </c>
      <c r="K453" t="s">
        <v>25</v>
      </c>
      <c r="L453" t="str">
        <f t="shared" si="94"/>
        <v>North</v>
      </c>
      <c r="M453" t="s">
        <v>236</v>
      </c>
      <c r="N453" t="s">
        <v>237</v>
      </c>
      <c r="O453" t="s">
        <v>28</v>
      </c>
      <c r="P453" t="s">
        <v>29</v>
      </c>
      <c r="Q453" t="s">
        <v>1453</v>
      </c>
      <c r="R453" t="s">
        <v>31</v>
      </c>
      <c r="S453" t="str">
        <f t="shared" si="95"/>
        <v>Second Class</v>
      </c>
      <c r="T453">
        <v>8</v>
      </c>
      <c r="U453">
        <v>1917.64</v>
      </c>
      <c r="V453">
        <v>0.15</v>
      </c>
      <c r="W453">
        <f t="shared" si="96"/>
        <v>0.15</v>
      </c>
      <c r="X453" t="str">
        <f t="shared" si="97"/>
        <v/>
      </c>
      <c r="Y453">
        <v>13039.95</v>
      </c>
      <c r="Z453">
        <f t="shared" si="98"/>
        <v>13039.952000000001</v>
      </c>
      <c r="AA453">
        <v>11127.82</v>
      </c>
      <c r="AB453">
        <v>1912.13</v>
      </c>
      <c r="AC453">
        <f t="shared" si="99"/>
        <v>11122.312000000002</v>
      </c>
      <c r="AD453" s="6">
        <f t="shared" si="100"/>
        <v>0.85294117647058831</v>
      </c>
      <c r="AE453" t="s">
        <v>32</v>
      </c>
      <c r="AF453" t="s">
        <v>68</v>
      </c>
      <c r="AG453">
        <f t="shared" si="101"/>
        <v>3</v>
      </c>
      <c r="AH453">
        <f t="shared" si="102"/>
        <v>2024</v>
      </c>
      <c r="AI453" t="str">
        <f t="shared" si="103"/>
        <v>CLEAN</v>
      </c>
    </row>
    <row r="454" spans="1:35">
      <c r="A454" t="s">
        <v>1454</v>
      </c>
      <c r="B454">
        <f t="shared" si="91"/>
        <v>1</v>
      </c>
      <c r="C454" t="str">
        <f>IF(COUNTIF($A$2:A454, A454)&gt;1, "DUPLICATE_FLAGGED_FOR_REVIEW", "")</f>
        <v/>
      </c>
      <c r="D454" s="3">
        <v>45422</v>
      </c>
      <c r="E454" s="2">
        <v>45428</v>
      </c>
      <c r="F454" s="2" t="str">
        <f t="shared" si="92"/>
        <v>OK</v>
      </c>
      <c r="G454" s="4">
        <f t="shared" si="93"/>
        <v>6</v>
      </c>
      <c r="H454" t="s">
        <v>1455</v>
      </c>
      <c r="I454" t="s">
        <v>162</v>
      </c>
      <c r="J454" t="s">
        <v>95</v>
      </c>
      <c r="K454" t="s">
        <v>38</v>
      </c>
      <c r="L454" t="str">
        <f t="shared" si="94"/>
        <v>East</v>
      </c>
      <c r="M454" t="s">
        <v>228</v>
      </c>
      <c r="N454" t="s">
        <v>229</v>
      </c>
      <c r="O454" t="s">
        <v>74</v>
      </c>
      <c r="P454" t="s">
        <v>75</v>
      </c>
      <c r="Q454" t="s">
        <v>1456</v>
      </c>
      <c r="R454" t="s">
        <v>31</v>
      </c>
      <c r="S454" t="str">
        <f t="shared" si="95"/>
        <v>Second Class</v>
      </c>
      <c r="T454">
        <v>6</v>
      </c>
      <c r="U454">
        <v>2013.33</v>
      </c>
      <c r="V454">
        <v>0.2</v>
      </c>
      <c r="W454">
        <f t="shared" si="96"/>
        <v>0.2</v>
      </c>
      <c r="X454" t="str">
        <f t="shared" si="97"/>
        <v/>
      </c>
      <c r="Y454">
        <v>9663.98</v>
      </c>
      <c r="Z454">
        <f t="shared" si="98"/>
        <v>9663.9840000000004</v>
      </c>
      <c r="AA454">
        <v>5628.93</v>
      </c>
      <c r="AB454">
        <v>4035.05</v>
      </c>
      <c r="AC454">
        <f t="shared" si="99"/>
        <v>7650.6540000000005</v>
      </c>
      <c r="AD454" s="6">
        <f t="shared" si="100"/>
        <v>0.79166666666666663</v>
      </c>
      <c r="AE454" t="s">
        <v>32</v>
      </c>
      <c r="AF454" t="s">
        <v>33</v>
      </c>
      <c r="AG454">
        <f t="shared" si="101"/>
        <v>5</v>
      </c>
      <c r="AH454">
        <f t="shared" si="102"/>
        <v>2024</v>
      </c>
      <c r="AI454" t="str">
        <f t="shared" si="103"/>
        <v>CLEAN</v>
      </c>
    </row>
    <row r="455" spans="1:35">
      <c r="A455" t="s">
        <v>1457</v>
      </c>
      <c r="B455">
        <f t="shared" si="91"/>
        <v>1</v>
      </c>
      <c r="C455" t="str">
        <f>IF(COUNTIF($A$2:A455, A455)&gt;1, "DUPLICATE_FLAGGED_FOR_REVIEW", "")</f>
        <v/>
      </c>
      <c r="D455" s="3">
        <v>45721</v>
      </c>
      <c r="E455" s="2">
        <v>45788</v>
      </c>
      <c r="F455" s="2" t="str">
        <f t="shared" si="92"/>
        <v>OK</v>
      </c>
      <c r="G455" s="4">
        <f t="shared" si="93"/>
        <v>67</v>
      </c>
      <c r="H455" t="s">
        <v>1458</v>
      </c>
      <c r="I455" t="s">
        <v>141</v>
      </c>
      <c r="J455" t="s">
        <v>37</v>
      </c>
      <c r="K455" t="s">
        <v>63</v>
      </c>
      <c r="L455" t="str">
        <f t="shared" si="94"/>
        <v>West</v>
      </c>
      <c r="M455" t="s">
        <v>72</v>
      </c>
      <c r="N455" t="s">
        <v>73</v>
      </c>
      <c r="O455" t="s">
        <v>28</v>
      </c>
      <c r="P455" t="s">
        <v>91</v>
      </c>
      <c r="Q455" t="s">
        <v>1459</v>
      </c>
      <c r="R455" t="s">
        <v>44</v>
      </c>
      <c r="S455" t="str">
        <f t="shared" si="95"/>
        <v>Same Day</v>
      </c>
      <c r="T455">
        <v>5</v>
      </c>
      <c r="U455">
        <v>1483.52</v>
      </c>
      <c r="V455">
        <v>0</v>
      </c>
      <c r="W455">
        <f t="shared" si="96"/>
        <v>0</v>
      </c>
      <c r="X455" t="str">
        <f t="shared" si="97"/>
        <v/>
      </c>
      <c r="Y455">
        <v>7417.6</v>
      </c>
      <c r="Z455">
        <f t="shared" si="98"/>
        <v>7417.6</v>
      </c>
      <c r="AA455">
        <v>4955.8599999999997</v>
      </c>
      <c r="AB455">
        <v>2461.7399999999998</v>
      </c>
      <c r="AC455">
        <f t="shared" si="99"/>
        <v>5934.08</v>
      </c>
      <c r="AD455" s="6">
        <f t="shared" si="100"/>
        <v>0.79999999999999993</v>
      </c>
      <c r="AE455" t="s">
        <v>32</v>
      </c>
      <c r="AF455" t="s">
        <v>33</v>
      </c>
      <c r="AG455">
        <f t="shared" si="101"/>
        <v>3</v>
      </c>
      <c r="AH455">
        <f t="shared" si="102"/>
        <v>2025</v>
      </c>
      <c r="AI455" t="str">
        <f t="shared" si="103"/>
        <v>CLEAN</v>
      </c>
    </row>
    <row r="456" spans="1:35">
      <c r="A456" t="s">
        <v>1460</v>
      </c>
      <c r="B456">
        <f t="shared" si="91"/>
        <v>1</v>
      </c>
      <c r="C456" t="str">
        <f>IF(COUNTIF($A$2:A456, A456)&gt;1, "DUPLICATE_FLAGGED_FOR_REVIEW", "")</f>
        <v/>
      </c>
      <c r="D456" s="3">
        <v>45739</v>
      </c>
      <c r="E456" s="2">
        <v>45744</v>
      </c>
      <c r="F456" s="2" t="str">
        <f t="shared" si="92"/>
        <v>OK</v>
      </c>
      <c r="G456" s="4">
        <f t="shared" si="93"/>
        <v>5</v>
      </c>
      <c r="H456" t="s">
        <v>1461</v>
      </c>
      <c r="I456" t="s">
        <v>71</v>
      </c>
      <c r="J456" t="s">
        <v>37</v>
      </c>
      <c r="K456" t="s">
        <v>25</v>
      </c>
      <c r="L456" t="str">
        <f t="shared" si="94"/>
        <v>North</v>
      </c>
      <c r="M456" t="s">
        <v>26</v>
      </c>
      <c r="N456" t="s">
        <v>27</v>
      </c>
      <c r="O456" t="s">
        <v>41</v>
      </c>
      <c r="P456" t="s">
        <v>57</v>
      </c>
      <c r="Q456" t="s">
        <v>1462</v>
      </c>
      <c r="R456" t="s">
        <v>59</v>
      </c>
      <c r="S456" t="str">
        <f t="shared" si="95"/>
        <v>Standard Class</v>
      </c>
      <c r="T456">
        <v>9</v>
      </c>
      <c r="U456">
        <v>3298</v>
      </c>
      <c r="V456">
        <v>0.15</v>
      </c>
      <c r="W456">
        <f t="shared" si="96"/>
        <v>0.15</v>
      </c>
      <c r="X456" t="str">
        <f t="shared" si="97"/>
        <v/>
      </c>
      <c r="Y456">
        <v>25229.7</v>
      </c>
      <c r="Z456">
        <f t="shared" si="98"/>
        <v>25229.7</v>
      </c>
      <c r="AA456">
        <v>20170.43</v>
      </c>
      <c r="AB456">
        <v>5059.2700000000004</v>
      </c>
      <c r="AC456">
        <f t="shared" si="99"/>
        <v>21931.7</v>
      </c>
      <c r="AD456" s="6">
        <f t="shared" si="100"/>
        <v>0.86928104575163401</v>
      </c>
      <c r="AE456" t="s">
        <v>32</v>
      </c>
      <c r="AF456" t="s">
        <v>33</v>
      </c>
      <c r="AG456">
        <f t="shared" si="101"/>
        <v>3</v>
      </c>
      <c r="AH456">
        <f t="shared" si="102"/>
        <v>2025</v>
      </c>
      <c r="AI456" t="str">
        <f t="shared" si="103"/>
        <v>CLEAN</v>
      </c>
    </row>
    <row r="457" spans="1:35">
      <c r="A457" t="s">
        <v>1463</v>
      </c>
      <c r="B457">
        <f t="shared" si="91"/>
        <v>1</v>
      </c>
      <c r="C457" t="str">
        <f>IF(COUNTIF($A$2:A457, A457)&gt;1, "DUPLICATE_FLAGGED_FOR_REVIEW", "")</f>
        <v/>
      </c>
      <c r="D457" s="3">
        <v>45491</v>
      </c>
      <c r="E457" s="2">
        <v>45495</v>
      </c>
      <c r="F457" s="2" t="str">
        <f t="shared" si="92"/>
        <v>OK</v>
      </c>
      <c r="G457" s="4">
        <f t="shared" si="93"/>
        <v>4</v>
      </c>
      <c r="H457" t="s">
        <v>1464</v>
      </c>
      <c r="I457" t="s">
        <v>79</v>
      </c>
      <c r="J457" t="s">
        <v>37</v>
      </c>
      <c r="K457" t="s">
        <v>54</v>
      </c>
      <c r="L457" t="str">
        <f t="shared" si="94"/>
        <v>South</v>
      </c>
      <c r="M457" t="s">
        <v>55</v>
      </c>
      <c r="N457" t="s">
        <v>56</v>
      </c>
      <c r="O457" t="s">
        <v>28</v>
      </c>
      <c r="P457" t="s">
        <v>48</v>
      </c>
      <c r="Q457" t="s">
        <v>1465</v>
      </c>
      <c r="R457" t="s">
        <v>59</v>
      </c>
      <c r="S457" t="str">
        <f t="shared" si="95"/>
        <v>Standard Class</v>
      </c>
      <c r="T457">
        <v>4</v>
      </c>
      <c r="U457">
        <v>808.77</v>
      </c>
      <c r="V457">
        <v>0</v>
      </c>
      <c r="W457">
        <f t="shared" si="96"/>
        <v>0</v>
      </c>
      <c r="X457" t="str">
        <f t="shared" si="97"/>
        <v/>
      </c>
      <c r="Y457">
        <v>3235.08</v>
      </c>
      <c r="Z457">
        <f t="shared" si="98"/>
        <v>3235.08</v>
      </c>
      <c r="AA457">
        <v>1848.6</v>
      </c>
      <c r="AB457">
        <v>1386.48</v>
      </c>
      <c r="AC457">
        <f t="shared" si="99"/>
        <v>2426.31</v>
      </c>
      <c r="AD457" s="6">
        <f t="shared" si="100"/>
        <v>0.75</v>
      </c>
      <c r="AE457" t="s">
        <v>32</v>
      </c>
      <c r="AF457" t="s">
        <v>33</v>
      </c>
      <c r="AG457">
        <f t="shared" si="101"/>
        <v>7</v>
      </c>
      <c r="AH457">
        <f t="shared" si="102"/>
        <v>2024</v>
      </c>
      <c r="AI457" t="str">
        <f t="shared" si="103"/>
        <v>CLEAN</v>
      </c>
    </row>
    <row r="458" spans="1:35">
      <c r="A458" t="s">
        <v>1466</v>
      </c>
      <c r="B458">
        <f t="shared" si="91"/>
        <v>1</v>
      </c>
      <c r="C458" t="str">
        <f>IF(COUNTIF($A$2:A458, A458)&gt;1, "DUPLICATE_FLAGGED_FOR_REVIEW", "")</f>
        <v/>
      </c>
      <c r="D458" s="3">
        <v>45342</v>
      </c>
      <c r="E458" s="2">
        <v>45342</v>
      </c>
      <c r="F458" s="2" t="str">
        <f t="shared" si="92"/>
        <v>OK</v>
      </c>
      <c r="G458" s="4">
        <f t="shared" si="93"/>
        <v>0</v>
      </c>
      <c r="H458" t="s">
        <v>1467</v>
      </c>
      <c r="I458" t="s">
        <v>79</v>
      </c>
      <c r="J458" t="s">
        <v>90</v>
      </c>
      <c r="K458" t="s">
        <v>25</v>
      </c>
      <c r="L458" t="str">
        <f t="shared" si="94"/>
        <v>North</v>
      </c>
      <c r="M458" t="s">
        <v>136</v>
      </c>
      <c r="N458" t="s">
        <v>137</v>
      </c>
      <c r="O458" t="s">
        <v>74</v>
      </c>
      <c r="P458" t="s">
        <v>75</v>
      </c>
      <c r="Q458" t="s">
        <v>1468</v>
      </c>
      <c r="R458" t="s">
        <v>44</v>
      </c>
      <c r="S458" t="str">
        <f t="shared" si="95"/>
        <v>Same Day</v>
      </c>
      <c r="T458">
        <v>5</v>
      </c>
      <c r="U458">
        <v>2604.91</v>
      </c>
      <c r="V458">
        <v>0.15</v>
      </c>
      <c r="W458">
        <f t="shared" si="96"/>
        <v>0.15</v>
      </c>
      <c r="X458" t="str">
        <f t="shared" si="97"/>
        <v/>
      </c>
      <c r="Y458">
        <v>11070.87</v>
      </c>
      <c r="Z458">
        <f t="shared" si="98"/>
        <v>11070.867499999998</v>
      </c>
      <c r="AA458">
        <v>6623.61</v>
      </c>
      <c r="AB458">
        <v>4447.26</v>
      </c>
      <c r="AC458">
        <f t="shared" si="99"/>
        <v>8465.9574999999986</v>
      </c>
      <c r="AD458" s="6">
        <f t="shared" si="100"/>
        <v>0.76470588235294112</v>
      </c>
      <c r="AE458" t="s">
        <v>32</v>
      </c>
      <c r="AF458" t="s">
        <v>103</v>
      </c>
      <c r="AG458">
        <f t="shared" si="101"/>
        <v>2</v>
      </c>
      <c r="AH458">
        <f t="shared" si="102"/>
        <v>2024</v>
      </c>
      <c r="AI458" t="str">
        <f t="shared" si="103"/>
        <v>CLEAN</v>
      </c>
    </row>
    <row r="459" spans="1:35">
      <c r="A459" t="s">
        <v>1469</v>
      </c>
      <c r="B459">
        <f t="shared" si="91"/>
        <v>1</v>
      </c>
      <c r="C459" t="str">
        <f>IF(COUNTIF($A$2:A459, A459)&gt;1, "DUPLICATE_FLAGGED_FOR_REVIEW", "")</f>
        <v/>
      </c>
      <c r="D459" s="3">
        <v>45387</v>
      </c>
      <c r="E459" s="2">
        <v>45416</v>
      </c>
      <c r="F459" s="2" t="str">
        <f t="shared" si="92"/>
        <v>OK</v>
      </c>
      <c r="G459" s="4">
        <f t="shared" si="93"/>
        <v>29</v>
      </c>
      <c r="H459" t="s">
        <v>1470</v>
      </c>
      <c r="I459" t="s">
        <v>36</v>
      </c>
      <c r="J459" t="s">
        <v>37</v>
      </c>
      <c r="K459" t="s">
        <v>63</v>
      </c>
      <c r="L459" t="str">
        <f t="shared" si="94"/>
        <v>West</v>
      </c>
      <c r="M459" t="s">
        <v>190</v>
      </c>
      <c r="N459" t="s">
        <v>191</v>
      </c>
      <c r="O459" t="s">
        <v>41</v>
      </c>
      <c r="P459" t="s">
        <v>42</v>
      </c>
      <c r="Q459" t="s">
        <v>1471</v>
      </c>
      <c r="R459" t="s">
        <v>59</v>
      </c>
      <c r="S459" t="str">
        <f t="shared" si="95"/>
        <v>Standard Class</v>
      </c>
      <c r="T459">
        <v>7</v>
      </c>
      <c r="U459">
        <v>2851.51</v>
      </c>
      <c r="V459">
        <v>0</v>
      </c>
      <c r="W459">
        <f t="shared" si="96"/>
        <v>0</v>
      </c>
      <c r="X459" t="str">
        <f t="shared" si="97"/>
        <v/>
      </c>
      <c r="Y459">
        <v>19960.57</v>
      </c>
      <c r="Z459">
        <f t="shared" si="98"/>
        <v>19960.57</v>
      </c>
      <c r="AA459">
        <v>16603.599999999999</v>
      </c>
      <c r="AB459">
        <v>3356.97</v>
      </c>
      <c r="AC459">
        <f t="shared" si="99"/>
        <v>17109.059999999998</v>
      </c>
      <c r="AD459" s="6">
        <f t="shared" si="100"/>
        <v>0.85714285714285698</v>
      </c>
      <c r="AE459" t="s">
        <v>32</v>
      </c>
      <c r="AF459" t="s">
        <v>33</v>
      </c>
      <c r="AG459">
        <f t="shared" si="101"/>
        <v>4</v>
      </c>
      <c r="AH459">
        <f t="shared" si="102"/>
        <v>2024</v>
      </c>
      <c r="AI459" t="str">
        <f t="shared" si="103"/>
        <v>CLEAN</v>
      </c>
    </row>
    <row r="460" spans="1:35">
      <c r="A460" t="s">
        <v>1472</v>
      </c>
      <c r="B460">
        <f t="shared" si="91"/>
        <v>1</v>
      </c>
      <c r="C460" t="str">
        <f>IF(COUNTIF($A$2:A460, A460)&gt;1, "DUPLICATE_FLAGGED_FOR_REVIEW", "")</f>
        <v/>
      </c>
      <c r="D460" s="3">
        <v>45332</v>
      </c>
      <c r="E460" s="2">
        <v>45598</v>
      </c>
      <c r="F460" s="2" t="str">
        <f t="shared" si="92"/>
        <v>OK</v>
      </c>
      <c r="G460" s="4">
        <f t="shared" si="93"/>
        <v>266</v>
      </c>
      <c r="H460" t="s">
        <v>1473</v>
      </c>
      <c r="I460" t="s">
        <v>23</v>
      </c>
      <c r="J460" t="s">
        <v>90</v>
      </c>
      <c r="K460" t="s">
        <v>25</v>
      </c>
      <c r="L460" t="str">
        <f t="shared" si="94"/>
        <v>North</v>
      </c>
      <c r="M460" t="s">
        <v>26</v>
      </c>
      <c r="N460" t="s">
        <v>27</v>
      </c>
      <c r="O460" t="s">
        <v>74</v>
      </c>
      <c r="P460" t="s">
        <v>171</v>
      </c>
      <c r="Q460" t="s">
        <v>1474</v>
      </c>
      <c r="R460" t="s">
        <v>31</v>
      </c>
      <c r="S460" t="str">
        <f t="shared" si="95"/>
        <v>Second Class</v>
      </c>
      <c r="T460">
        <v>3</v>
      </c>
      <c r="U460">
        <v>3183.72</v>
      </c>
      <c r="V460">
        <v>0.1</v>
      </c>
      <c r="W460">
        <f t="shared" si="96"/>
        <v>0.1</v>
      </c>
      <c r="X460" t="str">
        <f t="shared" si="97"/>
        <v/>
      </c>
      <c r="Y460">
        <v>8596.0400000000009</v>
      </c>
      <c r="Z460">
        <f t="shared" si="98"/>
        <v>8596.0439999999999</v>
      </c>
      <c r="AA460">
        <v>5378.16</v>
      </c>
      <c r="AB460">
        <v>3217.88</v>
      </c>
      <c r="AC460">
        <f t="shared" si="99"/>
        <v>5412.3240000000005</v>
      </c>
      <c r="AD460" s="6">
        <f t="shared" si="100"/>
        <v>0.62962962962962965</v>
      </c>
      <c r="AE460" t="s">
        <v>32</v>
      </c>
      <c r="AF460" t="s">
        <v>33</v>
      </c>
      <c r="AG460">
        <f t="shared" si="101"/>
        <v>2</v>
      </c>
      <c r="AH460">
        <f t="shared" si="102"/>
        <v>2024</v>
      </c>
      <c r="AI460" t="str">
        <f t="shared" si="103"/>
        <v>CLEAN</v>
      </c>
    </row>
    <row r="461" spans="1:35">
      <c r="A461" t="s">
        <v>1475</v>
      </c>
      <c r="B461">
        <f t="shared" si="91"/>
        <v>1</v>
      </c>
      <c r="C461" t="str">
        <f>IF(COUNTIF($A$2:A461, A461)&gt;1, "DUPLICATE_FLAGGED_FOR_REVIEW", "")</f>
        <v/>
      </c>
      <c r="D461" s="3">
        <v>45379</v>
      </c>
      <c r="E461" s="2">
        <v>45386</v>
      </c>
      <c r="F461" s="2" t="str">
        <f t="shared" si="92"/>
        <v>OK</v>
      </c>
      <c r="G461" s="4">
        <f t="shared" si="93"/>
        <v>7</v>
      </c>
      <c r="H461" t="s">
        <v>1476</v>
      </c>
      <c r="I461" t="s">
        <v>62</v>
      </c>
      <c r="J461" t="s">
        <v>95</v>
      </c>
      <c r="K461" t="s">
        <v>63</v>
      </c>
      <c r="L461" t="str">
        <f t="shared" si="94"/>
        <v>West</v>
      </c>
      <c r="M461" t="s">
        <v>190</v>
      </c>
      <c r="N461" t="s">
        <v>191</v>
      </c>
      <c r="O461" t="s">
        <v>28</v>
      </c>
      <c r="P461" t="s">
        <v>29</v>
      </c>
      <c r="Q461" t="s">
        <v>1477</v>
      </c>
      <c r="R461" t="s">
        <v>50</v>
      </c>
      <c r="S461" t="str">
        <f t="shared" si="95"/>
        <v>First Class</v>
      </c>
      <c r="T461">
        <v>3</v>
      </c>
      <c r="U461">
        <v>1150.92</v>
      </c>
      <c r="V461">
        <v>0</v>
      </c>
      <c r="W461">
        <f t="shared" si="96"/>
        <v>0</v>
      </c>
      <c r="X461" t="str">
        <f t="shared" si="97"/>
        <v/>
      </c>
      <c r="Y461">
        <v>3452.76</v>
      </c>
      <c r="Z461">
        <f t="shared" si="98"/>
        <v>3452.76</v>
      </c>
      <c r="AA461">
        <v>2077.96</v>
      </c>
      <c r="AB461">
        <v>1374.8</v>
      </c>
      <c r="AC461">
        <f t="shared" si="99"/>
        <v>2301.84</v>
      </c>
      <c r="AD461" s="6">
        <f t="shared" si="100"/>
        <v>0.66666666666666663</v>
      </c>
      <c r="AE461" t="s">
        <v>32</v>
      </c>
      <c r="AF461" t="s">
        <v>33</v>
      </c>
      <c r="AG461">
        <f t="shared" si="101"/>
        <v>3</v>
      </c>
      <c r="AH461">
        <f t="shared" si="102"/>
        <v>2024</v>
      </c>
      <c r="AI461" t="str">
        <f t="shared" si="103"/>
        <v>CLEAN</v>
      </c>
    </row>
    <row r="462" spans="1:35">
      <c r="A462" t="s">
        <v>1478</v>
      </c>
      <c r="B462">
        <f t="shared" si="91"/>
        <v>1</v>
      </c>
      <c r="C462" t="str">
        <f>IF(COUNTIF($A$2:A462, A462)&gt;1, "DUPLICATE_FLAGGED_FOR_REVIEW", "")</f>
        <v/>
      </c>
      <c r="D462" s="3">
        <v>45930</v>
      </c>
      <c r="E462" s="2">
        <v>45936</v>
      </c>
      <c r="F462" s="2" t="str">
        <f t="shared" si="92"/>
        <v>OK</v>
      </c>
      <c r="G462" s="4">
        <f t="shared" si="93"/>
        <v>6</v>
      </c>
      <c r="H462" t="s">
        <v>1479</v>
      </c>
      <c r="I462" t="s">
        <v>128</v>
      </c>
      <c r="J462" t="s">
        <v>90</v>
      </c>
      <c r="K462" t="s">
        <v>2760</v>
      </c>
      <c r="L462" t="str">
        <f t="shared" si="94"/>
        <v>Unknown</v>
      </c>
      <c r="M462" t="s">
        <v>26</v>
      </c>
      <c r="N462" t="s">
        <v>27</v>
      </c>
      <c r="O462" t="s">
        <v>74</v>
      </c>
      <c r="P462" t="s">
        <v>80</v>
      </c>
      <c r="Q462" t="s">
        <v>1480</v>
      </c>
      <c r="R462" t="s">
        <v>31</v>
      </c>
      <c r="S462" t="str">
        <f t="shared" si="95"/>
        <v>Second Class</v>
      </c>
      <c r="T462">
        <v>9</v>
      </c>
      <c r="U462">
        <v>1359.88</v>
      </c>
      <c r="V462">
        <v>0.05</v>
      </c>
      <c r="W462">
        <f t="shared" si="96"/>
        <v>0.05</v>
      </c>
      <c r="X462" t="str">
        <f t="shared" si="97"/>
        <v/>
      </c>
      <c r="Y462">
        <v>11626.97</v>
      </c>
      <c r="Z462">
        <f t="shared" si="98"/>
        <v>11626.974000000002</v>
      </c>
      <c r="AA462">
        <v>7394.07</v>
      </c>
      <c r="AB462">
        <v>4232.8999999999996</v>
      </c>
      <c r="AC462">
        <f t="shared" si="99"/>
        <v>10267.094000000001</v>
      </c>
      <c r="AD462" s="6">
        <f t="shared" si="100"/>
        <v>0.88304093567251452</v>
      </c>
      <c r="AE462" t="s">
        <v>32</v>
      </c>
      <c r="AF462" t="s">
        <v>33</v>
      </c>
      <c r="AG462">
        <f t="shared" si="101"/>
        <v>9</v>
      </c>
      <c r="AH462">
        <f t="shared" si="102"/>
        <v>2025</v>
      </c>
      <c r="AI462" t="str">
        <f t="shared" si="103"/>
        <v>WARNING</v>
      </c>
    </row>
    <row r="463" spans="1:35">
      <c r="A463" t="s">
        <v>1481</v>
      </c>
      <c r="B463">
        <f t="shared" si="91"/>
        <v>1</v>
      </c>
      <c r="C463" t="str">
        <f>IF(COUNTIF($A$2:A463, A463)&gt;1, "DUPLICATE_FLAGGED_FOR_REVIEW", "")</f>
        <v/>
      </c>
      <c r="D463" s="3">
        <v>45802</v>
      </c>
      <c r="E463" s="2">
        <v>45803</v>
      </c>
      <c r="F463" s="2" t="str">
        <f t="shared" si="92"/>
        <v>OK</v>
      </c>
      <c r="G463" s="4">
        <f t="shared" si="93"/>
        <v>1</v>
      </c>
      <c r="H463" t="s">
        <v>1482</v>
      </c>
      <c r="I463" t="s">
        <v>79</v>
      </c>
      <c r="J463" t="s">
        <v>90</v>
      </c>
      <c r="K463" t="s">
        <v>54</v>
      </c>
      <c r="L463" t="str">
        <f t="shared" si="94"/>
        <v>South</v>
      </c>
      <c r="M463" t="s">
        <v>84</v>
      </c>
      <c r="N463" t="s">
        <v>85</v>
      </c>
      <c r="O463" t="s">
        <v>28</v>
      </c>
      <c r="P463" t="s">
        <v>29</v>
      </c>
      <c r="Q463" t="s">
        <v>1483</v>
      </c>
      <c r="R463" t="s">
        <v>59</v>
      </c>
      <c r="S463" t="str">
        <f t="shared" si="95"/>
        <v>Standard Class</v>
      </c>
      <c r="T463">
        <v>3</v>
      </c>
      <c r="U463">
        <v>3378.15</v>
      </c>
      <c r="V463">
        <v>0.15</v>
      </c>
      <c r="W463">
        <f t="shared" si="96"/>
        <v>0.15</v>
      </c>
      <c r="X463" t="str">
        <f t="shared" si="97"/>
        <v/>
      </c>
      <c r="Y463">
        <v>8614.2800000000007</v>
      </c>
      <c r="Z463">
        <f t="shared" si="98"/>
        <v>8614.2825000000012</v>
      </c>
      <c r="AA463">
        <v>7052.08</v>
      </c>
      <c r="AB463">
        <v>1562.2</v>
      </c>
      <c r="AC463">
        <f t="shared" si="99"/>
        <v>5236.1325000000015</v>
      </c>
      <c r="AD463" s="6">
        <f t="shared" si="100"/>
        <v>0.60784313725490202</v>
      </c>
      <c r="AE463" t="s">
        <v>32</v>
      </c>
      <c r="AF463" t="s">
        <v>33</v>
      </c>
      <c r="AG463">
        <f t="shared" si="101"/>
        <v>5</v>
      </c>
      <c r="AH463">
        <f t="shared" si="102"/>
        <v>2025</v>
      </c>
      <c r="AI463" t="str">
        <f t="shared" si="103"/>
        <v>CLEAN</v>
      </c>
    </row>
    <row r="464" spans="1:35">
      <c r="A464" t="s">
        <v>1484</v>
      </c>
      <c r="B464">
        <f t="shared" si="91"/>
        <v>1</v>
      </c>
      <c r="C464" t="str">
        <f>IF(COUNTIF($A$2:A464, A464)&gt;1, "DUPLICATE_FLAGGED_FOR_REVIEW", "")</f>
        <v/>
      </c>
      <c r="D464" s="3">
        <v>45558</v>
      </c>
      <c r="E464" s="2">
        <v>45560</v>
      </c>
      <c r="F464" s="2" t="str">
        <f t="shared" si="92"/>
        <v>OK</v>
      </c>
      <c r="G464" s="4">
        <f t="shared" si="93"/>
        <v>2</v>
      </c>
      <c r="H464" t="s">
        <v>1485</v>
      </c>
      <c r="I464" t="s">
        <v>128</v>
      </c>
      <c r="J464" t="s">
        <v>95</v>
      </c>
      <c r="K464" t="s">
        <v>25</v>
      </c>
      <c r="L464" t="str">
        <f t="shared" si="94"/>
        <v>North</v>
      </c>
      <c r="M464" t="s">
        <v>350</v>
      </c>
      <c r="N464" t="s">
        <v>351</v>
      </c>
      <c r="O464" t="s">
        <v>28</v>
      </c>
      <c r="P464" t="s">
        <v>153</v>
      </c>
      <c r="Q464" t="s">
        <v>1486</v>
      </c>
      <c r="R464" t="s">
        <v>50</v>
      </c>
      <c r="S464" t="str">
        <f t="shared" si="95"/>
        <v>First Class</v>
      </c>
      <c r="T464">
        <v>2</v>
      </c>
      <c r="U464">
        <v>1275.1400000000001</v>
      </c>
      <c r="V464">
        <v>0.2</v>
      </c>
      <c r="W464">
        <f t="shared" si="96"/>
        <v>0.2</v>
      </c>
      <c r="X464" t="str">
        <f t="shared" si="97"/>
        <v/>
      </c>
      <c r="Y464">
        <v>2040.22</v>
      </c>
      <c r="Z464">
        <f t="shared" si="98"/>
        <v>2040.2240000000002</v>
      </c>
      <c r="AA464">
        <v>1395.71</v>
      </c>
      <c r="AB464">
        <v>644.51</v>
      </c>
      <c r="AC464">
        <f t="shared" si="99"/>
        <v>765.08400000000006</v>
      </c>
      <c r="AD464" s="6">
        <f t="shared" si="100"/>
        <v>0.375</v>
      </c>
      <c r="AE464" t="s">
        <v>32</v>
      </c>
      <c r="AF464" t="s">
        <v>33</v>
      </c>
      <c r="AG464">
        <f t="shared" si="101"/>
        <v>9</v>
      </c>
      <c r="AH464">
        <f t="shared" si="102"/>
        <v>2024</v>
      </c>
      <c r="AI464" t="str">
        <f t="shared" si="103"/>
        <v>CLEAN</v>
      </c>
    </row>
    <row r="465" spans="1:35">
      <c r="A465" t="s">
        <v>1487</v>
      </c>
      <c r="B465">
        <f t="shared" si="91"/>
        <v>1</v>
      </c>
      <c r="C465" t="str">
        <f>IF(COUNTIF($A$2:A465, A465)&gt;1, "DUPLICATE_FLAGGED_FOR_REVIEW", "")</f>
        <v/>
      </c>
      <c r="D465" s="3">
        <v>45695</v>
      </c>
      <c r="E465" s="2">
        <v>45696</v>
      </c>
      <c r="F465" s="2" t="str">
        <f t="shared" si="92"/>
        <v>OK</v>
      </c>
      <c r="G465" s="4">
        <f t="shared" si="93"/>
        <v>1</v>
      </c>
      <c r="H465" t="s">
        <v>1488</v>
      </c>
      <c r="I465" t="s">
        <v>53</v>
      </c>
      <c r="J465" t="s">
        <v>90</v>
      </c>
      <c r="K465" t="s">
        <v>63</v>
      </c>
      <c r="L465" t="str">
        <f t="shared" si="94"/>
        <v>West</v>
      </c>
      <c r="M465" t="s">
        <v>72</v>
      </c>
      <c r="N465" t="s">
        <v>73</v>
      </c>
      <c r="O465" t="s">
        <v>74</v>
      </c>
      <c r="P465" t="s">
        <v>171</v>
      </c>
      <c r="Q465" t="s">
        <v>1489</v>
      </c>
      <c r="R465" t="s">
        <v>59</v>
      </c>
      <c r="S465" t="str">
        <f t="shared" si="95"/>
        <v>Standard Class</v>
      </c>
      <c r="T465">
        <v>4</v>
      </c>
      <c r="U465">
        <v>889.5</v>
      </c>
      <c r="V465">
        <v>0.2</v>
      </c>
      <c r="W465">
        <f t="shared" si="96"/>
        <v>0.2</v>
      </c>
      <c r="X465" t="str">
        <f t="shared" si="97"/>
        <v/>
      </c>
      <c r="Y465">
        <v>2846.4</v>
      </c>
      <c r="Z465">
        <f t="shared" si="98"/>
        <v>2846.4</v>
      </c>
      <c r="AA465">
        <v>2132.37</v>
      </c>
      <c r="AB465">
        <v>714.03</v>
      </c>
      <c r="AC465">
        <f t="shared" si="99"/>
        <v>1956.9</v>
      </c>
      <c r="AD465" s="6">
        <f t="shared" si="100"/>
        <v>0.6875</v>
      </c>
      <c r="AE465" t="s">
        <v>32</v>
      </c>
      <c r="AF465" t="s">
        <v>33</v>
      </c>
      <c r="AG465">
        <f t="shared" si="101"/>
        <v>2</v>
      </c>
      <c r="AH465">
        <f t="shared" si="102"/>
        <v>2025</v>
      </c>
      <c r="AI465" t="str">
        <f t="shared" si="103"/>
        <v>CLEAN</v>
      </c>
    </row>
    <row r="466" spans="1:35">
      <c r="A466" t="s">
        <v>1490</v>
      </c>
      <c r="B466">
        <f t="shared" si="91"/>
        <v>1</v>
      </c>
      <c r="C466" t="str">
        <f>IF(COUNTIF($A$2:A466, A466)&gt;1, "DUPLICATE_FLAGGED_FOR_REVIEW", "")</f>
        <v/>
      </c>
      <c r="D466" s="3">
        <v>45727</v>
      </c>
      <c r="E466" s="2">
        <v>45731</v>
      </c>
      <c r="F466" s="2" t="str">
        <f t="shared" si="92"/>
        <v>OK</v>
      </c>
      <c r="G466" s="4">
        <f t="shared" si="93"/>
        <v>4</v>
      </c>
      <c r="H466" t="s">
        <v>1491</v>
      </c>
      <c r="I466" t="s">
        <v>53</v>
      </c>
      <c r="J466" t="s">
        <v>90</v>
      </c>
      <c r="K466" t="s">
        <v>38</v>
      </c>
      <c r="L466" t="str">
        <f t="shared" si="94"/>
        <v>East</v>
      </c>
      <c r="M466" t="s">
        <v>145</v>
      </c>
      <c r="N466" t="s">
        <v>146</v>
      </c>
      <c r="O466" t="s">
        <v>28</v>
      </c>
      <c r="P466" t="s">
        <v>29</v>
      </c>
      <c r="Q466" t="s">
        <v>1492</v>
      </c>
      <c r="R466" t="s">
        <v>44</v>
      </c>
      <c r="S466" t="str">
        <f t="shared" si="95"/>
        <v>Same Day</v>
      </c>
      <c r="T466">
        <v>3</v>
      </c>
      <c r="U466">
        <v>3625.08</v>
      </c>
      <c r="V466">
        <v>0.05</v>
      </c>
      <c r="W466">
        <f t="shared" si="96"/>
        <v>0.05</v>
      </c>
      <c r="X466" t="str">
        <f t="shared" si="97"/>
        <v/>
      </c>
      <c r="Y466">
        <v>10331.48</v>
      </c>
      <c r="Z466">
        <f t="shared" si="98"/>
        <v>10331.477999999999</v>
      </c>
      <c r="AA466">
        <v>7131.91</v>
      </c>
      <c r="AB466">
        <v>3199.57</v>
      </c>
      <c r="AC466">
        <f t="shared" si="99"/>
        <v>6706.3979999999992</v>
      </c>
      <c r="AD466" s="6">
        <f t="shared" si="100"/>
        <v>0.64912280701754388</v>
      </c>
      <c r="AE466" t="s">
        <v>111</v>
      </c>
      <c r="AF466" t="s">
        <v>68</v>
      </c>
      <c r="AG466">
        <f t="shared" si="101"/>
        <v>3</v>
      </c>
      <c r="AH466">
        <f t="shared" si="102"/>
        <v>2025</v>
      </c>
      <c r="AI466" t="str">
        <f t="shared" si="103"/>
        <v>CLEAN</v>
      </c>
    </row>
    <row r="467" spans="1:35">
      <c r="A467" t="s">
        <v>1493</v>
      </c>
      <c r="B467">
        <f t="shared" si="91"/>
        <v>1</v>
      </c>
      <c r="C467" t="str">
        <f>IF(COUNTIF($A$2:A467, A467)&gt;1, "DUPLICATE_FLAGGED_FOR_REVIEW", "")</f>
        <v/>
      </c>
      <c r="D467" s="3">
        <v>45320</v>
      </c>
      <c r="E467" s="2">
        <v>45328</v>
      </c>
      <c r="F467" s="2" t="str">
        <f t="shared" si="92"/>
        <v>OK</v>
      </c>
      <c r="G467" s="4">
        <f t="shared" si="93"/>
        <v>8</v>
      </c>
      <c r="H467" t="s">
        <v>1494</v>
      </c>
      <c r="I467" t="s">
        <v>128</v>
      </c>
      <c r="J467" t="s">
        <v>37</v>
      </c>
      <c r="K467" t="s">
        <v>63</v>
      </c>
      <c r="L467" t="str">
        <f t="shared" si="94"/>
        <v>West</v>
      </c>
      <c r="M467" t="s">
        <v>72</v>
      </c>
      <c r="N467" t="s">
        <v>73</v>
      </c>
      <c r="O467" t="s">
        <v>28</v>
      </c>
      <c r="P467" t="s">
        <v>91</v>
      </c>
      <c r="Q467" t="s">
        <v>1495</v>
      </c>
      <c r="R467" t="s">
        <v>59</v>
      </c>
      <c r="S467" t="str">
        <f t="shared" si="95"/>
        <v>Standard Class</v>
      </c>
      <c r="T467">
        <v>2</v>
      </c>
      <c r="U467">
        <v>1258.9000000000001</v>
      </c>
      <c r="V467">
        <v>0</v>
      </c>
      <c r="W467">
        <f t="shared" si="96"/>
        <v>0</v>
      </c>
      <c r="X467" t="str">
        <f t="shared" si="97"/>
        <v/>
      </c>
      <c r="Y467">
        <v>2517.8000000000002</v>
      </c>
      <c r="Z467">
        <f t="shared" si="98"/>
        <v>2517.8000000000002</v>
      </c>
      <c r="AA467">
        <v>1478.54</v>
      </c>
      <c r="AB467">
        <v>1039.26</v>
      </c>
      <c r="AC467">
        <f t="shared" si="99"/>
        <v>1258.9000000000001</v>
      </c>
      <c r="AD467" s="6">
        <f t="shared" si="100"/>
        <v>0.5</v>
      </c>
      <c r="AE467" t="s">
        <v>32</v>
      </c>
      <c r="AF467" t="s">
        <v>33</v>
      </c>
      <c r="AG467">
        <f t="shared" si="101"/>
        <v>1</v>
      </c>
      <c r="AH467">
        <f t="shared" si="102"/>
        <v>2024</v>
      </c>
      <c r="AI467" t="str">
        <f t="shared" si="103"/>
        <v>CLEAN</v>
      </c>
    </row>
    <row r="468" spans="1:35">
      <c r="A468" t="s">
        <v>1496</v>
      </c>
      <c r="B468">
        <f t="shared" si="91"/>
        <v>1</v>
      </c>
      <c r="C468" t="str">
        <f>IF(COUNTIF($A$2:A468, A468)&gt;1, "DUPLICATE_FLAGGED_FOR_REVIEW", "")</f>
        <v/>
      </c>
      <c r="D468" s="3">
        <v>45295</v>
      </c>
      <c r="E468" s="2">
        <v>45505</v>
      </c>
      <c r="F468" s="2" t="str">
        <f t="shared" si="92"/>
        <v>OK</v>
      </c>
      <c r="G468" s="4">
        <f t="shared" si="93"/>
        <v>210</v>
      </c>
      <c r="H468" t="s">
        <v>1497</v>
      </c>
      <c r="I468" t="s">
        <v>36</v>
      </c>
      <c r="J468" t="s">
        <v>37</v>
      </c>
      <c r="K468" t="s">
        <v>38</v>
      </c>
      <c r="L468" t="str">
        <f t="shared" si="94"/>
        <v>East</v>
      </c>
      <c r="M468" t="s">
        <v>145</v>
      </c>
      <c r="N468" t="s">
        <v>146</v>
      </c>
      <c r="O468" t="s">
        <v>74</v>
      </c>
      <c r="P468" t="s">
        <v>75</v>
      </c>
      <c r="Q468" t="s">
        <v>1498</v>
      </c>
      <c r="R468" t="s">
        <v>44</v>
      </c>
      <c r="S468" t="str">
        <f t="shared" si="95"/>
        <v>Same Day</v>
      </c>
      <c r="T468">
        <v>9</v>
      </c>
      <c r="U468">
        <v>1591.96</v>
      </c>
      <c r="V468">
        <v>0.2</v>
      </c>
      <c r="W468">
        <f t="shared" si="96"/>
        <v>0.2</v>
      </c>
      <c r="X468" t="str">
        <f t="shared" si="97"/>
        <v/>
      </c>
      <c r="Y468">
        <v>11462.11</v>
      </c>
      <c r="Z468">
        <f t="shared" si="98"/>
        <v>11462.112000000001</v>
      </c>
      <c r="AA468">
        <v>7105.48</v>
      </c>
      <c r="AB468">
        <v>4356.63</v>
      </c>
      <c r="AC468">
        <f t="shared" si="99"/>
        <v>9870.1520000000019</v>
      </c>
      <c r="AD468" s="6">
        <f t="shared" si="100"/>
        <v>0.86111111111111116</v>
      </c>
      <c r="AE468" t="s">
        <v>32</v>
      </c>
      <c r="AF468" t="s">
        <v>33</v>
      </c>
      <c r="AG468">
        <f t="shared" si="101"/>
        <v>1</v>
      </c>
      <c r="AH468">
        <f t="shared" si="102"/>
        <v>2024</v>
      </c>
      <c r="AI468" t="str">
        <f t="shared" si="103"/>
        <v>CLEAN</v>
      </c>
    </row>
    <row r="469" spans="1:35">
      <c r="A469" t="s">
        <v>1499</v>
      </c>
      <c r="B469">
        <f t="shared" si="91"/>
        <v>1</v>
      </c>
      <c r="C469" t="str">
        <f>IF(COUNTIF($A$2:A469, A469)&gt;1, "DUPLICATE_FLAGGED_FOR_REVIEW", "")</f>
        <v/>
      </c>
      <c r="D469" s="3">
        <v>45524</v>
      </c>
      <c r="E469" s="2">
        <v>45525</v>
      </c>
      <c r="F469" s="2" t="str">
        <f t="shared" si="92"/>
        <v>OK</v>
      </c>
      <c r="G469" s="4">
        <f t="shared" si="93"/>
        <v>1</v>
      </c>
      <c r="H469" t="s">
        <v>1500</v>
      </c>
      <c r="I469" t="s">
        <v>89</v>
      </c>
      <c r="J469" t="s">
        <v>90</v>
      </c>
      <c r="K469" t="s">
        <v>38</v>
      </c>
      <c r="L469" t="str">
        <f t="shared" si="94"/>
        <v>East</v>
      </c>
      <c r="M469" t="s">
        <v>39</v>
      </c>
      <c r="N469" t="s">
        <v>40</v>
      </c>
      <c r="O469" t="s">
        <v>74</v>
      </c>
      <c r="P469" t="s">
        <v>80</v>
      </c>
      <c r="Q469" t="s">
        <v>1501</v>
      </c>
      <c r="R469" t="s">
        <v>50</v>
      </c>
      <c r="S469" t="str">
        <f t="shared" si="95"/>
        <v>First Class</v>
      </c>
      <c r="T469">
        <v>5</v>
      </c>
      <c r="U469">
        <v>4288.33</v>
      </c>
      <c r="V469">
        <v>0.1</v>
      </c>
      <c r="W469">
        <f t="shared" si="96"/>
        <v>0.1</v>
      </c>
      <c r="X469" t="str">
        <f t="shared" si="97"/>
        <v/>
      </c>
      <c r="Y469">
        <v>19297.490000000002</v>
      </c>
      <c r="Z469">
        <f t="shared" si="98"/>
        <v>19297.485000000001</v>
      </c>
      <c r="AA469">
        <v>15451.66</v>
      </c>
      <c r="AB469">
        <v>3845.83</v>
      </c>
      <c r="AC469">
        <f t="shared" si="99"/>
        <v>15009.155000000001</v>
      </c>
      <c r="AD469" s="6">
        <f t="shared" si="100"/>
        <v>0.77777777777777779</v>
      </c>
      <c r="AE469" t="s">
        <v>102</v>
      </c>
      <c r="AF469" t="s">
        <v>68</v>
      </c>
      <c r="AG469">
        <f t="shared" si="101"/>
        <v>8</v>
      </c>
      <c r="AH469">
        <f t="shared" si="102"/>
        <v>2024</v>
      </c>
      <c r="AI469" t="str">
        <f t="shared" si="103"/>
        <v>CLEAN</v>
      </c>
    </row>
    <row r="470" spans="1:35">
      <c r="A470" t="s">
        <v>1502</v>
      </c>
      <c r="B470">
        <f t="shared" si="91"/>
        <v>1</v>
      </c>
      <c r="C470" t="str">
        <f>IF(COUNTIF($A$2:A470, A470)&gt;1, "DUPLICATE_FLAGGED_FOR_REVIEW", "")</f>
        <v/>
      </c>
      <c r="D470" s="3">
        <v>45666</v>
      </c>
      <c r="E470" s="2">
        <v>45664</v>
      </c>
      <c r="F470" s="2" t="str">
        <f t="shared" si="92"/>
        <v>ERROR: Ship before order</v>
      </c>
      <c r="G470" s="4">
        <f t="shared" si="93"/>
        <v>-2</v>
      </c>
      <c r="H470" t="s">
        <v>1503</v>
      </c>
      <c r="I470" t="s">
        <v>128</v>
      </c>
      <c r="J470" t="s">
        <v>95</v>
      </c>
      <c r="K470" t="s">
        <v>38</v>
      </c>
      <c r="L470" t="str">
        <f t="shared" si="94"/>
        <v>East</v>
      </c>
      <c r="M470" t="s">
        <v>99</v>
      </c>
      <c r="N470" t="s">
        <v>100</v>
      </c>
      <c r="O470" t="s">
        <v>28</v>
      </c>
      <c r="P470" t="s">
        <v>153</v>
      </c>
      <c r="Q470" t="s">
        <v>1504</v>
      </c>
      <c r="R470" t="s">
        <v>31</v>
      </c>
      <c r="S470" t="str">
        <f t="shared" si="95"/>
        <v>Second Class</v>
      </c>
      <c r="T470">
        <v>3</v>
      </c>
      <c r="U470">
        <v>2188.33</v>
      </c>
      <c r="V470">
        <v>0</v>
      </c>
      <c r="W470">
        <f t="shared" si="96"/>
        <v>0</v>
      </c>
      <c r="X470" t="str">
        <f t="shared" si="97"/>
        <v/>
      </c>
      <c r="Y470">
        <v>6564.99</v>
      </c>
      <c r="Z470">
        <f t="shared" si="98"/>
        <v>6564.99</v>
      </c>
      <c r="AA470">
        <v>5407.24</v>
      </c>
      <c r="AB470">
        <v>1157.75</v>
      </c>
      <c r="AC470">
        <f t="shared" si="99"/>
        <v>4376.66</v>
      </c>
      <c r="AD470" s="6">
        <f t="shared" si="100"/>
        <v>0.66666666666666663</v>
      </c>
      <c r="AE470" t="s">
        <v>32</v>
      </c>
      <c r="AF470" t="s">
        <v>33</v>
      </c>
      <c r="AG470">
        <f t="shared" si="101"/>
        <v>1</v>
      </c>
      <c r="AH470">
        <f t="shared" si="102"/>
        <v>2025</v>
      </c>
      <c r="AI470" t="str">
        <f t="shared" si="103"/>
        <v>INVALID</v>
      </c>
    </row>
    <row r="471" spans="1:35">
      <c r="A471" t="s">
        <v>1505</v>
      </c>
      <c r="B471">
        <f t="shared" si="91"/>
        <v>1</v>
      </c>
      <c r="C471" t="str">
        <f>IF(COUNTIF($A$2:A471, A471)&gt;1, "DUPLICATE_FLAGGED_FOR_REVIEW", "")</f>
        <v/>
      </c>
      <c r="D471" s="3">
        <v>45310</v>
      </c>
      <c r="E471" s="2">
        <v>45316</v>
      </c>
      <c r="F471" s="2" t="str">
        <f t="shared" si="92"/>
        <v>OK</v>
      </c>
      <c r="G471" s="4">
        <f t="shared" si="93"/>
        <v>6</v>
      </c>
      <c r="H471" t="s">
        <v>1506</v>
      </c>
      <c r="I471" t="s">
        <v>89</v>
      </c>
      <c r="J471" t="s">
        <v>90</v>
      </c>
      <c r="K471" t="s">
        <v>63</v>
      </c>
      <c r="L471" t="str">
        <f t="shared" si="94"/>
        <v>West</v>
      </c>
      <c r="M471" t="s">
        <v>190</v>
      </c>
      <c r="N471" t="s">
        <v>191</v>
      </c>
      <c r="O471" t="s">
        <v>74</v>
      </c>
      <c r="P471" t="s">
        <v>80</v>
      </c>
      <c r="Q471" t="s">
        <v>1507</v>
      </c>
      <c r="R471" t="s">
        <v>50</v>
      </c>
      <c r="S471" t="str">
        <f t="shared" si="95"/>
        <v>First Class</v>
      </c>
      <c r="T471">
        <v>3</v>
      </c>
      <c r="U471">
        <v>1041.6600000000001</v>
      </c>
      <c r="V471">
        <v>0.1</v>
      </c>
      <c r="W471">
        <f t="shared" si="96"/>
        <v>0.1</v>
      </c>
      <c r="X471" t="str">
        <f t="shared" si="97"/>
        <v/>
      </c>
      <c r="Y471">
        <v>2812.48</v>
      </c>
      <c r="Z471">
        <f t="shared" si="98"/>
        <v>2812.4820000000004</v>
      </c>
      <c r="AA471">
        <v>2282.12</v>
      </c>
      <c r="AB471">
        <v>530.36</v>
      </c>
      <c r="AC471">
        <f t="shared" si="99"/>
        <v>1770.8220000000003</v>
      </c>
      <c r="AD471" s="6">
        <f t="shared" si="100"/>
        <v>0.62962962962962965</v>
      </c>
      <c r="AE471" t="s">
        <v>32</v>
      </c>
      <c r="AF471" t="s">
        <v>33</v>
      </c>
      <c r="AG471">
        <f t="shared" si="101"/>
        <v>1</v>
      </c>
      <c r="AH471">
        <f t="shared" si="102"/>
        <v>2024</v>
      </c>
      <c r="AI471" t="str">
        <f t="shared" si="103"/>
        <v>CLEAN</v>
      </c>
    </row>
    <row r="472" spans="1:35">
      <c r="A472" t="s">
        <v>1508</v>
      </c>
      <c r="B472">
        <f t="shared" si="91"/>
        <v>1</v>
      </c>
      <c r="C472" t="str">
        <f>IF(COUNTIF($A$2:A472, A472)&gt;1, "DUPLICATE_FLAGGED_FOR_REVIEW", "")</f>
        <v/>
      </c>
      <c r="D472" s="3">
        <v>45501</v>
      </c>
      <c r="E472" s="2">
        <v>45504</v>
      </c>
      <c r="F472" s="2" t="str">
        <f t="shared" si="92"/>
        <v>OK</v>
      </c>
      <c r="G472" s="4">
        <f t="shared" si="93"/>
        <v>3</v>
      </c>
      <c r="H472" t="s">
        <v>1509</v>
      </c>
      <c r="I472" t="s">
        <v>89</v>
      </c>
      <c r="J472" t="s">
        <v>24</v>
      </c>
      <c r="K472" t="s">
        <v>25</v>
      </c>
      <c r="L472" t="str">
        <f t="shared" si="94"/>
        <v>North</v>
      </c>
      <c r="M472" t="s">
        <v>26</v>
      </c>
      <c r="N472" t="s">
        <v>27</v>
      </c>
      <c r="O472" t="s">
        <v>41</v>
      </c>
      <c r="P472" t="s">
        <v>42</v>
      </c>
      <c r="Q472" t="s">
        <v>1510</v>
      </c>
      <c r="R472" t="s">
        <v>44</v>
      </c>
      <c r="S472" t="str">
        <f t="shared" si="95"/>
        <v>Same Day</v>
      </c>
      <c r="T472">
        <v>2</v>
      </c>
      <c r="U472">
        <v>4424.78</v>
      </c>
      <c r="V472">
        <v>0.2</v>
      </c>
      <c r="W472">
        <f t="shared" si="96"/>
        <v>0.2</v>
      </c>
      <c r="X472" t="str">
        <f t="shared" si="97"/>
        <v/>
      </c>
      <c r="Y472">
        <v>7079.65</v>
      </c>
      <c r="Z472">
        <f t="shared" si="98"/>
        <v>7079.6480000000001</v>
      </c>
      <c r="AA472">
        <v>4465.91</v>
      </c>
      <c r="AB472">
        <v>2613.7399999999998</v>
      </c>
      <c r="AC472">
        <f t="shared" si="99"/>
        <v>2654.8680000000004</v>
      </c>
      <c r="AD472" s="6">
        <f t="shared" si="100"/>
        <v>0.37500000000000006</v>
      </c>
      <c r="AE472" t="s">
        <v>32</v>
      </c>
      <c r="AF472" t="s">
        <v>33</v>
      </c>
      <c r="AG472">
        <f t="shared" si="101"/>
        <v>7</v>
      </c>
      <c r="AH472">
        <f t="shared" si="102"/>
        <v>2024</v>
      </c>
      <c r="AI472" t="str">
        <f t="shared" si="103"/>
        <v>CLEAN</v>
      </c>
    </row>
    <row r="473" spans="1:35">
      <c r="A473" t="s">
        <v>1511</v>
      </c>
      <c r="B473">
        <f t="shared" si="91"/>
        <v>1</v>
      </c>
      <c r="C473" t="str">
        <f>IF(COUNTIF($A$2:A473, A473)&gt;1, "DUPLICATE_FLAGGED_FOR_REVIEW", "")</f>
        <v/>
      </c>
      <c r="D473" s="3">
        <v>45333</v>
      </c>
      <c r="E473" s="2">
        <v>45337</v>
      </c>
      <c r="F473" s="2" t="str">
        <f t="shared" si="92"/>
        <v>OK</v>
      </c>
      <c r="G473" s="4">
        <f t="shared" si="93"/>
        <v>4</v>
      </c>
      <c r="H473" t="s">
        <v>1512</v>
      </c>
      <c r="I473" t="s">
        <v>264</v>
      </c>
      <c r="J473" t="s">
        <v>24</v>
      </c>
      <c r="K473" t="s">
        <v>54</v>
      </c>
      <c r="L473" t="str">
        <f t="shared" si="94"/>
        <v>South</v>
      </c>
      <c r="M473" t="s">
        <v>55</v>
      </c>
      <c r="N473" t="s">
        <v>56</v>
      </c>
      <c r="O473" t="s">
        <v>28</v>
      </c>
      <c r="P473" t="s">
        <v>153</v>
      </c>
      <c r="Q473" t="s">
        <v>1513</v>
      </c>
      <c r="R473" t="s">
        <v>59</v>
      </c>
      <c r="S473" t="str">
        <f t="shared" si="95"/>
        <v>Standard Class</v>
      </c>
      <c r="T473">
        <v>3</v>
      </c>
      <c r="U473">
        <v>3019.14</v>
      </c>
      <c r="V473">
        <v>0.25</v>
      </c>
      <c r="W473">
        <f t="shared" si="96"/>
        <v>0.25</v>
      </c>
      <c r="X473" t="str">
        <f t="shared" si="97"/>
        <v/>
      </c>
      <c r="Y473">
        <v>6793.07</v>
      </c>
      <c r="Z473">
        <f t="shared" si="98"/>
        <v>6793.0650000000005</v>
      </c>
      <c r="AA473">
        <v>4985.22</v>
      </c>
      <c r="AB473">
        <v>1807.85</v>
      </c>
      <c r="AC473">
        <f t="shared" si="99"/>
        <v>3773.9250000000006</v>
      </c>
      <c r="AD473" s="6">
        <f t="shared" si="100"/>
        <v>0.55555555555555558</v>
      </c>
      <c r="AE473" t="s">
        <v>32</v>
      </c>
      <c r="AF473" t="s">
        <v>33</v>
      </c>
      <c r="AG473">
        <f t="shared" si="101"/>
        <v>2</v>
      </c>
      <c r="AH473">
        <f t="shared" si="102"/>
        <v>2024</v>
      </c>
      <c r="AI473" t="str">
        <f t="shared" si="103"/>
        <v>CLEAN</v>
      </c>
    </row>
    <row r="474" spans="1:35">
      <c r="A474" t="s">
        <v>1514</v>
      </c>
      <c r="B474">
        <f t="shared" si="91"/>
        <v>1</v>
      </c>
      <c r="C474" t="str">
        <f>IF(COUNTIF($A$2:A474, A474)&gt;1, "DUPLICATE_FLAGGED_FOR_REVIEW", "")</f>
        <v/>
      </c>
      <c r="D474" s="3">
        <v>45353</v>
      </c>
      <c r="E474" s="2">
        <v>45476</v>
      </c>
      <c r="F474" s="2" t="str">
        <f t="shared" si="92"/>
        <v>OK</v>
      </c>
      <c r="G474" s="4">
        <f t="shared" si="93"/>
        <v>123</v>
      </c>
      <c r="H474" t="s">
        <v>1515</v>
      </c>
      <c r="I474" t="s">
        <v>141</v>
      </c>
      <c r="J474" t="s">
        <v>90</v>
      </c>
      <c r="K474" t="s">
        <v>38</v>
      </c>
      <c r="L474" t="str">
        <f t="shared" si="94"/>
        <v>East</v>
      </c>
      <c r="M474" t="s">
        <v>39</v>
      </c>
      <c r="N474" t="s">
        <v>40</v>
      </c>
      <c r="O474" t="s">
        <v>28</v>
      </c>
      <c r="P474" t="s">
        <v>124</v>
      </c>
      <c r="Q474" t="s">
        <v>1516</v>
      </c>
      <c r="R474" t="s">
        <v>59</v>
      </c>
      <c r="S474" t="str">
        <f t="shared" si="95"/>
        <v>Standard Class</v>
      </c>
      <c r="T474">
        <v>7</v>
      </c>
      <c r="U474">
        <v>263.45999999999998</v>
      </c>
      <c r="V474">
        <v>0</v>
      </c>
      <c r="W474">
        <f t="shared" si="96"/>
        <v>0</v>
      </c>
      <c r="X474" t="str">
        <f t="shared" si="97"/>
        <v/>
      </c>
      <c r="Y474">
        <v>1844.22</v>
      </c>
      <c r="Z474">
        <f t="shared" si="98"/>
        <v>1844.2199999999998</v>
      </c>
      <c r="AA474">
        <v>1094.21</v>
      </c>
      <c r="AB474">
        <v>750.01</v>
      </c>
      <c r="AC474">
        <f t="shared" si="99"/>
        <v>1580.7599999999998</v>
      </c>
      <c r="AD474" s="6">
        <f t="shared" si="100"/>
        <v>0.8571428571428571</v>
      </c>
      <c r="AE474" t="s">
        <v>32</v>
      </c>
      <c r="AF474" t="s">
        <v>33</v>
      </c>
      <c r="AG474">
        <f t="shared" si="101"/>
        <v>3</v>
      </c>
      <c r="AH474">
        <f t="shared" si="102"/>
        <v>2024</v>
      </c>
      <c r="AI474" t="str">
        <f t="shared" si="103"/>
        <v>CLEAN</v>
      </c>
    </row>
    <row r="475" spans="1:35">
      <c r="A475" t="s">
        <v>1517</v>
      </c>
      <c r="B475">
        <f t="shared" si="91"/>
        <v>1</v>
      </c>
      <c r="C475" t="str">
        <f>IF(COUNTIF($A$2:A475, A475)&gt;1, "DUPLICATE_FLAGGED_FOR_REVIEW", "")</f>
        <v/>
      </c>
      <c r="D475" s="3">
        <v>45609</v>
      </c>
      <c r="E475" s="2">
        <v>45609</v>
      </c>
      <c r="F475" s="2" t="str">
        <f t="shared" si="92"/>
        <v>OK</v>
      </c>
      <c r="G475" s="4">
        <f t="shared" si="93"/>
        <v>0</v>
      </c>
      <c r="H475" t="s">
        <v>1518</v>
      </c>
      <c r="I475" t="s">
        <v>114</v>
      </c>
      <c r="J475" t="s">
        <v>24</v>
      </c>
      <c r="K475" t="s">
        <v>63</v>
      </c>
      <c r="L475" t="str">
        <f t="shared" si="94"/>
        <v>West</v>
      </c>
      <c r="M475" t="s">
        <v>190</v>
      </c>
      <c r="N475" t="s">
        <v>191</v>
      </c>
      <c r="O475" t="s">
        <v>74</v>
      </c>
      <c r="P475" t="s">
        <v>80</v>
      </c>
      <c r="Q475" t="s">
        <v>1519</v>
      </c>
      <c r="R475" t="s">
        <v>59</v>
      </c>
      <c r="S475" t="str">
        <f t="shared" si="95"/>
        <v>Standard Class</v>
      </c>
      <c r="T475">
        <v>6</v>
      </c>
      <c r="U475">
        <v>191.45</v>
      </c>
      <c r="V475">
        <v>0.2</v>
      </c>
      <c r="W475">
        <f t="shared" si="96"/>
        <v>0.2</v>
      </c>
      <c r="X475" t="str">
        <f t="shared" si="97"/>
        <v/>
      </c>
      <c r="Y475">
        <v>918.96</v>
      </c>
      <c r="Z475">
        <f t="shared" si="98"/>
        <v>918.95999999999992</v>
      </c>
      <c r="AA475">
        <v>554.17999999999995</v>
      </c>
      <c r="AB475">
        <v>364.78</v>
      </c>
      <c r="AC475">
        <f t="shared" si="99"/>
        <v>727.51</v>
      </c>
      <c r="AD475" s="6">
        <f t="shared" si="100"/>
        <v>0.79166666666666674</v>
      </c>
      <c r="AE475" t="s">
        <v>32</v>
      </c>
      <c r="AF475" t="s">
        <v>33</v>
      </c>
      <c r="AG475">
        <f t="shared" si="101"/>
        <v>11</v>
      </c>
      <c r="AH475">
        <f t="shared" si="102"/>
        <v>2024</v>
      </c>
      <c r="AI475" t="str">
        <f t="shared" si="103"/>
        <v>CLEAN</v>
      </c>
    </row>
    <row r="476" spans="1:35">
      <c r="A476" t="s">
        <v>1520</v>
      </c>
      <c r="B476">
        <f t="shared" si="91"/>
        <v>1</v>
      </c>
      <c r="C476" t="str">
        <f>IF(COUNTIF($A$2:A476, A476)&gt;1, "DUPLICATE_FLAGGED_FOR_REVIEW", "")</f>
        <v/>
      </c>
      <c r="D476" s="3">
        <v>45446</v>
      </c>
      <c r="E476" s="2">
        <v>45453</v>
      </c>
      <c r="F476" s="2" t="str">
        <f t="shared" si="92"/>
        <v>OK</v>
      </c>
      <c r="G476" s="4">
        <f t="shared" si="93"/>
        <v>7</v>
      </c>
      <c r="H476" t="s">
        <v>1521</v>
      </c>
      <c r="I476" t="s">
        <v>162</v>
      </c>
      <c r="J476" t="s">
        <v>90</v>
      </c>
      <c r="K476" t="s">
        <v>25</v>
      </c>
      <c r="L476" t="str">
        <f t="shared" si="94"/>
        <v>North</v>
      </c>
      <c r="M476" t="s">
        <v>122</v>
      </c>
      <c r="N476" t="s">
        <v>123</v>
      </c>
      <c r="O476" t="s">
        <v>41</v>
      </c>
      <c r="P476" t="s">
        <v>57</v>
      </c>
      <c r="Q476" t="s">
        <v>1522</v>
      </c>
      <c r="R476" t="s">
        <v>59</v>
      </c>
      <c r="S476" t="str">
        <f t="shared" si="95"/>
        <v>Standard Class</v>
      </c>
      <c r="T476">
        <v>3</v>
      </c>
      <c r="U476">
        <v>1633.57</v>
      </c>
      <c r="V476">
        <v>0</v>
      </c>
      <c r="W476">
        <f t="shared" si="96"/>
        <v>0</v>
      </c>
      <c r="X476" t="str">
        <f t="shared" si="97"/>
        <v/>
      </c>
      <c r="Y476">
        <v>4900.71</v>
      </c>
      <c r="Z476">
        <f t="shared" si="98"/>
        <v>4900.71</v>
      </c>
      <c r="AA476">
        <v>2713.9</v>
      </c>
      <c r="AB476">
        <v>2186.81</v>
      </c>
      <c r="AC476">
        <f t="shared" si="99"/>
        <v>3267.1400000000003</v>
      </c>
      <c r="AD476" s="6">
        <f t="shared" si="100"/>
        <v>0.66666666666666674</v>
      </c>
      <c r="AE476" t="s">
        <v>32</v>
      </c>
      <c r="AF476" t="s">
        <v>33</v>
      </c>
      <c r="AG476">
        <f t="shared" si="101"/>
        <v>6</v>
      </c>
      <c r="AH476">
        <f t="shared" si="102"/>
        <v>2024</v>
      </c>
      <c r="AI476" t="str">
        <f t="shared" si="103"/>
        <v>CLEAN</v>
      </c>
    </row>
    <row r="477" spans="1:35">
      <c r="A477" t="s">
        <v>1523</v>
      </c>
      <c r="B477">
        <f t="shared" si="91"/>
        <v>1</v>
      </c>
      <c r="C477" t="str">
        <f>IF(COUNTIF($A$2:A477, A477)&gt;1, "DUPLICATE_FLAGGED_FOR_REVIEW", "")</f>
        <v/>
      </c>
      <c r="D477" s="3">
        <v>45660</v>
      </c>
      <c r="E477" s="2">
        <v>45724</v>
      </c>
      <c r="F477" s="2" t="str">
        <f t="shared" si="92"/>
        <v>OK</v>
      </c>
      <c r="G477" s="4">
        <f t="shared" si="93"/>
        <v>64</v>
      </c>
      <c r="H477" t="s">
        <v>1524</v>
      </c>
      <c r="I477" t="s">
        <v>71</v>
      </c>
      <c r="J477" t="s">
        <v>24</v>
      </c>
      <c r="K477" t="s">
        <v>38</v>
      </c>
      <c r="L477" t="str">
        <f t="shared" si="94"/>
        <v>East</v>
      </c>
      <c r="M477" t="s">
        <v>99</v>
      </c>
      <c r="N477" t="s">
        <v>100</v>
      </c>
      <c r="O477" t="s">
        <v>41</v>
      </c>
      <c r="P477" t="s">
        <v>66</v>
      </c>
      <c r="Q477" t="s">
        <v>1525</v>
      </c>
      <c r="R477" t="s">
        <v>44</v>
      </c>
      <c r="S477" t="str">
        <f t="shared" si="95"/>
        <v>Same Day</v>
      </c>
      <c r="T477">
        <v>8</v>
      </c>
      <c r="U477">
        <v>3378.82</v>
      </c>
      <c r="V477">
        <v>0.25</v>
      </c>
      <c r="W477">
        <f t="shared" si="96"/>
        <v>0.25</v>
      </c>
      <c r="X477" t="str">
        <f t="shared" si="97"/>
        <v/>
      </c>
      <c r="Y477">
        <v>20272.919999999998</v>
      </c>
      <c r="Z477">
        <f t="shared" si="98"/>
        <v>20272.920000000002</v>
      </c>
      <c r="AA477">
        <v>15873.38</v>
      </c>
      <c r="AB477">
        <v>4399.54</v>
      </c>
      <c r="AC477">
        <f t="shared" si="99"/>
        <v>16894.100000000002</v>
      </c>
      <c r="AD477" s="6">
        <f t="shared" si="100"/>
        <v>0.83333333333333337</v>
      </c>
      <c r="AE477" t="s">
        <v>111</v>
      </c>
      <c r="AF477" t="s">
        <v>103</v>
      </c>
      <c r="AG477">
        <f t="shared" si="101"/>
        <v>1</v>
      </c>
      <c r="AH477">
        <f t="shared" si="102"/>
        <v>2025</v>
      </c>
      <c r="AI477" t="str">
        <f t="shared" si="103"/>
        <v>CLEAN</v>
      </c>
    </row>
    <row r="478" spans="1:35">
      <c r="A478" t="s">
        <v>1526</v>
      </c>
      <c r="B478">
        <f t="shared" si="91"/>
        <v>1</v>
      </c>
      <c r="C478" t="str">
        <f>IF(COUNTIF($A$2:A478, A478)&gt;1, "DUPLICATE_FLAGGED_FOR_REVIEW", "")</f>
        <v/>
      </c>
      <c r="D478" s="3">
        <v>45478</v>
      </c>
      <c r="E478" s="2">
        <v>45426</v>
      </c>
      <c r="F478" s="2" t="str">
        <f t="shared" si="92"/>
        <v>ERROR: Ship before order</v>
      </c>
      <c r="G478" s="4">
        <f t="shared" si="93"/>
        <v>-52</v>
      </c>
      <c r="H478" t="s">
        <v>1527</v>
      </c>
      <c r="I478" t="s">
        <v>132</v>
      </c>
      <c r="J478" t="s">
        <v>37</v>
      </c>
      <c r="K478" t="s">
        <v>25</v>
      </c>
      <c r="L478" t="str">
        <f t="shared" si="94"/>
        <v>North</v>
      </c>
      <c r="M478" t="s">
        <v>26</v>
      </c>
      <c r="N478" t="s">
        <v>27</v>
      </c>
      <c r="O478" t="s">
        <v>28</v>
      </c>
      <c r="P478" t="s">
        <v>124</v>
      </c>
      <c r="Q478" t="s">
        <v>1528</v>
      </c>
      <c r="R478" t="s">
        <v>50</v>
      </c>
      <c r="S478" t="str">
        <f t="shared" si="95"/>
        <v>First Class</v>
      </c>
      <c r="T478">
        <v>3</v>
      </c>
      <c r="U478">
        <v>383.58</v>
      </c>
      <c r="V478">
        <v>0.1</v>
      </c>
      <c r="W478">
        <f t="shared" si="96"/>
        <v>0.1</v>
      </c>
      <c r="X478" t="str">
        <f t="shared" si="97"/>
        <v/>
      </c>
      <c r="Y478">
        <v>1035.67</v>
      </c>
      <c r="Z478">
        <f t="shared" si="98"/>
        <v>1035.6659999999999</v>
      </c>
      <c r="AA478">
        <v>595.41999999999996</v>
      </c>
      <c r="AB478">
        <v>440.25</v>
      </c>
      <c r="AC478">
        <f t="shared" si="99"/>
        <v>652.08600000000001</v>
      </c>
      <c r="AD478" s="6">
        <f t="shared" si="100"/>
        <v>0.62962962962962965</v>
      </c>
      <c r="AE478" t="s">
        <v>32</v>
      </c>
      <c r="AF478" t="s">
        <v>33</v>
      </c>
      <c r="AG478">
        <f t="shared" si="101"/>
        <v>7</v>
      </c>
      <c r="AH478">
        <f t="shared" si="102"/>
        <v>2024</v>
      </c>
      <c r="AI478" t="str">
        <f t="shared" si="103"/>
        <v>INVALID</v>
      </c>
    </row>
    <row r="479" spans="1:35">
      <c r="A479" t="s">
        <v>1529</v>
      </c>
      <c r="B479">
        <f t="shared" si="91"/>
        <v>1</v>
      </c>
      <c r="C479" t="str">
        <f>IF(COUNTIF($A$2:A479, A479)&gt;1, "DUPLICATE_FLAGGED_FOR_REVIEW", "")</f>
        <v/>
      </c>
      <c r="D479" s="3">
        <v>45892</v>
      </c>
      <c r="E479" s="2">
        <v>45897</v>
      </c>
      <c r="F479" s="2" t="str">
        <f t="shared" si="92"/>
        <v>OK</v>
      </c>
      <c r="G479" s="4">
        <f t="shared" si="93"/>
        <v>5</v>
      </c>
      <c r="H479" t="s">
        <v>1530</v>
      </c>
      <c r="I479" t="s">
        <v>71</v>
      </c>
      <c r="J479" t="s">
        <v>90</v>
      </c>
      <c r="K479" t="s">
        <v>63</v>
      </c>
      <c r="L479" t="str">
        <f t="shared" si="94"/>
        <v>West</v>
      </c>
      <c r="M479" t="s">
        <v>180</v>
      </c>
      <c r="N479" t="s">
        <v>181</v>
      </c>
      <c r="O479" t="s">
        <v>41</v>
      </c>
      <c r="P479" t="s">
        <v>66</v>
      </c>
      <c r="Q479" t="s">
        <v>1531</v>
      </c>
      <c r="R479" t="s">
        <v>59</v>
      </c>
      <c r="S479" t="str">
        <f t="shared" si="95"/>
        <v>Standard Class</v>
      </c>
      <c r="T479">
        <v>6</v>
      </c>
      <c r="U479">
        <v>2193.23</v>
      </c>
      <c r="V479">
        <v>0.1</v>
      </c>
      <c r="W479">
        <f t="shared" si="96"/>
        <v>0.1</v>
      </c>
      <c r="X479" t="str">
        <f t="shared" si="97"/>
        <v/>
      </c>
      <c r="Y479">
        <v>11843.44</v>
      </c>
      <c r="Z479">
        <f t="shared" si="98"/>
        <v>11843.442000000001</v>
      </c>
      <c r="AA479">
        <v>9356.8799999999992</v>
      </c>
      <c r="AB479">
        <v>2486.56</v>
      </c>
      <c r="AC479">
        <f t="shared" si="99"/>
        <v>9650.2120000000014</v>
      </c>
      <c r="AD479" s="6">
        <f t="shared" si="100"/>
        <v>0.81481481481481488</v>
      </c>
      <c r="AE479" t="s">
        <v>32</v>
      </c>
      <c r="AF479" t="s">
        <v>68</v>
      </c>
      <c r="AG479">
        <f t="shared" si="101"/>
        <v>8</v>
      </c>
      <c r="AH479">
        <f t="shared" si="102"/>
        <v>2025</v>
      </c>
      <c r="AI479" t="str">
        <f t="shared" si="103"/>
        <v>CLEAN</v>
      </c>
    </row>
    <row r="480" spans="1:35">
      <c r="A480" t="s">
        <v>1532</v>
      </c>
      <c r="B480">
        <f t="shared" si="91"/>
        <v>1</v>
      </c>
      <c r="C480" t="str">
        <f>IF(COUNTIF($A$2:A480, A480)&gt;1, "DUPLICATE_FLAGGED_FOR_REVIEW", "")</f>
        <v/>
      </c>
      <c r="D480" s="3">
        <v>45541</v>
      </c>
      <c r="E480" s="2">
        <v>45456</v>
      </c>
      <c r="F480" s="2" t="str">
        <f t="shared" si="92"/>
        <v>ERROR: Ship before order</v>
      </c>
      <c r="G480" s="4">
        <f t="shared" si="93"/>
        <v>-85</v>
      </c>
      <c r="H480" t="s">
        <v>1533</v>
      </c>
      <c r="I480" t="s">
        <v>36</v>
      </c>
      <c r="J480" t="s">
        <v>95</v>
      </c>
      <c r="K480" t="s">
        <v>2760</v>
      </c>
      <c r="L480" t="str">
        <f t="shared" si="94"/>
        <v>Unknown</v>
      </c>
      <c r="M480" t="s">
        <v>136</v>
      </c>
      <c r="N480" t="s">
        <v>137</v>
      </c>
      <c r="O480" t="s">
        <v>74</v>
      </c>
      <c r="P480" t="s">
        <v>274</v>
      </c>
      <c r="Q480" t="s">
        <v>1534</v>
      </c>
      <c r="R480" t="s">
        <v>44</v>
      </c>
      <c r="S480" t="str">
        <f t="shared" si="95"/>
        <v>Same Day</v>
      </c>
      <c r="T480">
        <v>7</v>
      </c>
      <c r="U480">
        <v>4079.71</v>
      </c>
      <c r="V480">
        <v>0.1</v>
      </c>
      <c r="W480">
        <f t="shared" si="96"/>
        <v>0.1</v>
      </c>
      <c r="X480" t="str">
        <f t="shared" si="97"/>
        <v/>
      </c>
      <c r="Y480">
        <v>25702.17</v>
      </c>
      <c r="Z480">
        <f t="shared" si="98"/>
        <v>25702.173000000003</v>
      </c>
      <c r="AA480">
        <v>14571.48</v>
      </c>
      <c r="AB480">
        <v>11130.69</v>
      </c>
      <c r="AC480">
        <f t="shared" si="99"/>
        <v>21622.463000000003</v>
      </c>
      <c r="AD480" s="6">
        <f t="shared" si="100"/>
        <v>0.84126984126984128</v>
      </c>
      <c r="AE480" t="s">
        <v>102</v>
      </c>
      <c r="AF480" t="s">
        <v>103</v>
      </c>
      <c r="AG480">
        <f t="shared" si="101"/>
        <v>9</v>
      </c>
      <c r="AH480">
        <f t="shared" si="102"/>
        <v>2024</v>
      </c>
      <c r="AI480" t="str">
        <f t="shared" si="103"/>
        <v>INVALID</v>
      </c>
    </row>
    <row r="481" spans="1:35">
      <c r="A481" t="s">
        <v>1535</v>
      </c>
      <c r="B481">
        <f t="shared" si="91"/>
        <v>1</v>
      </c>
      <c r="C481" t="str">
        <f>IF(COUNTIF($A$2:A481, A481)&gt;1, "DUPLICATE_FLAGGED_FOR_REVIEW", "")</f>
        <v/>
      </c>
      <c r="D481" s="3">
        <v>45345</v>
      </c>
      <c r="E481" s="2">
        <v>45342</v>
      </c>
      <c r="F481" s="2" t="str">
        <f t="shared" si="92"/>
        <v>ERROR: Ship before order</v>
      </c>
      <c r="G481" s="4">
        <f t="shared" si="93"/>
        <v>-3</v>
      </c>
      <c r="H481" t="s">
        <v>1536</v>
      </c>
      <c r="I481" t="s">
        <v>53</v>
      </c>
      <c r="J481" t="s">
        <v>90</v>
      </c>
      <c r="K481" t="s">
        <v>38</v>
      </c>
      <c r="L481" t="str">
        <f t="shared" si="94"/>
        <v>East</v>
      </c>
      <c r="M481" t="s">
        <v>39</v>
      </c>
      <c r="N481" t="s">
        <v>40</v>
      </c>
      <c r="O481" t="s">
        <v>41</v>
      </c>
      <c r="P481" t="s">
        <v>66</v>
      </c>
      <c r="Q481" t="s">
        <v>1537</v>
      </c>
      <c r="R481" t="s">
        <v>31</v>
      </c>
      <c r="S481" t="str">
        <f t="shared" si="95"/>
        <v>Second Class</v>
      </c>
      <c r="T481">
        <v>1</v>
      </c>
      <c r="U481">
        <v>2202.5500000000002</v>
      </c>
      <c r="W481">
        <f t="shared" si="96"/>
        <v>0</v>
      </c>
      <c r="X481" t="str">
        <f t="shared" si="97"/>
        <v>DISCOUNT_MISSING_SET_TO_0</v>
      </c>
      <c r="Y481">
        <v>1651.91</v>
      </c>
      <c r="Z481">
        <f t="shared" si="98"/>
        <v>2202.5500000000002</v>
      </c>
      <c r="AA481">
        <v>1034.57</v>
      </c>
      <c r="AB481">
        <v>617.34</v>
      </c>
      <c r="AC481">
        <f t="shared" si="99"/>
        <v>0</v>
      </c>
      <c r="AD481" s="6">
        <f t="shared" si="100"/>
        <v>0</v>
      </c>
      <c r="AE481" t="s">
        <v>32</v>
      </c>
      <c r="AF481" t="s">
        <v>33</v>
      </c>
      <c r="AG481">
        <f t="shared" si="101"/>
        <v>2</v>
      </c>
      <c r="AH481">
        <f t="shared" si="102"/>
        <v>2024</v>
      </c>
      <c r="AI481" t="str">
        <f t="shared" si="103"/>
        <v>INVALID</v>
      </c>
    </row>
    <row r="482" spans="1:35">
      <c r="A482" t="s">
        <v>1538</v>
      </c>
      <c r="B482">
        <f t="shared" si="91"/>
        <v>1</v>
      </c>
      <c r="C482" t="str">
        <f>IF(COUNTIF($A$2:A482, A482)&gt;1, "DUPLICATE_FLAGGED_FOR_REVIEW", "")</f>
        <v/>
      </c>
      <c r="D482" s="3">
        <v>45662</v>
      </c>
      <c r="E482" s="2">
        <v>45666</v>
      </c>
      <c r="F482" s="2" t="str">
        <f t="shared" si="92"/>
        <v>OK</v>
      </c>
      <c r="G482" s="4">
        <f t="shared" si="93"/>
        <v>4</v>
      </c>
      <c r="H482" t="s">
        <v>1539</v>
      </c>
      <c r="I482" t="s">
        <v>79</v>
      </c>
      <c r="J482" t="s">
        <v>37</v>
      </c>
      <c r="K482" t="s">
        <v>54</v>
      </c>
      <c r="L482" t="str">
        <f t="shared" si="94"/>
        <v>South</v>
      </c>
      <c r="M482" t="s">
        <v>247</v>
      </c>
      <c r="N482" t="s">
        <v>248</v>
      </c>
      <c r="O482" t="s">
        <v>28</v>
      </c>
      <c r="P482" t="s">
        <v>124</v>
      </c>
      <c r="Q482" t="s">
        <v>1540</v>
      </c>
      <c r="R482" t="s">
        <v>2760</v>
      </c>
      <c r="S482" t="str">
        <f t="shared" si="95"/>
        <v>Unknown</v>
      </c>
      <c r="T482">
        <v>5</v>
      </c>
      <c r="U482">
        <v>905.16</v>
      </c>
      <c r="V482">
        <v>0</v>
      </c>
      <c r="W482">
        <f t="shared" si="96"/>
        <v>0</v>
      </c>
      <c r="X482" t="str">
        <f t="shared" si="97"/>
        <v/>
      </c>
      <c r="Y482">
        <v>4525.8</v>
      </c>
      <c r="Z482">
        <f t="shared" si="98"/>
        <v>4525.8</v>
      </c>
      <c r="AA482">
        <v>2714.51</v>
      </c>
      <c r="AB482">
        <v>1811.29</v>
      </c>
      <c r="AC482">
        <f t="shared" si="99"/>
        <v>3620.6400000000003</v>
      </c>
      <c r="AD482" s="6">
        <f t="shared" si="100"/>
        <v>0.8</v>
      </c>
      <c r="AE482" t="s">
        <v>32</v>
      </c>
      <c r="AF482" t="s">
        <v>33</v>
      </c>
      <c r="AG482">
        <f t="shared" si="101"/>
        <v>1</v>
      </c>
      <c r="AH482">
        <f t="shared" si="102"/>
        <v>2025</v>
      </c>
      <c r="AI482" t="str">
        <f t="shared" si="103"/>
        <v>WARNING</v>
      </c>
    </row>
    <row r="483" spans="1:35">
      <c r="A483" t="s">
        <v>1541</v>
      </c>
      <c r="B483">
        <f t="shared" si="91"/>
        <v>1</v>
      </c>
      <c r="C483" t="str">
        <f>IF(COUNTIF($A$2:A483, A483)&gt;1, "DUPLICATE_FLAGGED_FOR_REVIEW", "")</f>
        <v/>
      </c>
      <c r="D483" s="3">
        <v>45813</v>
      </c>
      <c r="E483" s="2">
        <v>45821</v>
      </c>
      <c r="F483" s="2" t="str">
        <f t="shared" si="92"/>
        <v>OK</v>
      </c>
      <c r="G483" s="4">
        <f t="shared" si="93"/>
        <v>8</v>
      </c>
      <c r="H483" t="s">
        <v>1542</v>
      </c>
      <c r="I483" t="s">
        <v>47</v>
      </c>
      <c r="J483" t="s">
        <v>24</v>
      </c>
      <c r="K483" t="s">
        <v>25</v>
      </c>
      <c r="L483" t="str">
        <f t="shared" si="94"/>
        <v>North</v>
      </c>
      <c r="M483" t="s">
        <v>136</v>
      </c>
      <c r="N483" t="s">
        <v>137</v>
      </c>
      <c r="O483" t="s">
        <v>74</v>
      </c>
      <c r="P483" t="s">
        <v>274</v>
      </c>
      <c r="Q483" t="s">
        <v>1543</v>
      </c>
      <c r="R483" t="s">
        <v>44</v>
      </c>
      <c r="S483" t="str">
        <f t="shared" si="95"/>
        <v>Same Day</v>
      </c>
      <c r="T483">
        <v>4</v>
      </c>
      <c r="U483">
        <v>2793.88</v>
      </c>
      <c r="V483">
        <v>0.85</v>
      </c>
      <c r="W483">
        <f t="shared" si="96"/>
        <v>0.85</v>
      </c>
      <c r="X483" t="str">
        <f t="shared" si="97"/>
        <v>INVALID_DISCOUNT_ABOVE_50PCT</v>
      </c>
      <c r="Y483">
        <v>10616.74</v>
      </c>
      <c r="Z483">
        <f t="shared" si="98"/>
        <v>1676.3280000000002</v>
      </c>
      <c r="AA483">
        <v>6353.59</v>
      </c>
      <c r="AB483">
        <v>4263.1499999999996</v>
      </c>
      <c r="AC483">
        <f t="shared" si="99"/>
        <v>-1117.5519999999999</v>
      </c>
      <c r="AD483" s="6">
        <f t="shared" si="100"/>
        <v>-0.66666666666666652</v>
      </c>
      <c r="AE483" t="s">
        <v>32</v>
      </c>
      <c r="AF483" t="s">
        <v>33</v>
      </c>
      <c r="AG483">
        <f t="shared" si="101"/>
        <v>6</v>
      </c>
      <c r="AH483">
        <f t="shared" si="102"/>
        <v>2025</v>
      </c>
      <c r="AI483" t="str">
        <f t="shared" si="103"/>
        <v>INVALID</v>
      </c>
    </row>
    <row r="484" spans="1:35">
      <c r="A484" t="s">
        <v>1544</v>
      </c>
      <c r="B484">
        <f t="shared" si="91"/>
        <v>1</v>
      </c>
      <c r="C484" t="str">
        <f>IF(COUNTIF($A$2:A484, A484)&gt;1, "DUPLICATE_FLAGGED_FOR_REVIEW", "")</f>
        <v/>
      </c>
      <c r="D484" s="3">
        <v>45495</v>
      </c>
      <c r="E484" s="2">
        <v>45495</v>
      </c>
      <c r="F484" s="2" t="str">
        <f t="shared" si="92"/>
        <v>OK</v>
      </c>
      <c r="G484" s="4">
        <f t="shared" si="93"/>
        <v>0</v>
      </c>
      <c r="H484" t="s">
        <v>1545</v>
      </c>
      <c r="I484" t="s">
        <v>114</v>
      </c>
      <c r="J484" t="s">
        <v>24</v>
      </c>
      <c r="K484" t="s">
        <v>54</v>
      </c>
      <c r="L484" t="str">
        <f t="shared" si="94"/>
        <v>South</v>
      </c>
      <c r="M484" t="s">
        <v>175</v>
      </c>
      <c r="N484" t="s">
        <v>176</v>
      </c>
      <c r="O484" t="s">
        <v>74</v>
      </c>
      <c r="P484" t="s">
        <v>75</v>
      </c>
      <c r="Q484" t="s">
        <v>1546</v>
      </c>
      <c r="R484" t="s">
        <v>31</v>
      </c>
      <c r="S484" t="str">
        <f t="shared" si="95"/>
        <v>Second Class</v>
      </c>
      <c r="T484">
        <v>3</v>
      </c>
      <c r="U484">
        <v>1286.22</v>
      </c>
      <c r="V484">
        <v>0.25</v>
      </c>
      <c r="W484">
        <f t="shared" si="96"/>
        <v>0.25</v>
      </c>
      <c r="X484" t="str">
        <f t="shared" si="97"/>
        <v/>
      </c>
      <c r="Y484">
        <v>2893.99</v>
      </c>
      <c r="Z484">
        <f t="shared" si="98"/>
        <v>2893.9949999999999</v>
      </c>
      <c r="AA484">
        <v>1856.03</v>
      </c>
      <c r="AB484">
        <v>1037.96</v>
      </c>
      <c r="AC484">
        <f t="shared" si="99"/>
        <v>1607.7749999999999</v>
      </c>
      <c r="AD484" s="6">
        <f t="shared" si="100"/>
        <v>0.55555555555555558</v>
      </c>
      <c r="AE484" t="s">
        <v>32</v>
      </c>
      <c r="AF484" t="s">
        <v>33</v>
      </c>
      <c r="AG484">
        <f t="shared" si="101"/>
        <v>7</v>
      </c>
      <c r="AH484">
        <f t="shared" si="102"/>
        <v>2024</v>
      </c>
      <c r="AI484" t="str">
        <f t="shared" si="103"/>
        <v>CLEAN</v>
      </c>
    </row>
    <row r="485" spans="1:35">
      <c r="A485" t="s">
        <v>1547</v>
      </c>
      <c r="B485">
        <f t="shared" si="91"/>
        <v>1</v>
      </c>
      <c r="C485" t="str">
        <f>IF(COUNTIF($A$2:A485, A485)&gt;1, "DUPLICATE_FLAGGED_FOR_REVIEW", "")</f>
        <v/>
      </c>
      <c r="D485" s="3">
        <v>45651</v>
      </c>
      <c r="E485" s="2">
        <v>45651</v>
      </c>
      <c r="F485" s="2" t="str">
        <f t="shared" si="92"/>
        <v>OK</v>
      </c>
      <c r="G485" s="4">
        <f t="shared" si="93"/>
        <v>0</v>
      </c>
      <c r="H485" t="s">
        <v>1548</v>
      </c>
      <c r="I485" t="s">
        <v>36</v>
      </c>
      <c r="J485" t="s">
        <v>90</v>
      </c>
      <c r="K485" t="s">
        <v>38</v>
      </c>
      <c r="L485" t="str">
        <f t="shared" si="94"/>
        <v>East</v>
      </c>
      <c r="M485" t="s">
        <v>145</v>
      </c>
      <c r="N485" t="s">
        <v>146</v>
      </c>
      <c r="O485" t="s">
        <v>74</v>
      </c>
      <c r="P485" t="s">
        <v>80</v>
      </c>
      <c r="Q485" t="s">
        <v>1549</v>
      </c>
      <c r="R485" t="s">
        <v>59</v>
      </c>
      <c r="S485" t="str">
        <f t="shared" si="95"/>
        <v>Standard Class</v>
      </c>
      <c r="T485">
        <v>1</v>
      </c>
      <c r="U485">
        <v>829.66</v>
      </c>
      <c r="V485">
        <v>0.15</v>
      </c>
      <c r="W485">
        <f t="shared" si="96"/>
        <v>0.15</v>
      </c>
      <c r="X485" t="str">
        <f t="shared" si="97"/>
        <v/>
      </c>
      <c r="Y485">
        <v>705.21</v>
      </c>
      <c r="Z485">
        <f t="shared" si="98"/>
        <v>705.2109999999999</v>
      </c>
      <c r="AA485">
        <v>438.32</v>
      </c>
      <c r="AB485">
        <v>266.89</v>
      </c>
      <c r="AC485">
        <f t="shared" si="99"/>
        <v>-124.44900000000007</v>
      </c>
      <c r="AD485" s="6">
        <f t="shared" si="100"/>
        <v>-0.17647058823529424</v>
      </c>
      <c r="AE485" t="s">
        <v>32</v>
      </c>
      <c r="AF485" t="s">
        <v>33</v>
      </c>
      <c r="AG485">
        <f t="shared" si="101"/>
        <v>12</v>
      </c>
      <c r="AH485">
        <f t="shared" si="102"/>
        <v>2024</v>
      </c>
      <c r="AI485" t="str">
        <f t="shared" si="103"/>
        <v>CLEAN</v>
      </c>
    </row>
    <row r="486" spans="1:35">
      <c r="A486" t="s">
        <v>1550</v>
      </c>
      <c r="B486">
        <f t="shared" si="91"/>
        <v>1</v>
      </c>
      <c r="C486" t="str">
        <f>IF(COUNTIF($A$2:A486, A486)&gt;1, "DUPLICATE_FLAGGED_FOR_REVIEW", "")</f>
        <v/>
      </c>
      <c r="D486" s="3">
        <v>45654</v>
      </c>
      <c r="E486" s="2">
        <v>45657</v>
      </c>
      <c r="F486" s="2" t="str">
        <f t="shared" si="92"/>
        <v>OK</v>
      </c>
      <c r="G486" s="4">
        <f t="shared" si="93"/>
        <v>3</v>
      </c>
      <c r="H486" t="s">
        <v>1551</v>
      </c>
      <c r="I486" t="s">
        <v>36</v>
      </c>
      <c r="J486" t="s">
        <v>37</v>
      </c>
      <c r="K486" t="s">
        <v>54</v>
      </c>
      <c r="L486" t="str">
        <f t="shared" si="94"/>
        <v>South</v>
      </c>
      <c r="M486" t="s">
        <v>84</v>
      </c>
      <c r="N486" t="s">
        <v>85</v>
      </c>
      <c r="O486" t="s">
        <v>41</v>
      </c>
      <c r="P486" t="s">
        <v>57</v>
      </c>
      <c r="Q486" t="s">
        <v>1552</v>
      </c>
      <c r="R486" t="s">
        <v>50</v>
      </c>
      <c r="S486" t="str">
        <f t="shared" si="95"/>
        <v>First Class</v>
      </c>
      <c r="T486">
        <v>6</v>
      </c>
      <c r="U486">
        <v>3641.22</v>
      </c>
      <c r="V486">
        <v>0.25</v>
      </c>
      <c r="W486">
        <f t="shared" si="96"/>
        <v>0.25</v>
      </c>
      <c r="X486" t="str">
        <f t="shared" si="97"/>
        <v/>
      </c>
      <c r="Y486">
        <v>16385.490000000002</v>
      </c>
      <c r="Z486">
        <f t="shared" si="98"/>
        <v>16385.489999999998</v>
      </c>
      <c r="AA486">
        <v>13679.24</v>
      </c>
      <c r="AB486">
        <v>2706.25</v>
      </c>
      <c r="AC486">
        <f t="shared" si="99"/>
        <v>12744.269999999999</v>
      </c>
      <c r="AD486" s="6">
        <f t="shared" si="100"/>
        <v>0.77777777777777779</v>
      </c>
      <c r="AE486" t="s">
        <v>32</v>
      </c>
      <c r="AF486" t="s">
        <v>33</v>
      </c>
      <c r="AG486">
        <f t="shared" si="101"/>
        <v>12</v>
      </c>
      <c r="AH486">
        <f t="shared" si="102"/>
        <v>2024</v>
      </c>
      <c r="AI486" t="str">
        <f t="shared" si="103"/>
        <v>CLEAN</v>
      </c>
    </row>
    <row r="487" spans="1:35">
      <c r="A487" t="s">
        <v>1553</v>
      </c>
      <c r="B487">
        <f t="shared" si="91"/>
        <v>1</v>
      </c>
      <c r="C487" t="str">
        <f>IF(COUNTIF($A$2:A487, A487)&gt;1, "DUPLICATE_FLAGGED_FOR_REVIEW", "")</f>
        <v/>
      </c>
      <c r="D487" s="3">
        <v>45679</v>
      </c>
      <c r="E487" s="2">
        <v>45680</v>
      </c>
      <c r="F487" s="2" t="str">
        <f t="shared" si="92"/>
        <v>OK</v>
      </c>
      <c r="G487" s="4">
        <f t="shared" si="93"/>
        <v>1</v>
      </c>
      <c r="H487" t="s">
        <v>1554</v>
      </c>
      <c r="I487" t="s">
        <v>118</v>
      </c>
      <c r="J487" t="s">
        <v>90</v>
      </c>
      <c r="K487" t="s">
        <v>63</v>
      </c>
      <c r="L487" t="str">
        <f t="shared" si="94"/>
        <v>West</v>
      </c>
      <c r="M487" t="s">
        <v>190</v>
      </c>
      <c r="N487" t="s">
        <v>191</v>
      </c>
      <c r="O487" t="s">
        <v>41</v>
      </c>
      <c r="P487" t="s">
        <v>158</v>
      </c>
      <c r="Q487" t="s">
        <v>1555</v>
      </c>
      <c r="R487" t="s">
        <v>59</v>
      </c>
      <c r="S487" t="str">
        <f t="shared" si="95"/>
        <v>Standard Class</v>
      </c>
      <c r="T487">
        <v>4</v>
      </c>
      <c r="U487">
        <v>2555.19</v>
      </c>
      <c r="V487">
        <v>0.25</v>
      </c>
      <c r="W487">
        <f t="shared" si="96"/>
        <v>0.25</v>
      </c>
      <c r="X487" t="str">
        <f t="shared" si="97"/>
        <v/>
      </c>
      <c r="Y487">
        <v>7665.57</v>
      </c>
      <c r="Z487">
        <f t="shared" si="98"/>
        <v>7665.57</v>
      </c>
      <c r="AA487">
        <v>5595.6</v>
      </c>
      <c r="AB487">
        <v>2069.9699999999998</v>
      </c>
      <c r="AC487">
        <f t="shared" si="99"/>
        <v>5110.3799999999992</v>
      </c>
      <c r="AD487" s="6">
        <f t="shared" si="100"/>
        <v>0.66666666666666663</v>
      </c>
      <c r="AE487" t="s">
        <v>32</v>
      </c>
      <c r="AF487" t="s">
        <v>33</v>
      </c>
      <c r="AG487">
        <f t="shared" si="101"/>
        <v>1</v>
      </c>
      <c r="AH487">
        <f t="shared" si="102"/>
        <v>2025</v>
      </c>
      <c r="AI487" t="str">
        <f t="shared" si="103"/>
        <v>CLEAN</v>
      </c>
    </row>
    <row r="488" spans="1:35">
      <c r="A488" t="s">
        <v>1556</v>
      </c>
      <c r="B488">
        <f t="shared" si="91"/>
        <v>1</v>
      </c>
      <c r="C488" t="str">
        <f>IF(COUNTIF($A$2:A488, A488)&gt;1, "DUPLICATE_FLAGGED_FOR_REVIEW", "")</f>
        <v/>
      </c>
      <c r="D488" s="3">
        <v>45830</v>
      </c>
      <c r="E488" s="2">
        <v>45834</v>
      </c>
      <c r="F488" s="2" t="str">
        <f t="shared" si="92"/>
        <v>OK</v>
      </c>
      <c r="G488" s="4">
        <f t="shared" si="93"/>
        <v>4</v>
      </c>
      <c r="H488" t="s">
        <v>1557</v>
      </c>
      <c r="I488" t="s">
        <v>118</v>
      </c>
      <c r="J488" t="s">
        <v>90</v>
      </c>
      <c r="K488" t="s">
        <v>63</v>
      </c>
      <c r="L488" t="str">
        <f t="shared" si="94"/>
        <v>West</v>
      </c>
      <c r="M488" t="s">
        <v>190</v>
      </c>
      <c r="N488" t="s">
        <v>191</v>
      </c>
      <c r="O488" t="s">
        <v>41</v>
      </c>
      <c r="P488" t="s">
        <v>42</v>
      </c>
      <c r="Q488" t="s">
        <v>1558</v>
      </c>
      <c r="R488" t="s">
        <v>59</v>
      </c>
      <c r="S488" t="str">
        <f t="shared" si="95"/>
        <v>Standard Class</v>
      </c>
      <c r="T488">
        <v>3</v>
      </c>
      <c r="U488">
        <v>1946.18</v>
      </c>
      <c r="V488">
        <v>0.2</v>
      </c>
      <c r="W488">
        <f t="shared" si="96"/>
        <v>0.2</v>
      </c>
      <c r="X488" t="str">
        <f t="shared" si="97"/>
        <v/>
      </c>
      <c r="Y488">
        <v>4670.83</v>
      </c>
      <c r="Z488">
        <f t="shared" si="98"/>
        <v>4670.8320000000003</v>
      </c>
      <c r="AA488">
        <v>3166.49</v>
      </c>
      <c r="AB488">
        <v>1504.34</v>
      </c>
      <c r="AC488">
        <f t="shared" si="99"/>
        <v>2724.652</v>
      </c>
      <c r="AD488" s="6">
        <f t="shared" si="100"/>
        <v>0.58333333333333326</v>
      </c>
      <c r="AE488" t="s">
        <v>32</v>
      </c>
      <c r="AF488" t="s">
        <v>33</v>
      </c>
      <c r="AG488">
        <f t="shared" si="101"/>
        <v>6</v>
      </c>
      <c r="AH488">
        <f t="shared" si="102"/>
        <v>2025</v>
      </c>
      <c r="AI488" t="str">
        <f t="shared" si="103"/>
        <v>CLEAN</v>
      </c>
    </row>
    <row r="489" spans="1:35">
      <c r="A489" t="s">
        <v>1559</v>
      </c>
      <c r="B489">
        <f t="shared" si="91"/>
        <v>1</v>
      </c>
      <c r="C489" t="str">
        <f>IF(COUNTIF($A$2:A489, A489)&gt;1, "DUPLICATE_FLAGGED_FOR_REVIEW", "")</f>
        <v/>
      </c>
      <c r="D489" s="3">
        <v>45818</v>
      </c>
      <c r="E489" s="2">
        <v>45825</v>
      </c>
      <c r="F489" s="2" t="str">
        <f t="shared" si="92"/>
        <v>OK</v>
      </c>
      <c r="G489" s="4">
        <f t="shared" si="93"/>
        <v>7</v>
      </c>
      <c r="H489" t="s">
        <v>1560</v>
      </c>
      <c r="I489" t="s">
        <v>118</v>
      </c>
      <c r="J489" t="s">
        <v>90</v>
      </c>
      <c r="K489" t="s">
        <v>54</v>
      </c>
      <c r="L489" t="str">
        <f t="shared" si="94"/>
        <v>South</v>
      </c>
      <c r="M489" t="s">
        <v>55</v>
      </c>
      <c r="N489" t="s">
        <v>56</v>
      </c>
      <c r="O489" t="s">
        <v>41</v>
      </c>
      <c r="P489" t="s">
        <v>57</v>
      </c>
      <c r="Q489" t="s">
        <v>1561</v>
      </c>
      <c r="R489" t="s">
        <v>59</v>
      </c>
      <c r="S489" t="str">
        <f t="shared" si="95"/>
        <v>Standard Class</v>
      </c>
      <c r="T489">
        <v>5</v>
      </c>
      <c r="U489">
        <v>1231.0999999999999</v>
      </c>
      <c r="V489">
        <v>0</v>
      </c>
      <c r="W489">
        <f t="shared" si="96"/>
        <v>0</v>
      </c>
      <c r="X489" t="str">
        <f t="shared" si="97"/>
        <v/>
      </c>
      <c r="Y489">
        <v>6155.5</v>
      </c>
      <c r="Z489">
        <f t="shared" si="98"/>
        <v>6155.5</v>
      </c>
      <c r="AA489">
        <v>4282.09</v>
      </c>
      <c r="AB489">
        <v>1873.41</v>
      </c>
      <c r="AC489">
        <f t="shared" si="99"/>
        <v>4924.3999999999996</v>
      </c>
      <c r="AD489" s="6">
        <f t="shared" si="100"/>
        <v>0.79999999999999993</v>
      </c>
      <c r="AE489" t="s">
        <v>102</v>
      </c>
      <c r="AF489" t="s">
        <v>103</v>
      </c>
      <c r="AG489">
        <f t="shared" si="101"/>
        <v>6</v>
      </c>
      <c r="AH489">
        <f t="shared" si="102"/>
        <v>2025</v>
      </c>
      <c r="AI489" t="str">
        <f t="shared" si="103"/>
        <v>CLEAN</v>
      </c>
    </row>
    <row r="490" spans="1:35">
      <c r="A490" t="s">
        <v>1562</v>
      </c>
      <c r="B490">
        <f t="shared" si="91"/>
        <v>1</v>
      </c>
      <c r="C490" t="str">
        <f>IF(COUNTIF($A$2:A490, A490)&gt;1, "DUPLICATE_FLAGGED_FOR_REVIEW", "")</f>
        <v/>
      </c>
      <c r="D490" s="3">
        <v>45579</v>
      </c>
      <c r="E490" s="2">
        <v>45585</v>
      </c>
      <c r="F490" s="2" t="str">
        <f t="shared" si="92"/>
        <v>OK</v>
      </c>
      <c r="G490" s="4">
        <f t="shared" si="93"/>
        <v>6</v>
      </c>
      <c r="H490" t="s">
        <v>1563</v>
      </c>
      <c r="I490" t="s">
        <v>89</v>
      </c>
      <c r="J490" t="s">
        <v>37</v>
      </c>
      <c r="K490" t="s">
        <v>25</v>
      </c>
      <c r="L490" t="str">
        <f t="shared" si="94"/>
        <v>North</v>
      </c>
      <c r="M490" t="s">
        <v>26</v>
      </c>
      <c r="N490" t="s">
        <v>27</v>
      </c>
      <c r="O490" t="s">
        <v>41</v>
      </c>
      <c r="P490" t="s">
        <v>42</v>
      </c>
      <c r="Q490" t="s">
        <v>1564</v>
      </c>
      <c r="R490" t="s">
        <v>44</v>
      </c>
      <c r="S490" t="str">
        <f t="shared" si="95"/>
        <v>Same Day</v>
      </c>
      <c r="T490">
        <v>7</v>
      </c>
      <c r="U490">
        <v>1547.6</v>
      </c>
      <c r="V490">
        <v>0.2</v>
      </c>
      <c r="W490">
        <f t="shared" si="96"/>
        <v>0.2</v>
      </c>
      <c r="X490" t="str">
        <f t="shared" si="97"/>
        <v/>
      </c>
      <c r="Y490">
        <v>8666.56</v>
      </c>
      <c r="Z490">
        <f t="shared" si="98"/>
        <v>8666.56</v>
      </c>
      <c r="AA490">
        <v>5967.44</v>
      </c>
      <c r="AB490">
        <v>2699.12</v>
      </c>
      <c r="AC490">
        <f t="shared" si="99"/>
        <v>7118.9599999999991</v>
      </c>
      <c r="AD490" s="6">
        <f t="shared" si="100"/>
        <v>0.8214285714285714</v>
      </c>
      <c r="AE490" t="s">
        <v>32</v>
      </c>
      <c r="AF490" t="s">
        <v>33</v>
      </c>
      <c r="AG490">
        <f t="shared" si="101"/>
        <v>10</v>
      </c>
      <c r="AH490">
        <f t="shared" si="102"/>
        <v>2024</v>
      </c>
      <c r="AI490" t="str">
        <f t="shared" si="103"/>
        <v>CLEAN</v>
      </c>
    </row>
    <row r="491" spans="1:35">
      <c r="A491" t="s">
        <v>1565</v>
      </c>
      <c r="B491">
        <f t="shared" si="91"/>
        <v>1</v>
      </c>
      <c r="C491" t="str">
        <f>IF(COUNTIF($A$2:A491, A491)&gt;1, "DUPLICATE_FLAGGED_FOR_REVIEW", "")</f>
        <v/>
      </c>
      <c r="D491" s="3">
        <v>45329</v>
      </c>
      <c r="E491" s="2">
        <v>45334</v>
      </c>
      <c r="F491" s="2" t="str">
        <f t="shared" si="92"/>
        <v>OK</v>
      </c>
      <c r="G491" s="4">
        <f t="shared" si="93"/>
        <v>5</v>
      </c>
      <c r="H491" t="s">
        <v>1566</v>
      </c>
      <c r="I491" t="s">
        <v>53</v>
      </c>
      <c r="J491" t="s">
        <v>95</v>
      </c>
      <c r="K491" t="s">
        <v>38</v>
      </c>
      <c r="L491" t="str">
        <f t="shared" si="94"/>
        <v>East</v>
      </c>
      <c r="M491" t="s">
        <v>99</v>
      </c>
      <c r="N491" t="s">
        <v>100</v>
      </c>
      <c r="O491" t="s">
        <v>74</v>
      </c>
      <c r="P491" t="s">
        <v>75</v>
      </c>
      <c r="Q491" t="s">
        <v>1567</v>
      </c>
      <c r="R491" t="s">
        <v>31</v>
      </c>
      <c r="S491" t="str">
        <f t="shared" si="95"/>
        <v>Second Class</v>
      </c>
      <c r="T491">
        <v>1</v>
      </c>
      <c r="U491">
        <v>452.19</v>
      </c>
      <c r="V491">
        <v>0.2</v>
      </c>
      <c r="W491">
        <f t="shared" si="96"/>
        <v>0.2</v>
      </c>
      <c r="X491" t="str">
        <f t="shared" si="97"/>
        <v/>
      </c>
      <c r="Y491">
        <v>361.75</v>
      </c>
      <c r="Z491">
        <f t="shared" si="98"/>
        <v>361.75200000000001</v>
      </c>
      <c r="AA491">
        <v>262.52999999999997</v>
      </c>
      <c r="AB491">
        <v>99.22</v>
      </c>
      <c r="AC491">
        <f t="shared" si="99"/>
        <v>-90.437999999999988</v>
      </c>
      <c r="AD491" s="6">
        <f t="shared" si="100"/>
        <v>-0.24999999999999997</v>
      </c>
      <c r="AE491" t="s">
        <v>32</v>
      </c>
      <c r="AF491" t="s">
        <v>33</v>
      </c>
      <c r="AG491">
        <f t="shared" si="101"/>
        <v>2</v>
      </c>
      <c r="AH491">
        <f t="shared" si="102"/>
        <v>2024</v>
      </c>
      <c r="AI491" t="str">
        <f t="shared" si="103"/>
        <v>CLEAN</v>
      </c>
    </row>
    <row r="492" spans="1:35">
      <c r="A492" t="s">
        <v>1568</v>
      </c>
      <c r="B492">
        <f t="shared" si="91"/>
        <v>1</v>
      </c>
      <c r="C492" t="str">
        <f>IF(COUNTIF($A$2:A492, A492)&gt;1, "DUPLICATE_FLAGGED_FOR_REVIEW", "")</f>
        <v/>
      </c>
      <c r="D492" s="3">
        <v>45551</v>
      </c>
      <c r="E492" s="2">
        <v>45554</v>
      </c>
      <c r="F492" s="2" t="str">
        <f t="shared" si="92"/>
        <v>OK</v>
      </c>
      <c r="G492" s="4">
        <f t="shared" si="93"/>
        <v>3</v>
      </c>
      <c r="H492" t="s">
        <v>1569</v>
      </c>
      <c r="I492" t="s">
        <v>89</v>
      </c>
      <c r="J492" t="s">
        <v>24</v>
      </c>
      <c r="K492" t="s">
        <v>63</v>
      </c>
      <c r="L492" t="str">
        <f t="shared" si="94"/>
        <v>West</v>
      </c>
      <c r="M492" t="s">
        <v>26</v>
      </c>
      <c r="N492" t="s">
        <v>109</v>
      </c>
      <c r="O492" t="s">
        <v>28</v>
      </c>
      <c r="P492" t="s">
        <v>153</v>
      </c>
      <c r="Q492" t="s">
        <v>1570</v>
      </c>
      <c r="R492" t="s">
        <v>50</v>
      </c>
      <c r="S492" t="str">
        <f t="shared" si="95"/>
        <v>First Class</v>
      </c>
      <c r="T492">
        <v>7</v>
      </c>
      <c r="U492">
        <v>406.42</v>
      </c>
      <c r="V492">
        <v>0.15</v>
      </c>
      <c r="W492">
        <f t="shared" si="96"/>
        <v>0.15</v>
      </c>
      <c r="X492" t="str">
        <f t="shared" si="97"/>
        <v/>
      </c>
      <c r="Y492">
        <v>2418.1999999999998</v>
      </c>
      <c r="Z492">
        <f t="shared" si="98"/>
        <v>2418.1990000000001</v>
      </c>
      <c r="AA492">
        <v>1613.82</v>
      </c>
      <c r="AB492">
        <v>804.38</v>
      </c>
      <c r="AC492">
        <f t="shared" si="99"/>
        <v>2011.779</v>
      </c>
      <c r="AD492" s="6">
        <f t="shared" si="100"/>
        <v>0.83193277310924363</v>
      </c>
      <c r="AE492" t="s">
        <v>32</v>
      </c>
      <c r="AF492" t="s">
        <v>33</v>
      </c>
      <c r="AG492">
        <f t="shared" si="101"/>
        <v>9</v>
      </c>
      <c r="AH492">
        <f t="shared" si="102"/>
        <v>2024</v>
      </c>
      <c r="AI492" t="str">
        <f t="shared" si="103"/>
        <v>CLEAN</v>
      </c>
    </row>
    <row r="493" spans="1:35">
      <c r="A493" t="s">
        <v>1571</v>
      </c>
      <c r="B493">
        <f t="shared" si="91"/>
        <v>1</v>
      </c>
      <c r="C493" t="str">
        <f>IF(COUNTIF($A$2:A493, A493)&gt;1, "DUPLICATE_FLAGGED_FOR_REVIEW", "")</f>
        <v/>
      </c>
      <c r="D493" s="3">
        <v>45776</v>
      </c>
      <c r="E493" s="2">
        <v>45777</v>
      </c>
      <c r="F493" s="2" t="str">
        <f t="shared" si="92"/>
        <v>OK</v>
      </c>
      <c r="G493" s="4">
        <f t="shared" si="93"/>
        <v>1</v>
      </c>
      <c r="H493" t="s">
        <v>1572</v>
      </c>
      <c r="I493" t="s">
        <v>36</v>
      </c>
      <c r="J493" t="s">
        <v>90</v>
      </c>
      <c r="K493" t="s">
        <v>54</v>
      </c>
      <c r="L493" t="str">
        <f t="shared" si="94"/>
        <v>South</v>
      </c>
      <c r="M493" t="s">
        <v>185</v>
      </c>
      <c r="N493" t="s">
        <v>186</v>
      </c>
      <c r="O493" t="s">
        <v>74</v>
      </c>
      <c r="P493" t="s">
        <v>75</v>
      </c>
      <c r="Q493" t="s">
        <v>1573</v>
      </c>
      <c r="R493" t="s">
        <v>59</v>
      </c>
      <c r="S493" t="str">
        <f t="shared" si="95"/>
        <v>Standard Class</v>
      </c>
      <c r="T493">
        <v>4</v>
      </c>
      <c r="U493">
        <v>606.58000000000004</v>
      </c>
      <c r="V493">
        <v>0.2</v>
      </c>
      <c r="W493">
        <f t="shared" si="96"/>
        <v>0.2</v>
      </c>
      <c r="X493" t="str">
        <f t="shared" si="97"/>
        <v/>
      </c>
      <c r="Y493">
        <v>1941.06</v>
      </c>
      <c r="Z493">
        <f t="shared" si="98"/>
        <v>1941.0560000000003</v>
      </c>
      <c r="AA493">
        <v>1207.42</v>
      </c>
      <c r="AB493">
        <v>733.64</v>
      </c>
      <c r="AC493">
        <f t="shared" si="99"/>
        <v>1334.4760000000001</v>
      </c>
      <c r="AD493" s="6">
        <f t="shared" si="100"/>
        <v>0.6875</v>
      </c>
      <c r="AE493" t="s">
        <v>32</v>
      </c>
      <c r="AF493" t="s">
        <v>33</v>
      </c>
      <c r="AG493">
        <f t="shared" si="101"/>
        <v>4</v>
      </c>
      <c r="AH493">
        <f t="shared" si="102"/>
        <v>2025</v>
      </c>
      <c r="AI493" t="str">
        <f t="shared" si="103"/>
        <v>CLEAN</v>
      </c>
    </row>
    <row r="494" spans="1:35">
      <c r="A494" t="s">
        <v>1574</v>
      </c>
      <c r="B494">
        <f t="shared" si="91"/>
        <v>1</v>
      </c>
      <c r="C494" t="str">
        <f>IF(COUNTIF($A$2:A494, A494)&gt;1, "DUPLICATE_FLAGGED_FOR_REVIEW", "")</f>
        <v/>
      </c>
      <c r="D494" s="3">
        <v>45836</v>
      </c>
      <c r="E494" s="2">
        <v>45695</v>
      </c>
      <c r="F494" s="2" t="str">
        <f t="shared" si="92"/>
        <v>ERROR: Ship before order</v>
      </c>
      <c r="G494" s="4">
        <f t="shared" si="93"/>
        <v>-141</v>
      </c>
      <c r="H494" t="s">
        <v>1575</v>
      </c>
      <c r="I494" t="s">
        <v>62</v>
      </c>
      <c r="J494" t="s">
        <v>90</v>
      </c>
      <c r="K494" t="s">
        <v>54</v>
      </c>
      <c r="L494" t="str">
        <f t="shared" si="94"/>
        <v>South</v>
      </c>
      <c r="M494" t="s">
        <v>84</v>
      </c>
      <c r="N494" t="s">
        <v>85</v>
      </c>
      <c r="O494" t="s">
        <v>28</v>
      </c>
      <c r="P494" t="s">
        <v>124</v>
      </c>
      <c r="Q494" t="s">
        <v>1576</v>
      </c>
      <c r="R494" t="s">
        <v>31</v>
      </c>
      <c r="S494" t="str">
        <f t="shared" si="95"/>
        <v>Second Class</v>
      </c>
      <c r="T494">
        <v>2</v>
      </c>
      <c r="U494">
        <v>2725.44</v>
      </c>
      <c r="V494">
        <v>0.25</v>
      </c>
      <c r="W494">
        <f t="shared" si="96"/>
        <v>0.25</v>
      </c>
      <c r="X494" t="str">
        <f t="shared" si="97"/>
        <v/>
      </c>
      <c r="Y494">
        <v>4088.16</v>
      </c>
      <c r="Z494">
        <f t="shared" si="98"/>
        <v>4088.16</v>
      </c>
      <c r="AA494">
        <v>3205.68</v>
      </c>
      <c r="AB494">
        <v>882.48</v>
      </c>
      <c r="AC494">
        <f t="shared" si="99"/>
        <v>1362.7199999999998</v>
      </c>
      <c r="AD494" s="6">
        <f t="shared" si="100"/>
        <v>0.33333333333333331</v>
      </c>
      <c r="AE494" t="s">
        <v>32</v>
      </c>
      <c r="AF494" t="s">
        <v>33</v>
      </c>
      <c r="AG494">
        <f t="shared" si="101"/>
        <v>6</v>
      </c>
      <c r="AH494">
        <f t="shared" si="102"/>
        <v>2025</v>
      </c>
      <c r="AI494" t="str">
        <f t="shared" si="103"/>
        <v>INVALID</v>
      </c>
    </row>
    <row r="495" spans="1:35">
      <c r="A495" t="s">
        <v>1577</v>
      </c>
      <c r="B495">
        <f t="shared" si="91"/>
        <v>1</v>
      </c>
      <c r="C495" t="str">
        <f>IF(COUNTIF($A$2:A495, A495)&gt;1, "DUPLICATE_FLAGGED_FOR_REVIEW", "")</f>
        <v/>
      </c>
      <c r="D495" s="3">
        <v>45701</v>
      </c>
      <c r="E495" s="2">
        <v>45701</v>
      </c>
      <c r="F495" s="2" t="str">
        <f t="shared" si="92"/>
        <v>OK</v>
      </c>
      <c r="G495" s="4">
        <f t="shared" si="93"/>
        <v>0</v>
      </c>
      <c r="H495" t="s">
        <v>1578</v>
      </c>
      <c r="I495" t="s">
        <v>264</v>
      </c>
      <c r="J495" t="s">
        <v>90</v>
      </c>
      <c r="K495" t="s">
        <v>38</v>
      </c>
      <c r="L495" t="str">
        <f t="shared" si="94"/>
        <v>East</v>
      </c>
      <c r="M495" t="s">
        <v>39</v>
      </c>
      <c r="N495" t="s">
        <v>40</v>
      </c>
      <c r="O495" t="s">
        <v>28</v>
      </c>
      <c r="P495" t="s">
        <v>29</v>
      </c>
      <c r="Q495" t="s">
        <v>1579</v>
      </c>
      <c r="R495" t="s">
        <v>31</v>
      </c>
      <c r="S495" t="str">
        <f t="shared" si="95"/>
        <v>Second Class</v>
      </c>
      <c r="T495">
        <v>7</v>
      </c>
      <c r="U495">
        <v>2296.6999999999998</v>
      </c>
      <c r="V495">
        <v>0.05</v>
      </c>
      <c r="W495">
        <f t="shared" si="96"/>
        <v>0.05</v>
      </c>
      <c r="X495" t="str">
        <f t="shared" si="97"/>
        <v/>
      </c>
      <c r="Y495">
        <v>15273.05</v>
      </c>
      <c r="Z495">
        <f t="shared" si="98"/>
        <v>15273.054999999997</v>
      </c>
      <c r="AA495">
        <v>11088.76</v>
      </c>
      <c r="AB495">
        <v>4184.29</v>
      </c>
      <c r="AC495">
        <f t="shared" si="99"/>
        <v>12976.354999999996</v>
      </c>
      <c r="AD495" s="6">
        <f t="shared" si="100"/>
        <v>0.84962406015037584</v>
      </c>
      <c r="AE495" t="s">
        <v>32</v>
      </c>
      <c r="AF495" t="s">
        <v>33</v>
      </c>
      <c r="AG495">
        <f t="shared" si="101"/>
        <v>2</v>
      </c>
      <c r="AH495">
        <f t="shared" si="102"/>
        <v>2025</v>
      </c>
      <c r="AI495" t="str">
        <f t="shared" si="103"/>
        <v>CLEAN</v>
      </c>
    </row>
    <row r="496" spans="1:35">
      <c r="A496" t="s">
        <v>1580</v>
      </c>
      <c r="B496">
        <f t="shared" si="91"/>
        <v>1</v>
      </c>
      <c r="C496" t="str">
        <f>IF(COUNTIF($A$2:A496, A496)&gt;1, "DUPLICATE_FLAGGED_FOR_REVIEW", "")</f>
        <v/>
      </c>
      <c r="D496" s="3">
        <v>45610</v>
      </c>
      <c r="E496" s="2">
        <v>45618</v>
      </c>
      <c r="F496" s="2" t="str">
        <f t="shared" si="92"/>
        <v>OK</v>
      </c>
      <c r="G496" s="4">
        <f t="shared" si="93"/>
        <v>8</v>
      </c>
      <c r="H496" t="s">
        <v>1581</v>
      </c>
      <c r="I496" t="s">
        <v>47</v>
      </c>
      <c r="J496" t="s">
        <v>24</v>
      </c>
      <c r="K496" t="s">
        <v>63</v>
      </c>
      <c r="L496" t="str">
        <f t="shared" si="94"/>
        <v>West</v>
      </c>
      <c r="M496" t="s">
        <v>72</v>
      </c>
      <c r="N496" t="s">
        <v>73</v>
      </c>
      <c r="O496" t="s">
        <v>74</v>
      </c>
      <c r="P496" t="s">
        <v>171</v>
      </c>
      <c r="Q496" t="s">
        <v>1582</v>
      </c>
      <c r="R496" t="s">
        <v>59</v>
      </c>
      <c r="S496" t="str">
        <f t="shared" si="95"/>
        <v>Standard Class</v>
      </c>
      <c r="T496">
        <v>3</v>
      </c>
      <c r="U496">
        <v>671.68</v>
      </c>
      <c r="V496">
        <v>-0.13</v>
      </c>
      <c r="W496">
        <f t="shared" si="96"/>
        <v>-0.13</v>
      </c>
      <c r="X496" t="str">
        <f t="shared" si="97"/>
        <v>INVALID_NEGATIVE_DISCOUNT</v>
      </c>
      <c r="Y496">
        <v>1712.78</v>
      </c>
      <c r="Z496">
        <f t="shared" si="98"/>
        <v>2276.9951999999998</v>
      </c>
      <c r="AA496">
        <v>1569.38</v>
      </c>
      <c r="AB496">
        <v>360.66</v>
      </c>
      <c r="AC496">
        <f t="shared" si="99"/>
        <v>1605.3152</v>
      </c>
      <c r="AD496" s="6">
        <f t="shared" si="100"/>
        <v>0.70501474926253693</v>
      </c>
      <c r="AE496" t="s">
        <v>155</v>
      </c>
      <c r="AF496" t="s">
        <v>68</v>
      </c>
      <c r="AG496">
        <f t="shared" si="101"/>
        <v>11</v>
      </c>
      <c r="AH496">
        <f t="shared" si="102"/>
        <v>2024</v>
      </c>
      <c r="AI496" t="str">
        <f t="shared" si="103"/>
        <v>INVALID</v>
      </c>
    </row>
    <row r="497" spans="1:35">
      <c r="A497" t="s">
        <v>1583</v>
      </c>
      <c r="B497">
        <f t="shared" si="91"/>
        <v>1</v>
      </c>
      <c r="C497" t="str">
        <f>IF(COUNTIF($A$2:A497, A497)&gt;1, "DUPLICATE_FLAGGED_FOR_REVIEW", "")</f>
        <v/>
      </c>
      <c r="D497" s="3">
        <v>45540</v>
      </c>
      <c r="E497" s="2">
        <v>45427</v>
      </c>
      <c r="F497" s="2" t="str">
        <f t="shared" si="92"/>
        <v>ERROR: Ship before order</v>
      </c>
      <c r="G497" s="4">
        <f t="shared" si="93"/>
        <v>-113</v>
      </c>
      <c r="H497" t="s">
        <v>1584</v>
      </c>
      <c r="I497" t="s">
        <v>36</v>
      </c>
      <c r="J497" t="s">
        <v>37</v>
      </c>
      <c r="K497" t="s">
        <v>38</v>
      </c>
      <c r="L497" t="str">
        <f t="shared" si="94"/>
        <v>East</v>
      </c>
      <c r="M497" t="s">
        <v>166</v>
      </c>
      <c r="N497" t="s">
        <v>167</v>
      </c>
      <c r="O497" t="s">
        <v>74</v>
      </c>
      <c r="P497" t="s">
        <v>171</v>
      </c>
      <c r="Q497" t="s">
        <v>1585</v>
      </c>
      <c r="R497" t="s">
        <v>31</v>
      </c>
      <c r="S497" t="str">
        <f t="shared" si="95"/>
        <v>Second Class</v>
      </c>
      <c r="T497">
        <v>4</v>
      </c>
      <c r="U497">
        <v>995.98</v>
      </c>
      <c r="V497">
        <v>0.05</v>
      </c>
      <c r="W497">
        <f t="shared" si="96"/>
        <v>0.05</v>
      </c>
      <c r="X497" t="str">
        <f t="shared" si="97"/>
        <v/>
      </c>
      <c r="Y497">
        <v>3784.72</v>
      </c>
      <c r="Z497">
        <f t="shared" si="98"/>
        <v>3784.7239999999997</v>
      </c>
      <c r="AA497">
        <v>2419.2399999999998</v>
      </c>
      <c r="AB497">
        <v>1365.48</v>
      </c>
      <c r="AC497">
        <f t="shared" si="99"/>
        <v>2788.7439999999997</v>
      </c>
      <c r="AD497" s="6">
        <f t="shared" si="100"/>
        <v>0.73684210526315785</v>
      </c>
      <c r="AE497" t="s">
        <v>102</v>
      </c>
      <c r="AF497" t="s">
        <v>103</v>
      </c>
      <c r="AG497">
        <f t="shared" si="101"/>
        <v>9</v>
      </c>
      <c r="AH497">
        <f t="shared" si="102"/>
        <v>2024</v>
      </c>
      <c r="AI497" t="str">
        <f t="shared" si="103"/>
        <v>INVALID</v>
      </c>
    </row>
    <row r="498" spans="1:35">
      <c r="A498" t="s">
        <v>1586</v>
      </c>
      <c r="B498">
        <f t="shared" si="91"/>
        <v>1</v>
      </c>
      <c r="C498" t="str">
        <f>IF(COUNTIF($A$2:A498, A498)&gt;1, "DUPLICATE_FLAGGED_FOR_REVIEW", "")</f>
        <v/>
      </c>
      <c r="D498" s="3">
        <v>45842</v>
      </c>
      <c r="E498" s="2">
        <v>45844</v>
      </c>
      <c r="F498" s="2" t="str">
        <f t="shared" si="92"/>
        <v>OK</v>
      </c>
      <c r="G498" s="4">
        <f t="shared" si="93"/>
        <v>2</v>
      </c>
      <c r="H498" t="s">
        <v>1587</v>
      </c>
      <c r="I498" t="s">
        <v>264</v>
      </c>
      <c r="J498" t="s">
        <v>37</v>
      </c>
      <c r="K498" t="s">
        <v>38</v>
      </c>
      <c r="L498" t="str">
        <f t="shared" si="94"/>
        <v>East</v>
      </c>
      <c r="M498" t="s">
        <v>228</v>
      </c>
      <c r="N498" t="s">
        <v>229</v>
      </c>
      <c r="O498" t="s">
        <v>41</v>
      </c>
      <c r="P498" t="s">
        <v>66</v>
      </c>
      <c r="Q498" t="s">
        <v>1588</v>
      </c>
      <c r="R498" t="s">
        <v>31</v>
      </c>
      <c r="S498" t="str">
        <f t="shared" si="95"/>
        <v>Second Class</v>
      </c>
      <c r="T498">
        <v>2</v>
      </c>
      <c r="U498">
        <v>3686.42</v>
      </c>
      <c r="V498">
        <v>0.1</v>
      </c>
      <c r="W498">
        <f t="shared" si="96"/>
        <v>0.1</v>
      </c>
      <c r="X498" t="str">
        <f t="shared" si="97"/>
        <v/>
      </c>
      <c r="Y498">
        <v>6635.56</v>
      </c>
      <c r="Z498">
        <f t="shared" si="98"/>
        <v>6635.5560000000005</v>
      </c>
      <c r="AA498">
        <v>3652.91</v>
      </c>
      <c r="AB498">
        <v>2982.65</v>
      </c>
      <c r="AC498">
        <f t="shared" si="99"/>
        <v>2949.1360000000004</v>
      </c>
      <c r="AD498" s="6">
        <f t="shared" si="100"/>
        <v>0.44444444444444448</v>
      </c>
      <c r="AE498" t="s">
        <v>32</v>
      </c>
      <c r="AF498" t="s">
        <v>33</v>
      </c>
      <c r="AG498">
        <f t="shared" si="101"/>
        <v>7</v>
      </c>
      <c r="AH498">
        <f t="shared" si="102"/>
        <v>2025</v>
      </c>
      <c r="AI498" t="str">
        <f t="shared" si="103"/>
        <v>CLEAN</v>
      </c>
    </row>
    <row r="499" spans="1:35">
      <c r="A499" t="s">
        <v>1589</v>
      </c>
      <c r="B499">
        <f t="shared" si="91"/>
        <v>1</v>
      </c>
      <c r="C499" t="str">
        <f>IF(COUNTIF($A$2:A499, A499)&gt;1, "DUPLICATE_FLAGGED_FOR_REVIEW", "")</f>
        <v/>
      </c>
      <c r="D499" s="3">
        <v>45533</v>
      </c>
      <c r="E499" s="2">
        <v>45533</v>
      </c>
      <c r="F499" s="2" t="str">
        <f t="shared" si="92"/>
        <v>OK</v>
      </c>
      <c r="G499" s="4">
        <f t="shared" si="93"/>
        <v>0</v>
      </c>
      <c r="H499" t="s">
        <v>1590</v>
      </c>
      <c r="I499" t="s">
        <v>132</v>
      </c>
      <c r="J499" t="s">
        <v>37</v>
      </c>
      <c r="K499" t="s">
        <v>25</v>
      </c>
      <c r="L499" t="str">
        <f t="shared" si="94"/>
        <v>North</v>
      </c>
      <c r="M499" t="s">
        <v>136</v>
      </c>
      <c r="N499" t="s">
        <v>137</v>
      </c>
      <c r="O499" t="s">
        <v>74</v>
      </c>
      <c r="P499" t="s">
        <v>75</v>
      </c>
      <c r="Q499" t="s">
        <v>1591</v>
      </c>
      <c r="R499" t="s">
        <v>31</v>
      </c>
      <c r="S499" t="str">
        <f t="shared" si="95"/>
        <v>Second Class</v>
      </c>
      <c r="T499">
        <v>1</v>
      </c>
      <c r="U499">
        <v>3106.88</v>
      </c>
      <c r="V499">
        <v>0.2</v>
      </c>
      <c r="W499">
        <f t="shared" si="96"/>
        <v>0.2</v>
      </c>
      <c r="X499" t="str">
        <f t="shared" si="97"/>
        <v/>
      </c>
      <c r="Y499">
        <v>2485.5</v>
      </c>
      <c r="Z499">
        <f t="shared" si="98"/>
        <v>2485.5040000000004</v>
      </c>
      <c r="AA499">
        <v>2028.43</v>
      </c>
      <c r="AB499">
        <v>457.07</v>
      </c>
      <c r="AC499">
        <f t="shared" si="99"/>
        <v>-621.37599999999975</v>
      </c>
      <c r="AD499" s="6">
        <f t="shared" si="100"/>
        <v>-0.24999999999999986</v>
      </c>
      <c r="AE499" t="s">
        <v>32</v>
      </c>
      <c r="AF499" t="s">
        <v>68</v>
      </c>
      <c r="AG499">
        <f t="shared" si="101"/>
        <v>8</v>
      </c>
      <c r="AH499">
        <f t="shared" si="102"/>
        <v>2024</v>
      </c>
      <c r="AI499" t="str">
        <f t="shared" si="103"/>
        <v>CLEAN</v>
      </c>
    </row>
    <row r="500" spans="1:35">
      <c r="A500" t="s">
        <v>1592</v>
      </c>
      <c r="B500">
        <f t="shared" si="91"/>
        <v>1</v>
      </c>
      <c r="C500" t="str">
        <f>IF(COUNTIF($A$2:A500, A500)&gt;1, "DUPLICATE_FLAGGED_FOR_REVIEW", "")</f>
        <v/>
      </c>
      <c r="D500" s="3">
        <v>45907</v>
      </c>
      <c r="E500" s="2">
        <v>45910</v>
      </c>
      <c r="F500" s="2" t="str">
        <f t="shared" si="92"/>
        <v>OK</v>
      </c>
      <c r="G500" s="4">
        <f t="shared" si="93"/>
        <v>3</v>
      </c>
      <c r="H500" t="s">
        <v>1593</v>
      </c>
      <c r="I500" t="s">
        <v>23</v>
      </c>
      <c r="J500" t="s">
        <v>24</v>
      </c>
      <c r="K500" t="s">
        <v>25</v>
      </c>
      <c r="L500" t="str">
        <f t="shared" si="94"/>
        <v>North</v>
      </c>
      <c r="M500" t="s">
        <v>122</v>
      </c>
      <c r="N500" t="s">
        <v>123</v>
      </c>
      <c r="O500" t="s">
        <v>41</v>
      </c>
      <c r="P500" t="s">
        <v>66</v>
      </c>
      <c r="Q500" t="s">
        <v>1594</v>
      </c>
      <c r="R500" t="s">
        <v>44</v>
      </c>
      <c r="S500" t="str">
        <f t="shared" si="95"/>
        <v>Same Day</v>
      </c>
      <c r="T500">
        <v>2</v>
      </c>
      <c r="U500">
        <v>447.55</v>
      </c>
      <c r="V500">
        <v>0.05</v>
      </c>
      <c r="W500">
        <f t="shared" si="96"/>
        <v>0.05</v>
      </c>
      <c r="X500" t="str">
        <f t="shared" si="97"/>
        <v/>
      </c>
      <c r="Y500">
        <v>850.35</v>
      </c>
      <c r="Z500">
        <f t="shared" si="98"/>
        <v>850.34500000000003</v>
      </c>
      <c r="AA500">
        <v>600.98</v>
      </c>
      <c r="AB500">
        <v>249.37</v>
      </c>
      <c r="AC500">
        <f t="shared" si="99"/>
        <v>402.79500000000002</v>
      </c>
      <c r="AD500" s="6">
        <f t="shared" si="100"/>
        <v>0.47368421052631582</v>
      </c>
      <c r="AE500" t="s">
        <v>102</v>
      </c>
      <c r="AF500" t="s">
        <v>68</v>
      </c>
      <c r="AG500">
        <f t="shared" si="101"/>
        <v>9</v>
      </c>
      <c r="AH500">
        <f t="shared" si="102"/>
        <v>2025</v>
      </c>
      <c r="AI500" t="str">
        <f t="shared" si="103"/>
        <v>CLEAN</v>
      </c>
    </row>
    <row r="501" spans="1:35">
      <c r="A501" t="s">
        <v>1595</v>
      </c>
      <c r="B501">
        <f t="shared" si="91"/>
        <v>1</v>
      </c>
      <c r="C501" t="str">
        <f>IF(COUNTIF($A$2:A501, A501)&gt;1, "DUPLICATE_FLAGGED_FOR_REVIEW", "")</f>
        <v/>
      </c>
      <c r="D501" s="3">
        <v>45648</v>
      </c>
      <c r="E501" s="2">
        <v>45652</v>
      </c>
      <c r="F501" s="2" t="str">
        <f t="shared" si="92"/>
        <v>OK</v>
      </c>
      <c r="G501" s="4">
        <f t="shared" si="93"/>
        <v>4</v>
      </c>
      <c r="H501" t="s">
        <v>1596</v>
      </c>
      <c r="I501" t="s">
        <v>118</v>
      </c>
      <c r="J501" t="s">
        <v>95</v>
      </c>
      <c r="K501" t="s">
        <v>25</v>
      </c>
      <c r="L501" t="str">
        <f t="shared" si="94"/>
        <v>North</v>
      </c>
      <c r="M501" t="s">
        <v>136</v>
      </c>
      <c r="N501" t="s">
        <v>137</v>
      </c>
      <c r="O501" t="s">
        <v>41</v>
      </c>
      <c r="P501" t="s">
        <v>66</v>
      </c>
      <c r="Q501" t="s">
        <v>1597</v>
      </c>
      <c r="R501" t="s">
        <v>59</v>
      </c>
      <c r="S501" t="str">
        <f t="shared" si="95"/>
        <v>Standard Class</v>
      </c>
      <c r="T501">
        <v>9</v>
      </c>
      <c r="U501">
        <v>1110.8699999999999</v>
      </c>
      <c r="W501">
        <f t="shared" si="96"/>
        <v>0</v>
      </c>
      <c r="X501" t="str">
        <f t="shared" si="97"/>
        <v>DISCOUNT_MISSING_SET_TO_0</v>
      </c>
      <c r="Y501">
        <v>7498.37</v>
      </c>
      <c r="Z501">
        <f t="shared" si="98"/>
        <v>9997.8299999999981</v>
      </c>
      <c r="AA501">
        <v>6059.07</v>
      </c>
      <c r="AB501">
        <v>1439.3</v>
      </c>
      <c r="AC501">
        <f t="shared" si="99"/>
        <v>8886.9599999999991</v>
      </c>
      <c r="AD501" s="6">
        <f t="shared" si="100"/>
        <v>0.88888888888888895</v>
      </c>
      <c r="AE501" t="s">
        <v>32</v>
      </c>
      <c r="AF501" t="s">
        <v>68</v>
      </c>
      <c r="AG501">
        <f t="shared" si="101"/>
        <v>12</v>
      </c>
      <c r="AH501">
        <f t="shared" si="102"/>
        <v>2024</v>
      </c>
      <c r="AI501" t="str">
        <f t="shared" si="103"/>
        <v>WARNING</v>
      </c>
    </row>
    <row r="502" spans="1:35">
      <c r="A502" t="s">
        <v>1598</v>
      </c>
      <c r="B502">
        <f t="shared" si="91"/>
        <v>1</v>
      </c>
      <c r="C502" t="str">
        <f>IF(COUNTIF($A$2:A502, A502)&gt;1, "DUPLICATE_FLAGGED_FOR_REVIEW", "")</f>
        <v/>
      </c>
      <c r="D502" s="3">
        <v>45429</v>
      </c>
      <c r="E502" s="2">
        <v>45434</v>
      </c>
      <c r="F502" s="2" t="str">
        <f t="shared" si="92"/>
        <v>OK</v>
      </c>
      <c r="G502" s="4">
        <f t="shared" si="93"/>
        <v>5</v>
      </c>
      <c r="H502" t="s">
        <v>1599</v>
      </c>
      <c r="I502" t="s">
        <v>132</v>
      </c>
      <c r="J502" t="s">
        <v>24</v>
      </c>
      <c r="K502" t="s">
        <v>54</v>
      </c>
      <c r="L502" t="str">
        <f t="shared" si="94"/>
        <v>South</v>
      </c>
      <c r="M502" t="s">
        <v>185</v>
      </c>
      <c r="N502" t="s">
        <v>186</v>
      </c>
      <c r="O502" t="s">
        <v>74</v>
      </c>
      <c r="P502" t="s">
        <v>171</v>
      </c>
      <c r="Q502" t="s">
        <v>1600</v>
      </c>
      <c r="R502" t="s">
        <v>44</v>
      </c>
      <c r="S502" t="str">
        <f t="shared" si="95"/>
        <v>Same Day</v>
      </c>
      <c r="T502">
        <v>9</v>
      </c>
      <c r="U502">
        <v>3795.99</v>
      </c>
      <c r="V502">
        <v>0.85</v>
      </c>
      <c r="W502">
        <f t="shared" si="96"/>
        <v>0.85</v>
      </c>
      <c r="X502" t="str">
        <f t="shared" si="97"/>
        <v>INVALID_DISCOUNT_ABOVE_50PCT</v>
      </c>
      <c r="Y502">
        <v>34163.910000000003</v>
      </c>
      <c r="Z502">
        <f t="shared" si="98"/>
        <v>5124.5865000000003</v>
      </c>
      <c r="AA502">
        <v>28577.15</v>
      </c>
      <c r="AB502">
        <v>5586.76</v>
      </c>
      <c r="AC502">
        <f t="shared" si="99"/>
        <v>1328.5965000000006</v>
      </c>
      <c r="AD502" s="6">
        <f t="shared" si="100"/>
        <v>0.25925925925925936</v>
      </c>
      <c r="AE502" t="s">
        <v>32</v>
      </c>
      <c r="AF502" t="s">
        <v>33</v>
      </c>
      <c r="AG502">
        <f t="shared" si="101"/>
        <v>5</v>
      </c>
      <c r="AH502">
        <f t="shared" si="102"/>
        <v>2024</v>
      </c>
      <c r="AI502" t="str">
        <f t="shared" si="103"/>
        <v>INVALID</v>
      </c>
    </row>
    <row r="503" spans="1:35">
      <c r="A503" t="s">
        <v>1601</v>
      </c>
      <c r="B503">
        <f t="shared" si="91"/>
        <v>1</v>
      </c>
      <c r="C503" t="str">
        <f>IF(COUNTIF($A$2:A503, A503)&gt;1, "DUPLICATE_FLAGGED_FOR_REVIEW", "")</f>
        <v/>
      </c>
      <c r="D503" s="3">
        <v>45515</v>
      </c>
      <c r="E503" s="2">
        <v>45521</v>
      </c>
      <c r="F503" s="2" t="str">
        <f t="shared" si="92"/>
        <v>OK</v>
      </c>
      <c r="G503" s="4">
        <f t="shared" si="93"/>
        <v>6</v>
      </c>
      <c r="H503" t="s">
        <v>806</v>
      </c>
      <c r="I503" t="s">
        <v>79</v>
      </c>
      <c r="J503" t="s">
        <v>24</v>
      </c>
      <c r="K503" t="s">
        <v>38</v>
      </c>
      <c r="L503" t="str">
        <f t="shared" si="94"/>
        <v>East</v>
      </c>
      <c r="M503" t="s">
        <v>228</v>
      </c>
      <c r="N503" t="s">
        <v>229</v>
      </c>
      <c r="O503" t="s">
        <v>28</v>
      </c>
      <c r="P503" t="s">
        <v>48</v>
      </c>
      <c r="Q503" t="s">
        <v>1602</v>
      </c>
      <c r="R503" t="s">
        <v>31</v>
      </c>
      <c r="S503" t="str">
        <f t="shared" si="95"/>
        <v>Second Class</v>
      </c>
      <c r="T503">
        <v>6</v>
      </c>
      <c r="U503">
        <v>3497.54</v>
      </c>
      <c r="V503">
        <v>0.15</v>
      </c>
      <c r="W503">
        <f t="shared" si="96"/>
        <v>0.15</v>
      </c>
      <c r="X503" t="str">
        <f t="shared" si="97"/>
        <v/>
      </c>
      <c r="Y503">
        <v>17837.45</v>
      </c>
      <c r="Z503">
        <f t="shared" si="98"/>
        <v>17837.453999999998</v>
      </c>
      <c r="AA503">
        <v>13627.02</v>
      </c>
      <c r="AB503">
        <v>4210.43</v>
      </c>
      <c r="AC503">
        <f t="shared" si="99"/>
        <v>14339.913999999997</v>
      </c>
      <c r="AD503" s="6">
        <f t="shared" si="100"/>
        <v>0.8039215686274509</v>
      </c>
      <c r="AE503" t="s">
        <v>32</v>
      </c>
      <c r="AF503" t="s">
        <v>33</v>
      </c>
      <c r="AG503">
        <f t="shared" si="101"/>
        <v>8</v>
      </c>
      <c r="AH503">
        <f t="shared" si="102"/>
        <v>2024</v>
      </c>
      <c r="AI503" t="str">
        <f t="shared" si="103"/>
        <v>CLEAN</v>
      </c>
    </row>
    <row r="504" spans="1:35">
      <c r="A504" t="s">
        <v>1603</v>
      </c>
      <c r="B504">
        <f t="shared" si="91"/>
        <v>1</v>
      </c>
      <c r="C504" t="str">
        <f>IF(COUNTIF($A$2:A504, A504)&gt;1, "DUPLICATE_FLAGGED_FOR_REVIEW", "")</f>
        <v/>
      </c>
      <c r="D504" s="3">
        <v>45295</v>
      </c>
      <c r="E504" s="2">
        <v>45391</v>
      </c>
      <c r="F504" s="2" t="str">
        <f t="shared" si="92"/>
        <v>OK</v>
      </c>
      <c r="G504" s="4">
        <f t="shared" si="93"/>
        <v>96</v>
      </c>
      <c r="H504" t="s">
        <v>1604</v>
      </c>
      <c r="I504" t="s">
        <v>114</v>
      </c>
      <c r="J504" t="s">
        <v>37</v>
      </c>
      <c r="K504" t="s">
        <v>38</v>
      </c>
      <c r="L504" t="str">
        <f t="shared" si="94"/>
        <v>East</v>
      </c>
      <c r="M504" t="s">
        <v>39</v>
      </c>
      <c r="N504" t="s">
        <v>40</v>
      </c>
      <c r="O504" t="s">
        <v>74</v>
      </c>
      <c r="P504" t="s">
        <v>80</v>
      </c>
      <c r="Q504" t="s">
        <v>1605</v>
      </c>
      <c r="R504" t="s">
        <v>31</v>
      </c>
      <c r="S504" t="str">
        <f t="shared" si="95"/>
        <v>Second Class</v>
      </c>
      <c r="T504">
        <v>6</v>
      </c>
      <c r="U504">
        <v>826.93</v>
      </c>
      <c r="V504">
        <v>0.1</v>
      </c>
      <c r="W504">
        <f t="shared" si="96"/>
        <v>0.1</v>
      </c>
      <c r="X504" t="str">
        <f t="shared" si="97"/>
        <v/>
      </c>
      <c r="Y504">
        <v>4465.42</v>
      </c>
      <c r="Z504">
        <f t="shared" si="98"/>
        <v>4465.4220000000005</v>
      </c>
      <c r="AA504">
        <v>3377.1</v>
      </c>
      <c r="AB504">
        <v>1088.32</v>
      </c>
      <c r="AC504">
        <f t="shared" si="99"/>
        <v>3638.4920000000006</v>
      </c>
      <c r="AD504" s="6">
        <f t="shared" si="100"/>
        <v>0.81481481481481488</v>
      </c>
      <c r="AE504" t="s">
        <v>32</v>
      </c>
      <c r="AF504" t="s">
        <v>33</v>
      </c>
      <c r="AG504">
        <f t="shared" si="101"/>
        <v>1</v>
      </c>
      <c r="AH504">
        <f t="shared" si="102"/>
        <v>2024</v>
      </c>
      <c r="AI504" t="str">
        <f t="shared" si="103"/>
        <v>CLEAN</v>
      </c>
    </row>
    <row r="505" spans="1:35">
      <c r="A505" t="s">
        <v>1606</v>
      </c>
      <c r="B505">
        <f t="shared" si="91"/>
        <v>1</v>
      </c>
      <c r="C505" t="str">
        <f>IF(COUNTIF($A$2:A505, A505)&gt;1, "DUPLICATE_FLAGGED_FOR_REVIEW", "")</f>
        <v/>
      </c>
      <c r="D505" s="3">
        <v>45563</v>
      </c>
      <c r="E505" s="2">
        <v>45570</v>
      </c>
      <c r="F505" s="2" t="str">
        <f t="shared" si="92"/>
        <v>OK</v>
      </c>
      <c r="G505" s="4">
        <f t="shared" si="93"/>
        <v>7</v>
      </c>
      <c r="H505" t="s">
        <v>1607</v>
      </c>
      <c r="I505" t="s">
        <v>128</v>
      </c>
      <c r="J505" t="s">
        <v>24</v>
      </c>
      <c r="K505" t="s">
        <v>54</v>
      </c>
      <c r="L505" t="str">
        <f t="shared" si="94"/>
        <v>South</v>
      </c>
      <c r="M505" t="s">
        <v>247</v>
      </c>
      <c r="N505" t="s">
        <v>248</v>
      </c>
      <c r="O505" t="s">
        <v>74</v>
      </c>
      <c r="P505" t="s">
        <v>171</v>
      </c>
      <c r="Q505" t="s">
        <v>1608</v>
      </c>
      <c r="R505" t="s">
        <v>59</v>
      </c>
      <c r="S505" t="str">
        <f t="shared" si="95"/>
        <v>Standard Class</v>
      </c>
      <c r="T505">
        <v>7</v>
      </c>
      <c r="U505">
        <v>1681.6</v>
      </c>
      <c r="V505">
        <v>0.1</v>
      </c>
      <c r="W505">
        <f t="shared" si="96"/>
        <v>0.1</v>
      </c>
      <c r="X505" t="str">
        <f t="shared" si="97"/>
        <v/>
      </c>
      <c r="Y505">
        <v>10594.08</v>
      </c>
      <c r="Z505">
        <f t="shared" si="98"/>
        <v>10594.08</v>
      </c>
      <c r="AA505">
        <v>7160.31</v>
      </c>
      <c r="AB505">
        <v>3433.77</v>
      </c>
      <c r="AC505">
        <f t="shared" si="99"/>
        <v>8912.48</v>
      </c>
      <c r="AD505" s="6">
        <f t="shared" si="100"/>
        <v>0.84126984126984128</v>
      </c>
      <c r="AE505" t="s">
        <v>32</v>
      </c>
      <c r="AF505" t="s">
        <v>33</v>
      </c>
      <c r="AG505">
        <f t="shared" si="101"/>
        <v>9</v>
      </c>
      <c r="AH505">
        <f t="shared" si="102"/>
        <v>2024</v>
      </c>
      <c r="AI505" t="str">
        <f t="shared" si="103"/>
        <v>CLEAN</v>
      </c>
    </row>
    <row r="506" spans="1:35">
      <c r="A506" t="s">
        <v>1609</v>
      </c>
      <c r="B506">
        <f t="shared" si="91"/>
        <v>1</v>
      </c>
      <c r="C506" t="str">
        <f>IF(COUNTIF($A$2:A506, A506)&gt;1, "DUPLICATE_FLAGGED_FOR_REVIEW", "")</f>
        <v/>
      </c>
      <c r="D506" s="3">
        <v>45700</v>
      </c>
      <c r="E506" s="2">
        <v>45705</v>
      </c>
      <c r="F506" s="2" t="str">
        <f t="shared" si="92"/>
        <v>OK</v>
      </c>
      <c r="G506" s="4">
        <f t="shared" si="93"/>
        <v>5</v>
      </c>
      <c r="H506" t="s">
        <v>1610</v>
      </c>
      <c r="I506" t="s">
        <v>53</v>
      </c>
      <c r="J506" t="s">
        <v>90</v>
      </c>
      <c r="K506" t="s">
        <v>63</v>
      </c>
      <c r="L506" t="str">
        <f t="shared" si="94"/>
        <v>West</v>
      </c>
      <c r="M506" t="s">
        <v>180</v>
      </c>
      <c r="N506" t="s">
        <v>181</v>
      </c>
      <c r="O506" t="s">
        <v>28</v>
      </c>
      <c r="P506" t="s">
        <v>48</v>
      </c>
      <c r="Q506" t="s">
        <v>1611</v>
      </c>
      <c r="R506" t="s">
        <v>59</v>
      </c>
      <c r="S506" t="str">
        <f t="shared" si="95"/>
        <v>Standard Class</v>
      </c>
      <c r="T506">
        <v>4</v>
      </c>
      <c r="U506">
        <v>4328.12</v>
      </c>
      <c r="V506">
        <v>0</v>
      </c>
      <c r="W506">
        <f t="shared" si="96"/>
        <v>0</v>
      </c>
      <c r="X506" t="str">
        <f t="shared" si="97"/>
        <v/>
      </c>
      <c r="Y506">
        <v>17312.48</v>
      </c>
      <c r="Z506">
        <f t="shared" si="98"/>
        <v>17312.48</v>
      </c>
      <c r="AA506">
        <v>14424.22</v>
      </c>
      <c r="AB506">
        <v>2888.26</v>
      </c>
      <c r="AC506">
        <f t="shared" si="99"/>
        <v>12984.36</v>
      </c>
      <c r="AD506" s="6">
        <f t="shared" si="100"/>
        <v>0.75</v>
      </c>
      <c r="AE506" t="s">
        <v>32</v>
      </c>
      <c r="AF506" t="s">
        <v>33</v>
      </c>
      <c r="AG506">
        <f t="shared" si="101"/>
        <v>2</v>
      </c>
      <c r="AH506">
        <f t="shared" si="102"/>
        <v>2025</v>
      </c>
      <c r="AI506" t="str">
        <f t="shared" si="103"/>
        <v>CLEAN</v>
      </c>
    </row>
    <row r="507" spans="1:35">
      <c r="A507" t="s">
        <v>1612</v>
      </c>
      <c r="B507">
        <f t="shared" si="91"/>
        <v>1</v>
      </c>
      <c r="C507" t="str">
        <f>IF(COUNTIF($A$2:A507, A507)&gt;1, "DUPLICATE_FLAGGED_FOR_REVIEW", "")</f>
        <v/>
      </c>
      <c r="D507" s="3">
        <v>45605</v>
      </c>
      <c r="E507" s="2">
        <v>45610</v>
      </c>
      <c r="F507" s="2" t="str">
        <f t="shared" si="92"/>
        <v>OK</v>
      </c>
      <c r="G507" s="4">
        <f t="shared" si="93"/>
        <v>5</v>
      </c>
      <c r="H507" t="s">
        <v>1613</v>
      </c>
      <c r="I507" t="s">
        <v>79</v>
      </c>
      <c r="J507" t="s">
        <v>90</v>
      </c>
      <c r="K507" t="s">
        <v>63</v>
      </c>
      <c r="L507" t="str">
        <f t="shared" si="94"/>
        <v>West</v>
      </c>
      <c r="M507" t="s">
        <v>72</v>
      </c>
      <c r="N507" t="s">
        <v>73</v>
      </c>
      <c r="O507" t="s">
        <v>28</v>
      </c>
      <c r="P507" t="s">
        <v>48</v>
      </c>
      <c r="Q507" t="s">
        <v>1614</v>
      </c>
      <c r="R507" t="s">
        <v>50</v>
      </c>
      <c r="S507" t="str">
        <f t="shared" si="95"/>
        <v>First Class</v>
      </c>
      <c r="T507">
        <v>9</v>
      </c>
      <c r="U507">
        <v>2438.29</v>
      </c>
      <c r="V507">
        <v>0.2</v>
      </c>
      <c r="W507">
        <f t="shared" si="96"/>
        <v>0.2</v>
      </c>
      <c r="X507" t="str">
        <f t="shared" si="97"/>
        <v/>
      </c>
      <c r="Y507">
        <v>17555.689999999999</v>
      </c>
      <c r="Z507">
        <f t="shared" si="98"/>
        <v>17555.688000000002</v>
      </c>
      <c r="AA507">
        <v>13293.2</v>
      </c>
      <c r="AB507">
        <v>4262.49</v>
      </c>
      <c r="AC507">
        <f t="shared" si="99"/>
        <v>15117.398000000001</v>
      </c>
      <c r="AD507" s="6">
        <f t="shared" si="100"/>
        <v>0.86111111111111105</v>
      </c>
      <c r="AE507" t="s">
        <v>32</v>
      </c>
      <c r="AF507" t="s">
        <v>68</v>
      </c>
      <c r="AG507">
        <f t="shared" si="101"/>
        <v>11</v>
      </c>
      <c r="AH507">
        <f t="shared" si="102"/>
        <v>2024</v>
      </c>
      <c r="AI507" t="str">
        <f t="shared" si="103"/>
        <v>CLEAN</v>
      </c>
    </row>
    <row r="508" spans="1:35">
      <c r="A508" t="s">
        <v>1615</v>
      </c>
      <c r="B508">
        <f t="shared" si="91"/>
        <v>1</v>
      </c>
      <c r="C508" t="str">
        <f>IF(COUNTIF($A$2:A508, A508)&gt;1, "DUPLICATE_FLAGGED_FOR_REVIEW", "")</f>
        <v/>
      </c>
      <c r="D508" s="3">
        <v>45641</v>
      </c>
      <c r="E508" s="2">
        <v>45641</v>
      </c>
      <c r="F508" s="2" t="str">
        <f t="shared" si="92"/>
        <v>OK</v>
      </c>
      <c r="G508" s="4">
        <f t="shared" si="93"/>
        <v>0</v>
      </c>
      <c r="H508" t="s">
        <v>1616</v>
      </c>
      <c r="I508" t="s">
        <v>128</v>
      </c>
      <c r="J508" t="s">
        <v>37</v>
      </c>
      <c r="K508" t="s">
        <v>25</v>
      </c>
      <c r="L508" t="str">
        <f t="shared" si="94"/>
        <v>North</v>
      </c>
      <c r="M508" t="s">
        <v>122</v>
      </c>
      <c r="N508" t="s">
        <v>123</v>
      </c>
      <c r="O508" t="s">
        <v>41</v>
      </c>
      <c r="P508" t="s">
        <v>57</v>
      </c>
      <c r="Q508" t="s">
        <v>1617</v>
      </c>
      <c r="R508" t="s">
        <v>50</v>
      </c>
      <c r="S508" t="str">
        <f t="shared" si="95"/>
        <v>First Class</v>
      </c>
      <c r="T508">
        <v>2</v>
      </c>
      <c r="U508">
        <v>669.8</v>
      </c>
      <c r="V508">
        <v>0.1</v>
      </c>
      <c r="W508">
        <f t="shared" si="96"/>
        <v>0.1</v>
      </c>
      <c r="X508" t="str">
        <f t="shared" si="97"/>
        <v/>
      </c>
      <c r="Y508">
        <v>1205.6400000000001</v>
      </c>
      <c r="Z508">
        <f t="shared" si="98"/>
        <v>1205.6399999999999</v>
      </c>
      <c r="AA508">
        <v>842.07</v>
      </c>
      <c r="AB508">
        <v>363.57</v>
      </c>
      <c r="AC508">
        <f t="shared" si="99"/>
        <v>535.83999999999992</v>
      </c>
      <c r="AD508" s="6">
        <f t="shared" si="100"/>
        <v>0.44444444444444442</v>
      </c>
      <c r="AE508" t="s">
        <v>102</v>
      </c>
      <c r="AF508" t="s">
        <v>103</v>
      </c>
      <c r="AG508">
        <f t="shared" si="101"/>
        <v>12</v>
      </c>
      <c r="AH508">
        <f t="shared" si="102"/>
        <v>2024</v>
      </c>
      <c r="AI508" t="str">
        <f t="shared" si="103"/>
        <v>CLEAN</v>
      </c>
    </row>
    <row r="509" spans="1:35">
      <c r="A509" t="s">
        <v>1618</v>
      </c>
      <c r="B509">
        <f t="shared" si="91"/>
        <v>1</v>
      </c>
      <c r="C509" t="str">
        <f>IF(COUNTIF($A$2:A509, A509)&gt;1, "DUPLICATE_FLAGGED_FOR_REVIEW", "")</f>
        <v/>
      </c>
      <c r="D509" s="3">
        <v>45762</v>
      </c>
      <c r="E509" s="2">
        <v>45769</v>
      </c>
      <c r="F509" s="2" t="str">
        <f t="shared" si="92"/>
        <v>OK</v>
      </c>
      <c r="G509" s="4">
        <f t="shared" si="93"/>
        <v>7</v>
      </c>
      <c r="H509" t="s">
        <v>1619</v>
      </c>
      <c r="I509" t="s">
        <v>47</v>
      </c>
      <c r="J509" t="s">
        <v>37</v>
      </c>
      <c r="K509" t="s">
        <v>25</v>
      </c>
      <c r="L509" t="str">
        <f t="shared" si="94"/>
        <v>North</v>
      </c>
      <c r="M509" t="s">
        <v>236</v>
      </c>
      <c r="N509" t="s">
        <v>237</v>
      </c>
      <c r="O509" t="s">
        <v>28</v>
      </c>
      <c r="P509" t="s">
        <v>153</v>
      </c>
      <c r="Q509" t="s">
        <v>1620</v>
      </c>
      <c r="R509" t="s">
        <v>44</v>
      </c>
      <c r="S509" t="str">
        <f t="shared" si="95"/>
        <v>Same Day</v>
      </c>
      <c r="T509">
        <v>4</v>
      </c>
      <c r="U509">
        <v>2990.42</v>
      </c>
      <c r="V509">
        <v>0.25</v>
      </c>
      <c r="W509">
        <f t="shared" si="96"/>
        <v>0.25</v>
      </c>
      <c r="X509" t="str">
        <f t="shared" si="97"/>
        <v/>
      </c>
      <c r="Y509">
        <v>8971.26</v>
      </c>
      <c r="Z509">
        <f t="shared" si="98"/>
        <v>8971.26</v>
      </c>
      <c r="AA509">
        <v>6814.35</v>
      </c>
      <c r="AB509">
        <v>2156.91</v>
      </c>
      <c r="AC509">
        <f t="shared" si="99"/>
        <v>5980.84</v>
      </c>
      <c r="AD509" s="6">
        <f t="shared" si="100"/>
        <v>0.66666666666666663</v>
      </c>
      <c r="AE509" t="s">
        <v>32</v>
      </c>
      <c r="AF509" t="s">
        <v>33</v>
      </c>
      <c r="AG509">
        <f t="shared" si="101"/>
        <v>4</v>
      </c>
      <c r="AH509">
        <f t="shared" si="102"/>
        <v>2025</v>
      </c>
      <c r="AI509" t="str">
        <f t="shared" si="103"/>
        <v>CLEAN</v>
      </c>
    </row>
    <row r="510" spans="1:35">
      <c r="A510" t="s">
        <v>1621</v>
      </c>
      <c r="B510">
        <f t="shared" si="91"/>
        <v>1</v>
      </c>
      <c r="C510" t="str">
        <f>IF(COUNTIF($A$2:A510, A510)&gt;1, "DUPLICATE_FLAGGED_FOR_REVIEW", "")</f>
        <v/>
      </c>
      <c r="D510" s="3">
        <v>45382</v>
      </c>
      <c r="E510" s="2">
        <v>45389</v>
      </c>
      <c r="F510" s="2" t="str">
        <f t="shared" si="92"/>
        <v>OK</v>
      </c>
      <c r="G510" s="4">
        <f t="shared" si="93"/>
        <v>7</v>
      </c>
      <c r="H510" t="s">
        <v>1622</v>
      </c>
      <c r="I510" t="s">
        <v>47</v>
      </c>
      <c r="J510" t="s">
        <v>37</v>
      </c>
      <c r="K510" t="s">
        <v>25</v>
      </c>
      <c r="L510" t="str">
        <f t="shared" si="94"/>
        <v>North</v>
      </c>
      <c r="M510" t="s">
        <v>236</v>
      </c>
      <c r="N510" t="s">
        <v>237</v>
      </c>
      <c r="O510" t="s">
        <v>74</v>
      </c>
      <c r="P510" t="s">
        <v>274</v>
      </c>
      <c r="Q510" t="s">
        <v>1623</v>
      </c>
      <c r="R510" t="s">
        <v>31</v>
      </c>
      <c r="S510" t="str">
        <f t="shared" si="95"/>
        <v>Second Class</v>
      </c>
      <c r="T510">
        <v>4</v>
      </c>
      <c r="U510">
        <v>1831</v>
      </c>
      <c r="V510">
        <v>0</v>
      </c>
      <c r="W510">
        <f t="shared" si="96"/>
        <v>0</v>
      </c>
      <c r="X510" t="str">
        <f t="shared" si="97"/>
        <v/>
      </c>
      <c r="Y510">
        <v>7324</v>
      </c>
      <c r="Z510">
        <f t="shared" si="98"/>
        <v>7324</v>
      </c>
      <c r="AA510">
        <v>4179.63</v>
      </c>
      <c r="AB510">
        <v>3144.37</v>
      </c>
      <c r="AC510">
        <f t="shared" si="99"/>
        <v>5493</v>
      </c>
      <c r="AD510" s="6">
        <f t="shared" si="100"/>
        <v>0.75</v>
      </c>
      <c r="AE510" t="s">
        <v>32</v>
      </c>
      <c r="AF510" t="s">
        <v>33</v>
      </c>
      <c r="AG510">
        <f t="shared" si="101"/>
        <v>3</v>
      </c>
      <c r="AH510">
        <f t="shared" si="102"/>
        <v>2024</v>
      </c>
      <c r="AI510" t="str">
        <f t="shared" si="103"/>
        <v>CLEAN</v>
      </c>
    </row>
    <row r="511" spans="1:35">
      <c r="A511" t="s">
        <v>1624</v>
      </c>
      <c r="B511">
        <f t="shared" si="91"/>
        <v>1</v>
      </c>
      <c r="C511" t="str">
        <f>IF(COUNTIF($A$2:A511, A511)&gt;1, "DUPLICATE_FLAGGED_FOR_REVIEW", "")</f>
        <v/>
      </c>
      <c r="D511" s="3">
        <v>45789</v>
      </c>
      <c r="E511" s="2">
        <v>45791</v>
      </c>
      <c r="F511" s="2" t="str">
        <f t="shared" si="92"/>
        <v>OK</v>
      </c>
      <c r="G511" s="4">
        <f t="shared" si="93"/>
        <v>2</v>
      </c>
      <c r="H511" t="s">
        <v>1625</v>
      </c>
      <c r="I511" t="s">
        <v>79</v>
      </c>
      <c r="J511" t="s">
        <v>24</v>
      </c>
      <c r="K511" t="s">
        <v>63</v>
      </c>
      <c r="L511" t="str">
        <f t="shared" si="94"/>
        <v>West</v>
      </c>
      <c r="M511" t="s">
        <v>180</v>
      </c>
      <c r="N511" t="s">
        <v>181</v>
      </c>
      <c r="O511" t="s">
        <v>74</v>
      </c>
      <c r="P511" t="s">
        <v>274</v>
      </c>
      <c r="Q511" t="s">
        <v>1626</v>
      </c>
      <c r="R511" t="s">
        <v>44</v>
      </c>
      <c r="S511" t="str">
        <f t="shared" si="95"/>
        <v>Same Day</v>
      </c>
      <c r="T511">
        <v>8</v>
      </c>
      <c r="U511">
        <v>3631.44</v>
      </c>
      <c r="V511">
        <v>0.2</v>
      </c>
      <c r="W511">
        <f t="shared" si="96"/>
        <v>0.2</v>
      </c>
      <c r="X511" t="str">
        <f t="shared" si="97"/>
        <v/>
      </c>
      <c r="Y511">
        <v>23241.22</v>
      </c>
      <c r="Z511">
        <f t="shared" si="98"/>
        <v>23241.216</v>
      </c>
      <c r="AA511">
        <v>17220.900000000001</v>
      </c>
      <c r="AB511">
        <v>6020.32</v>
      </c>
      <c r="AC511">
        <f t="shared" si="99"/>
        <v>19609.776000000002</v>
      </c>
      <c r="AD511" s="6">
        <f t="shared" si="100"/>
        <v>0.84375000000000011</v>
      </c>
      <c r="AE511" t="s">
        <v>32</v>
      </c>
      <c r="AF511" t="s">
        <v>33</v>
      </c>
      <c r="AG511">
        <f t="shared" si="101"/>
        <v>5</v>
      </c>
      <c r="AH511">
        <f t="shared" si="102"/>
        <v>2025</v>
      </c>
      <c r="AI511" t="str">
        <f t="shared" si="103"/>
        <v>CLEAN</v>
      </c>
    </row>
    <row r="512" spans="1:35">
      <c r="A512" t="s">
        <v>1627</v>
      </c>
      <c r="B512">
        <f t="shared" si="91"/>
        <v>1</v>
      </c>
      <c r="C512" t="str">
        <f>IF(COUNTIF($A$2:A512, A512)&gt;1, "DUPLICATE_FLAGGED_FOR_REVIEW", "")</f>
        <v/>
      </c>
      <c r="D512" s="3">
        <v>45583</v>
      </c>
      <c r="E512" s="2">
        <v>45586</v>
      </c>
      <c r="F512" s="2" t="str">
        <f t="shared" si="92"/>
        <v>OK</v>
      </c>
      <c r="G512" s="4">
        <f t="shared" si="93"/>
        <v>3</v>
      </c>
      <c r="H512" t="s">
        <v>1628</v>
      </c>
      <c r="I512" t="s">
        <v>128</v>
      </c>
      <c r="J512" t="s">
        <v>24</v>
      </c>
      <c r="K512" t="s">
        <v>54</v>
      </c>
      <c r="L512" t="str">
        <f t="shared" si="94"/>
        <v>South</v>
      </c>
      <c r="M512" t="s">
        <v>175</v>
      </c>
      <c r="N512" t="s">
        <v>176</v>
      </c>
      <c r="O512" t="s">
        <v>28</v>
      </c>
      <c r="P512" t="s">
        <v>124</v>
      </c>
      <c r="Q512" t="s">
        <v>1629</v>
      </c>
      <c r="R512" t="s">
        <v>31</v>
      </c>
      <c r="S512" t="str">
        <f t="shared" si="95"/>
        <v>Second Class</v>
      </c>
      <c r="T512">
        <v>2</v>
      </c>
      <c r="U512">
        <v>4238.51</v>
      </c>
      <c r="V512">
        <v>0</v>
      </c>
      <c r="W512">
        <f t="shared" si="96"/>
        <v>0</v>
      </c>
      <c r="X512" t="str">
        <f t="shared" si="97"/>
        <v/>
      </c>
      <c r="Y512">
        <v>8477.02</v>
      </c>
      <c r="Z512">
        <f t="shared" si="98"/>
        <v>8477.02</v>
      </c>
      <c r="AA512">
        <v>6884.96</v>
      </c>
      <c r="AB512">
        <v>1592.06</v>
      </c>
      <c r="AC512">
        <f t="shared" si="99"/>
        <v>4238.51</v>
      </c>
      <c r="AD512" s="6">
        <f t="shared" si="100"/>
        <v>0.5</v>
      </c>
      <c r="AE512" t="s">
        <v>32</v>
      </c>
      <c r="AF512" t="s">
        <v>33</v>
      </c>
      <c r="AG512">
        <f t="shared" si="101"/>
        <v>10</v>
      </c>
      <c r="AH512">
        <f t="shared" si="102"/>
        <v>2024</v>
      </c>
      <c r="AI512" t="str">
        <f t="shared" si="103"/>
        <v>CLEAN</v>
      </c>
    </row>
    <row r="513" spans="1:35">
      <c r="A513" t="s">
        <v>1630</v>
      </c>
      <c r="B513">
        <f t="shared" si="91"/>
        <v>1</v>
      </c>
      <c r="C513" t="str">
        <f>IF(COUNTIF($A$2:A513, A513)&gt;1, "DUPLICATE_FLAGGED_FOR_REVIEW", "")</f>
        <v/>
      </c>
      <c r="D513" s="3">
        <v>45588</v>
      </c>
      <c r="E513" s="2">
        <v>45591</v>
      </c>
      <c r="F513" s="2" t="str">
        <f t="shared" si="92"/>
        <v>OK</v>
      </c>
      <c r="G513" s="4">
        <f t="shared" si="93"/>
        <v>3</v>
      </c>
      <c r="H513" t="s">
        <v>1631</v>
      </c>
      <c r="I513" t="s">
        <v>132</v>
      </c>
      <c r="J513" t="s">
        <v>24</v>
      </c>
      <c r="K513" t="s">
        <v>63</v>
      </c>
      <c r="L513" t="str">
        <f t="shared" si="94"/>
        <v>West</v>
      </c>
      <c r="M513" t="s">
        <v>72</v>
      </c>
      <c r="N513" t="s">
        <v>73</v>
      </c>
      <c r="O513" t="s">
        <v>41</v>
      </c>
      <c r="P513" t="s">
        <v>158</v>
      </c>
      <c r="Q513" t="s">
        <v>1632</v>
      </c>
      <c r="R513" t="s">
        <v>59</v>
      </c>
      <c r="S513" t="str">
        <f t="shared" si="95"/>
        <v>Standard Class</v>
      </c>
      <c r="T513">
        <v>9</v>
      </c>
      <c r="U513">
        <v>544.27</v>
      </c>
      <c r="V513">
        <v>0.25</v>
      </c>
      <c r="W513">
        <f t="shared" si="96"/>
        <v>0.25</v>
      </c>
      <c r="X513" t="str">
        <f t="shared" si="97"/>
        <v/>
      </c>
      <c r="Y513">
        <v>3673.82</v>
      </c>
      <c r="Z513">
        <f t="shared" si="98"/>
        <v>3673.8225000000002</v>
      </c>
      <c r="AA513">
        <v>2088.15</v>
      </c>
      <c r="AB513">
        <v>1585.67</v>
      </c>
      <c r="AC513">
        <f t="shared" si="99"/>
        <v>3129.5525000000002</v>
      </c>
      <c r="AD513" s="6">
        <f t="shared" si="100"/>
        <v>0.85185185185185186</v>
      </c>
      <c r="AE513" t="s">
        <v>32</v>
      </c>
      <c r="AF513" t="s">
        <v>33</v>
      </c>
      <c r="AG513">
        <f t="shared" si="101"/>
        <v>10</v>
      </c>
      <c r="AH513">
        <f t="shared" si="102"/>
        <v>2024</v>
      </c>
      <c r="AI513" t="str">
        <f t="shared" si="103"/>
        <v>CLEAN</v>
      </c>
    </row>
    <row r="514" spans="1:35">
      <c r="A514" t="s">
        <v>1633</v>
      </c>
      <c r="B514">
        <f t="shared" si="91"/>
        <v>1</v>
      </c>
      <c r="C514" t="str">
        <f>IF(COUNTIF($A$2:A514, A514)&gt;1, "DUPLICATE_FLAGGED_FOR_REVIEW", "")</f>
        <v/>
      </c>
      <c r="D514" s="3">
        <v>45691</v>
      </c>
      <c r="E514" s="2">
        <v>45719</v>
      </c>
      <c r="F514" s="2" t="str">
        <f t="shared" si="92"/>
        <v>OK</v>
      </c>
      <c r="G514" s="4">
        <f t="shared" si="93"/>
        <v>28</v>
      </c>
      <c r="H514" t="s">
        <v>1245</v>
      </c>
      <c r="I514" t="s">
        <v>47</v>
      </c>
      <c r="J514" t="s">
        <v>90</v>
      </c>
      <c r="K514" t="s">
        <v>54</v>
      </c>
      <c r="L514" t="str">
        <f t="shared" si="94"/>
        <v>South</v>
      </c>
      <c r="M514" t="s">
        <v>185</v>
      </c>
      <c r="N514" t="s">
        <v>186</v>
      </c>
      <c r="O514" t="s">
        <v>28</v>
      </c>
      <c r="P514" t="s">
        <v>91</v>
      </c>
      <c r="Q514" t="s">
        <v>1634</v>
      </c>
      <c r="R514" t="s">
        <v>31</v>
      </c>
      <c r="S514" t="str">
        <f t="shared" si="95"/>
        <v>Second Class</v>
      </c>
      <c r="T514">
        <v>2</v>
      </c>
      <c r="U514">
        <v>4031.45</v>
      </c>
      <c r="V514">
        <v>0.25</v>
      </c>
      <c r="W514">
        <f t="shared" si="96"/>
        <v>0.25</v>
      </c>
      <c r="X514" t="str">
        <f t="shared" si="97"/>
        <v/>
      </c>
      <c r="Y514">
        <v>6047.17</v>
      </c>
      <c r="Z514">
        <f t="shared" si="98"/>
        <v>6047.1749999999993</v>
      </c>
      <c r="AA514">
        <v>3368.79</v>
      </c>
      <c r="AB514">
        <v>2678.38</v>
      </c>
      <c r="AC514">
        <f t="shared" si="99"/>
        <v>2015.7249999999995</v>
      </c>
      <c r="AD514" s="6">
        <f t="shared" si="100"/>
        <v>0.33333333333333326</v>
      </c>
      <c r="AE514" t="s">
        <v>32</v>
      </c>
      <c r="AF514" t="s">
        <v>33</v>
      </c>
      <c r="AG514">
        <f t="shared" si="101"/>
        <v>2</v>
      </c>
      <c r="AH514">
        <f t="shared" si="102"/>
        <v>2025</v>
      </c>
      <c r="AI514" t="str">
        <f t="shared" si="103"/>
        <v>CLEAN</v>
      </c>
    </row>
    <row r="515" spans="1:35">
      <c r="A515" t="s">
        <v>1635</v>
      </c>
      <c r="B515">
        <f t="shared" ref="B515:B578" si="104">COUNTIF($A$2:$A$932, A515)</f>
        <v>1</v>
      </c>
      <c r="C515" t="str">
        <f>IF(COUNTIF($A$2:A515, A515)&gt;1, "DUPLICATE_FLAGGED_FOR_REVIEW", "")</f>
        <v/>
      </c>
      <c r="D515" s="3">
        <v>45835</v>
      </c>
      <c r="E515" s="2">
        <v>45695</v>
      </c>
      <c r="F515" s="2" t="str">
        <f t="shared" ref="F515:F578" si="105">IF(E515&lt;D515, "ERROR: Ship before order", "OK")</f>
        <v>ERROR: Ship before order</v>
      </c>
      <c r="G515" s="4">
        <f t="shared" ref="G515:G578" si="106">IF(AND(ISNUMBER(E515),ISNUMBER(D515)), E515-D515, "")</f>
        <v>-140</v>
      </c>
      <c r="H515" t="s">
        <v>1636</v>
      </c>
      <c r="I515" t="s">
        <v>128</v>
      </c>
      <c r="J515" t="s">
        <v>90</v>
      </c>
      <c r="K515" t="s">
        <v>54</v>
      </c>
      <c r="L515" t="str">
        <f t="shared" ref="L515:L578" si="107">IF(OR(K515="",ISBLANK(K515)), "Unknown", K515)</f>
        <v>South</v>
      </c>
      <c r="M515" t="s">
        <v>185</v>
      </c>
      <c r="N515" t="s">
        <v>186</v>
      </c>
      <c r="O515" t="s">
        <v>74</v>
      </c>
      <c r="P515" t="s">
        <v>75</v>
      </c>
      <c r="Q515" t="s">
        <v>1637</v>
      </c>
      <c r="R515" t="s">
        <v>50</v>
      </c>
      <c r="S515" t="str">
        <f t="shared" ref="S515:S578" si="108">IF(OR(R515="",ISBLANK(R515)), "Unknown", R515)</f>
        <v>First Class</v>
      </c>
      <c r="T515">
        <v>6</v>
      </c>
      <c r="U515">
        <v>1099.49</v>
      </c>
      <c r="V515">
        <v>0.1</v>
      </c>
      <c r="W515">
        <f t="shared" ref="W515:W578" si="109">IF(ISBLANK(V515), IF(AND(ISNUMBER(T515), ISNUMBER(U515)), 0, ""), IF(V515&lt;0, V515, IF(V515&gt;0.5, V515, V515)))</f>
        <v>0.1</v>
      </c>
      <c r="X515" t="str">
        <f t="shared" ref="X515:X578" si="110">IF(V515&lt;0,"INVALID_NEGATIVE_DISCOUNT",IF(V515&gt;0.5,"INVALID_DISCOUNT_ABOVE_50PCT",IF(AND(ISBLANK(V515), ISNUMBER(T515), ISNUMBER(U515)),"DISCOUNT_MISSING_SET_TO_0","")))</f>
        <v/>
      </c>
      <c r="Y515">
        <v>6212.38</v>
      </c>
      <c r="Z515">
        <f t="shared" ref="Z515:Z578" si="111">T515 * U515 * (1 - W515)</f>
        <v>5937.246000000001</v>
      </c>
      <c r="AA515">
        <v>4088.46</v>
      </c>
      <c r="AB515">
        <v>1848.79</v>
      </c>
      <c r="AC515">
        <f t="shared" ref="AC515:AC578" si="112">Z515-U515</f>
        <v>4837.7560000000012</v>
      </c>
      <c r="AD515" s="6">
        <f t="shared" ref="AD515:AD578" si="113">IF(Z515&lt;&gt;0, AC515 / Z515, 0)</f>
        <v>0.81481481481481488</v>
      </c>
      <c r="AE515" t="s">
        <v>32</v>
      </c>
      <c r="AF515" t="s">
        <v>33</v>
      </c>
      <c r="AG515">
        <f t="shared" ref="AG515:AG578" si="114">MONTH(D515)</f>
        <v>6</v>
      </c>
      <c r="AH515">
        <f t="shared" ref="AH515:AH578" si="115">YEAR(D515)</f>
        <v>2025</v>
      </c>
      <c r="AI515" t="str">
        <f t="shared" ref="AI515:AI578" si="116">IF(OR(X515="INVALID_NEGATIVE_DISCOUNT",X515="INVALID_DISCOUNT_ABOVE_50PCT",F515="ERROR: Ship before order"),"INVALID",IF(OR(L515="Unknown",S515="Unknown",X515="DISCOUNT_MISSING_SET_TO_0"),"WARNING","CLEAN"))</f>
        <v>INVALID</v>
      </c>
    </row>
    <row r="516" spans="1:35">
      <c r="A516" t="s">
        <v>1638</v>
      </c>
      <c r="B516">
        <f t="shared" si="104"/>
        <v>1</v>
      </c>
      <c r="C516" t="str">
        <f>IF(COUNTIF($A$2:A516, A516)&gt;1, "DUPLICATE_FLAGGED_FOR_REVIEW", "")</f>
        <v/>
      </c>
      <c r="D516" s="3">
        <v>45614</v>
      </c>
      <c r="E516" s="2">
        <v>45618</v>
      </c>
      <c r="F516" s="2" t="str">
        <f t="shared" si="105"/>
        <v>OK</v>
      </c>
      <c r="G516" s="4">
        <f t="shared" si="106"/>
        <v>4</v>
      </c>
      <c r="H516" t="s">
        <v>1639</v>
      </c>
      <c r="I516" t="s">
        <v>23</v>
      </c>
      <c r="J516" t="s">
        <v>95</v>
      </c>
      <c r="K516" t="s">
        <v>54</v>
      </c>
      <c r="L516" t="str">
        <f t="shared" si="107"/>
        <v>South</v>
      </c>
      <c r="M516" t="s">
        <v>185</v>
      </c>
      <c r="N516" t="s">
        <v>186</v>
      </c>
      <c r="O516" t="s">
        <v>74</v>
      </c>
      <c r="P516" t="s">
        <v>75</v>
      </c>
      <c r="Q516" t="s">
        <v>1640</v>
      </c>
      <c r="R516" t="s">
        <v>59</v>
      </c>
      <c r="S516" t="str">
        <f t="shared" si="108"/>
        <v>Standard Class</v>
      </c>
      <c r="T516">
        <v>6</v>
      </c>
      <c r="U516">
        <v>3872.94</v>
      </c>
      <c r="V516">
        <v>0.1</v>
      </c>
      <c r="W516">
        <f t="shared" si="109"/>
        <v>0.1</v>
      </c>
      <c r="X516" t="str">
        <f t="shared" si="110"/>
        <v/>
      </c>
      <c r="Y516">
        <v>20913.88</v>
      </c>
      <c r="Z516">
        <f t="shared" si="111"/>
        <v>20913.876</v>
      </c>
      <c r="AA516">
        <v>11684.68</v>
      </c>
      <c r="AB516">
        <v>9229.2000000000007</v>
      </c>
      <c r="AC516">
        <f t="shared" si="112"/>
        <v>17040.936000000002</v>
      </c>
      <c r="AD516" s="6">
        <f t="shared" si="113"/>
        <v>0.81481481481481488</v>
      </c>
      <c r="AE516" t="s">
        <v>32</v>
      </c>
      <c r="AF516" t="s">
        <v>33</v>
      </c>
      <c r="AG516">
        <f t="shared" si="114"/>
        <v>11</v>
      </c>
      <c r="AH516">
        <f t="shared" si="115"/>
        <v>2024</v>
      </c>
      <c r="AI516" t="str">
        <f t="shared" si="116"/>
        <v>CLEAN</v>
      </c>
    </row>
    <row r="517" spans="1:35">
      <c r="A517" t="s">
        <v>1641</v>
      </c>
      <c r="B517">
        <f t="shared" si="104"/>
        <v>1</v>
      </c>
      <c r="C517" t="str">
        <f>IF(COUNTIF($A$2:A517, A517)&gt;1, "DUPLICATE_FLAGGED_FOR_REVIEW", "")</f>
        <v/>
      </c>
      <c r="D517" s="3">
        <v>45965</v>
      </c>
      <c r="E517" s="2">
        <v>45758</v>
      </c>
      <c r="F517" s="2" t="str">
        <f t="shared" si="105"/>
        <v>ERROR: Ship before order</v>
      </c>
      <c r="G517" s="4">
        <f t="shared" si="106"/>
        <v>-207</v>
      </c>
      <c r="H517" t="s">
        <v>1642</v>
      </c>
      <c r="I517" t="s">
        <v>118</v>
      </c>
      <c r="J517" t="s">
        <v>90</v>
      </c>
      <c r="K517" t="s">
        <v>25</v>
      </c>
      <c r="L517" t="str">
        <f t="shared" si="107"/>
        <v>North</v>
      </c>
      <c r="M517" t="s">
        <v>350</v>
      </c>
      <c r="N517" t="s">
        <v>351</v>
      </c>
      <c r="O517" t="s">
        <v>28</v>
      </c>
      <c r="P517" t="s">
        <v>29</v>
      </c>
      <c r="Q517" t="s">
        <v>1643</v>
      </c>
      <c r="R517" t="s">
        <v>59</v>
      </c>
      <c r="S517" t="str">
        <f t="shared" si="108"/>
        <v>Standard Class</v>
      </c>
      <c r="T517">
        <v>1</v>
      </c>
      <c r="U517">
        <v>4458.49</v>
      </c>
      <c r="V517">
        <v>-7.0000000000000007E-2</v>
      </c>
      <c r="W517">
        <f t="shared" si="109"/>
        <v>-7.0000000000000007E-2</v>
      </c>
      <c r="X517" t="str">
        <f t="shared" si="110"/>
        <v>INVALID_NEGATIVE_DISCOUNT</v>
      </c>
      <c r="Y517">
        <v>3566.79</v>
      </c>
      <c r="Z517">
        <f t="shared" si="111"/>
        <v>4770.5843000000004</v>
      </c>
      <c r="AA517">
        <v>2083.41</v>
      </c>
      <c r="AB517">
        <v>1483.38</v>
      </c>
      <c r="AC517">
        <f t="shared" si="112"/>
        <v>312.09430000000066</v>
      </c>
      <c r="AD517" s="6">
        <f t="shared" si="113"/>
        <v>6.5420560747663684E-2</v>
      </c>
      <c r="AE517" t="s">
        <v>32</v>
      </c>
      <c r="AF517" t="s">
        <v>33</v>
      </c>
      <c r="AG517">
        <f t="shared" si="114"/>
        <v>11</v>
      </c>
      <c r="AH517">
        <f t="shared" si="115"/>
        <v>2025</v>
      </c>
      <c r="AI517" t="str">
        <f t="shared" si="116"/>
        <v>INVALID</v>
      </c>
    </row>
    <row r="518" spans="1:35">
      <c r="A518" t="s">
        <v>1644</v>
      </c>
      <c r="B518">
        <f t="shared" si="104"/>
        <v>1</v>
      </c>
      <c r="C518" t="str">
        <f>IF(COUNTIF($A$2:A518, A518)&gt;1, "DUPLICATE_FLAGGED_FOR_REVIEW", "")</f>
        <v/>
      </c>
      <c r="D518" s="3">
        <v>45563</v>
      </c>
      <c r="E518" s="2">
        <v>45569</v>
      </c>
      <c r="F518" s="2" t="str">
        <f t="shared" si="105"/>
        <v>OK</v>
      </c>
      <c r="G518" s="4">
        <f t="shared" si="106"/>
        <v>6</v>
      </c>
      <c r="H518" t="s">
        <v>1645</v>
      </c>
      <c r="I518" t="s">
        <v>264</v>
      </c>
      <c r="J518" t="s">
        <v>95</v>
      </c>
      <c r="K518" t="s">
        <v>25</v>
      </c>
      <c r="L518" t="str">
        <f t="shared" si="107"/>
        <v>North</v>
      </c>
      <c r="M518" t="s">
        <v>350</v>
      </c>
      <c r="N518" t="s">
        <v>351</v>
      </c>
      <c r="O518" t="s">
        <v>74</v>
      </c>
      <c r="P518" t="s">
        <v>80</v>
      </c>
      <c r="Q518" t="s">
        <v>1646</v>
      </c>
      <c r="R518" t="s">
        <v>59</v>
      </c>
      <c r="S518" t="str">
        <f t="shared" si="108"/>
        <v>Standard Class</v>
      </c>
      <c r="T518">
        <v>1</v>
      </c>
      <c r="U518">
        <v>2233.1799999999998</v>
      </c>
      <c r="V518">
        <v>0</v>
      </c>
      <c r="W518">
        <f t="shared" si="109"/>
        <v>0</v>
      </c>
      <c r="X518" t="str">
        <f t="shared" si="110"/>
        <v/>
      </c>
      <c r="Y518">
        <v>2233.1799999999998</v>
      </c>
      <c r="Z518">
        <f t="shared" si="111"/>
        <v>2233.1799999999998</v>
      </c>
      <c r="AA518">
        <v>1585.82</v>
      </c>
      <c r="AB518">
        <v>647.36</v>
      </c>
      <c r="AC518">
        <f t="shared" si="112"/>
        <v>0</v>
      </c>
      <c r="AD518" s="6">
        <f t="shared" si="113"/>
        <v>0</v>
      </c>
      <c r="AE518" t="s">
        <v>155</v>
      </c>
      <c r="AF518" t="s">
        <v>103</v>
      </c>
      <c r="AG518">
        <f t="shared" si="114"/>
        <v>9</v>
      </c>
      <c r="AH518">
        <f t="shared" si="115"/>
        <v>2024</v>
      </c>
      <c r="AI518" t="str">
        <f t="shared" si="116"/>
        <v>CLEAN</v>
      </c>
    </row>
    <row r="519" spans="1:35">
      <c r="A519" t="s">
        <v>1647</v>
      </c>
      <c r="B519">
        <f t="shared" si="104"/>
        <v>1</v>
      </c>
      <c r="C519" t="str">
        <f>IF(COUNTIF($A$2:A519, A519)&gt;1, "DUPLICATE_FLAGGED_FOR_REVIEW", "")</f>
        <v/>
      </c>
      <c r="D519" s="3">
        <v>45802</v>
      </c>
      <c r="E519" s="2">
        <v>45804</v>
      </c>
      <c r="F519" s="2" t="str">
        <f t="shared" si="105"/>
        <v>OK</v>
      </c>
      <c r="G519" s="4">
        <f t="shared" si="106"/>
        <v>2</v>
      </c>
      <c r="H519" t="s">
        <v>1648</v>
      </c>
      <c r="I519" t="s">
        <v>118</v>
      </c>
      <c r="J519" t="s">
        <v>24</v>
      </c>
      <c r="K519" t="s">
        <v>38</v>
      </c>
      <c r="L519" t="str">
        <f t="shared" si="107"/>
        <v>East</v>
      </c>
      <c r="M519" t="s">
        <v>39</v>
      </c>
      <c r="N519" t="s">
        <v>40</v>
      </c>
      <c r="O519" t="s">
        <v>41</v>
      </c>
      <c r="P519" t="s">
        <v>57</v>
      </c>
      <c r="Q519" t="s">
        <v>1649</v>
      </c>
      <c r="R519" t="s">
        <v>31</v>
      </c>
      <c r="S519" t="str">
        <f t="shared" si="108"/>
        <v>Second Class</v>
      </c>
      <c r="T519">
        <v>7</v>
      </c>
      <c r="U519">
        <v>2123.2800000000002</v>
      </c>
      <c r="V519">
        <v>0.2</v>
      </c>
      <c r="W519">
        <f t="shared" si="109"/>
        <v>0.2</v>
      </c>
      <c r="X519" t="str">
        <f t="shared" si="110"/>
        <v/>
      </c>
      <c r="Y519">
        <v>11890.37</v>
      </c>
      <c r="Z519">
        <f t="shared" si="111"/>
        <v>11890.368000000002</v>
      </c>
      <c r="AA519">
        <v>9234.5300000000007</v>
      </c>
      <c r="AB519">
        <v>2655.84</v>
      </c>
      <c r="AC519">
        <f t="shared" si="112"/>
        <v>9767.0880000000016</v>
      </c>
      <c r="AD519" s="6">
        <f t="shared" si="113"/>
        <v>0.8214285714285714</v>
      </c>
      <c r="AE519" t="s">
        <v>102</v>
      </c>
      <c r="AF519" t="s">
        <v>103</v>
      </c>
      <c r="AG519">
        <f t="shared" si="114"/>
        <v>5</v>
      </c>
      <c r="AH519">
        <f t="shared" si="115"/>
        <v>2025</v>
      </c>
      <c r="AI519" t="str">
        <f t="shared" si="116"/>
        <v>CLEAN</v>
      </c>
    </row>
    <row r="520" spans="1:35">
      <c r="A520" t="s">
        <v>1650</v>
      </c>
      <c r="B520">
        <f t="shared" si="104"/>
        <v>1</v>
      </c>
      <c r="C520" t="str">
        <f>IF(COUNTIF($A$2:A520, A520)&gt;1, "DUPLICATE_FLAGGED_FOR_REVIEW", "")</f>
        <v/>
      </c>
      <c r="D520" s="3">
        <v>45777</v>
      </c>
      <c r="E520" s="2">
        <v>45773</v>
      </c>
      <c r="F520" s="2" t="str">
        <f t="shared" si="105"/>
        <v>ERROR: Ship before order</v>
      </c>
      <c r="G520" s="4">
        <f t="shared" si="106"/>
        <v>-4</v>
      </c>
      <c r="H520" t="s">
        <v>1651</v>
      </c>
      <c r="I520" t="s">
        <v>162</v>
      </c>
      <c r="J520" t="s">
        <v>90</v>
      </c>
      <c r="K520" t="s">
        <v>38</v>
      </c>
      <c r="L520" t="str">
        <f t="shared" si="107"/>
        <v>East</v>
      </c>
      <c r="M520" t="s">
        <v>39</v>
      </c>
      <c r="N520" t="s">
        <v>40</v>
      </c>
      <c r="O520" t="s">
        <v>41</v>
      </c>
      <c r="P520" t="s">
        <v>42</v>
      </c>
      <c r="Q520" t="s">
        <v>1652</v>
      </c>
      <c r="R520" t="s">
        <v>50</v>
      </c>
      <c r="S520" t="str">
        <f t="shared" si="108"/>
        <v>First Class</v>
      </c>
      <c r="T520">
        <v>7</v>
      </c>
      <c r="U520">
        <v>1604.13</v>
      </c>
      <c r="V520">
        <v>0.25</v>
      </c>
      <c r="W520">
        <f t="shared" si="109"/>
        <v>0.25</v>
      </c>
      <c r="X520" t="str">
        <f t="shared" si="110"/>
        <v/>
      </c>
      <c r="Y520">
        <v>8421.68</v>
      </c>
      <c r="Z520">
        <f t="shared" si="111"/>
        <v>8421.682499999999</v>
      </c>
      <c r="AA520">
        <v>6534.47</v>
      </c>
      <c r="AB520">
        <v>1887.21</v>
      </c>
      <c r="AC520">
        <f t="shared" si="112"/>
        <v>6817.5524999999989</v>
      </c>
      <c r="AD520" s="6">
        <f t="shared" si="113"/>
        <v>0.80952380952380953</v>
      </c>
      <c r="AE520" t="s">
        <v>32</v>
      </c>
      <c r="AF520" t="s">
        <v>68</v>
      </c>
      <c r="AG520">
        <f t="shared" si="114"/>
        <v>4</v>
      </c>
      <c r="AH520">
        <f t="shared" si="115"/>
        <v>2025</v>
      </c>
      <c r="AI520" t="str">
        <f t="shared" si="116"/>
        <v>INVALID</v>
      </c>
    </row>
    <row r="521" spans="1:35">
      <c r="A521" t="s">
        <v>1653</v>
      </c>
      <c r="B521">
        <f t="shared" si="104"/>
        <v>1</v>
      </c>
      <c r="C521" t="str">
        <f>IF(COUNTIF($A$2:A521, A521)&gt;1, "DUPLICATE_FLAGGED_FOR_REVIEW", "")</f>
        <v/>
      </c>
      <c r="D521" s="3">
        <v>45841</v>
      </c>
      <c r="E521" s="2">
        <v>45845</v>
      </c>
      <c r="F521" s="2" t="str">
        <f t="shared" si="105"/>
        <v>OK</v>
      </c>
      <c r="G521" s="4">
        <f t="shared" si="106"/>
        <v>4</v>
      </c>
      <c r="H521" t="s">
        <v>1654</v>
      </c>
      <c r="I521" t="s">
        <v>114</v>
      </c>
      <c r="J521" t="s">
        <v>24</v>
      </c>
      <c r="K521" t="s">
        <v>25</v>
      </c>
      <c r="L521" t="str">
        <f t="shared" si="107"/>
        <v>North</v>
      </c>
      <c r="M521" t="s">
        <v>136</v>
      </c>
      <c r="N521" t="s">
        <v>137</v>
      </c>
      <c r="O521" t="s">
        <v>41</v>
      </c>
      <c r="P521" t="s">
        <v>42</v>
      </c>
      <c r="Q521" t="s">
        <v>1655</v>
      </c>
      <c r="R521" t="s">
        <v>59</v>
      </c>
      <c r="S521" t="str">
        <f t="shared" si="108"/>
        <v>Standard Class</v>
      </c>
      <c r="T521">
        <v>4</v>
      </c>
      <c r="U521">
        <v>4365.21</v>
      </c>
      <c r="V521">
        <v>0.2</v>
      </c>
      <c r="W521">
        <f t="shared" si="109"/>
        <v>0.2</v>
      </c>
      <c r="X521" t="str">
        <f t="shared" si="110"/>
        <v/>
      </c>
      <c r="Y521">
        <v>13968.67</v>
      </c>
      <c r="Z521">
        <f t="shared" si="111"/>
        <v>13968.672</v>
      </c>
      <c r="AA521">
        <v>8857.58</v>
      </c>
      <c r="AB521">
        <v>5111.09</v>
      </c>
      <c r="AC521">
        <f t="shared" si="112"/>
        <v>9603.4619999999995</v>
      </c>
      <c r="AD521" s="6">
        <f t="shared" si="113"/>
        <v>0.68749999999999989</v>
      </c>
      <c r="AE521" t="s">
        <v>111</v>
      </c>
      <c r="AF521" t="s">
        <v>68</v>
      </c>
      <c r="AG521">
        <f t="shared" si="114"/>
        <v>7</v>
      </c>
      <c r="AH521">
        <f t="shared" si="115"/>
        <v>2025</v>
      </c>
      <c r="AI521" t="str">
        <f t="shared" si="116"/>
        <v>CLEAN</v>
      </c>
    </row>
    <row r="522" spans="1:35">
      <c r="A522" t="s">
        <v>1656</v>
      </c>
      <c r="B522">
        <f t="shared" si="104"/>
        <v>1</v>
      </c>
      <c r="C522" t="str">
        <f>IF(COUNTIF($A$2:A522, A522)&gt;1, "DUPLICATE_FLAGGED_FOR_REVIEW", "")</f>
        <v/>
      </c>
      <c r="D522" s="3">
        <v>45489</v>
      </c>
      <c r="E522" s="2">
        <v>45496</v>
      </c>
      <c r="F522" s="2" t="str">
        <f t="shared" si="105"/>
        <v>OK</v>
      </c>
      <c r="G522" s="4">
        <f t="shared" si="106"/>
        <v>7</v>
      </c>
      <c r="H522" t="s">
        <v>1657</v>
      </c>
      <c r="I522" t="s">
        <v>128</v>
      </c>
      <c r="J522" t="s">
        <v>95</v>
      </c>
      <c r="K522" t="s">
        <v>54</v>
      </c>
      <c r="L522" t="str">
        <f t="shared" si="107"/>
        <v>South</v>
      </c>
      <c r="M522" t="s">
        <v>175</v>
      </c>
      <c r="N522" t="s">
        <v>176</v>
      </c>
      <c r="O522" t="s">
        <v>74</v>
      </c>
      <c r="P522" t="s">
        <v>274</v>
      </c>
      <c r="Q522" t="s">
        <v>1658</v>
      </c>
      <c r="R522" t="s">
        <v>44</v>
      </c>
      <c r="S522" t="str">
        <f t="shared" si="108"/>
        <v>Same Day</v>
      </c>
      <c r="T522">
        <v>1</v>
      </c>
      <c r="U522">
        <v>1695.91</v>
      </c>
      <c r="V522">
        <v>0.05</v>
      </c>
      <c r="W522">
        <f t="shared" si="109"/>
        <v>0.05</v>
      </c>
      <c r="X522" t="str">
        <f t="shared" si="110"/>
        <v/>
      </c>
      <c r="Y522">
        <v>1611.11</v>
      </c>
      <c r="Z522">
        <f t="shared" si="111"/>
        <v>1611.1144999999999</v>
      </c>
      <c r="AA522">
        <v>895.15</v>
      </c>
      <c r="AB522">
        <v>715.96</v>
      </c>
      <c r="AC522">
        <f t="shared" si="112"/>
        <v>-84.795500000000175</v>
      </c>
      <c r="AD522" s="6">
        <f t="shared" si="113"/>
        <v>-5.2631578947368529E-2</v>
      </c>
      <c r="AE522" t="s">
        <v>32</v>
      </c>
      <c r="AF522" t="s">
        <v>33</v>
      </c>
      <c r="AG522">
        <f t="shared" si="114"/>
        <v>7</v>
      </c>
      <c r="AH522">
        <f t="shared" si="115"/>
        <v>2024</v>
      </c>
      <c r="AI522" t="str">
        <f t="shared" si="116"/>
        <v>CLEAN</v>
      </c>
    </row>
    <row r="523" spans="1:35">
      <c r="A523" t="s">
        <v>1659</v>
      </c>
      <c r="B523">
        <f t="shared" si="104"/>
        <v>1</v>
      </c>
      <c r="C523" t="str">
        <f>IF(COUNTIF($A$2:A523, A523)&gt;1, "DUPLICATE_FLAGGED_FOR_REVIEW", "")</f>
        <v/>
      </c>
      <c r="D523" s="3">
        <v>45741</v>
      </c>
      <c r="E523" s="2">
        <v>45748</v>
      </c>
      <c r="F523" s="2" t="str">
        <f t="shared" si="105"/>
        <v>OK</v>
      </c>
      <c r="G523" s="4">
        <f t="shared" si="106"/>
        <v>7</v>
      </c>
      <c r="H523" t="s">
        <v>1660</v>
      </c>
      <c r="I523" t="s">
        <v>162</v>
      </c>
      <c r="J523" t="s">
        <v>24</v>
      </c>
      <c r="K523" t="s">
        <v>25</v>
      </c>
      <c r="L523" t="str">
        <f t="shared" si="107"/>
        <v>North</v>
      </c>
      <c r="M523" t="s">
        <v>122</v>
      </c>
      <c r="N523" t="s">
        <v>123</v>
      </c>
      <c r="O523" t="s">
        <v>28</v>
      </c>
      <c r="P523" t="s">
        <v>91</v>
      </c>
      <c r="Q523" t="s">
        <v>1661</v>
      </c>
      <c r="R523" t="s">
        <v>31</v>
      </c>
      <c r="S523" t="str">
        <f t="shared" si="108"/>
        <v>Second Class</v>
      </c>
      <c r="T523">
        <v>6</v>
      </c>
      <c r="U523">
        <v>2192.11</v>
      </c>
      <c r="V523">
        <v>0.05</v>
      </c>
      <c r="W523">
        <f t="shared" si="109"/>
        <v>0.05</v>
      </c>
      <c r="X523" t="str">
        <f t="shared" si="110"/>
        <v/>
      </c>
      <c r="Y523">
        <v>12495.03</v>
      </c>
      <c r="Z523">
        <f t="shared" si="111"/>
        <v>12495.027</v>
      </c>
      <c r="AA523">
        <v>9184.52</v>
      </c>
      <c r="AB523">
        <v>3310.51</v>
      </c>
      <c r="AC523">
        <f t="shared" si="112"/>
        <v>10302.916999999999</v>
      </c>
      <c r="AD523" s="6">
        <f t="shared" si="113"/>
        <v>0.82456140350877183</v>
      </c>
      <c r="AE523" t="s">
        <v>32</v>
      </c>
      <c r="AF523" t="s">
        <v>33</v>
      </c>
      <c r="AG523">
        <f t="shared" si="114"/>
        <v>3</v>
      </c>
      <c r="AH523">
        <f t="shared" si="115"/>
        <v>2025</v>
      </c>
      <c r="AI523" t="str">
        <f t="shared" si="116"/>
        <v>CLEAN</v>
      </c>
    </row>
    <row r="524" spans="1:35">
      <c r="A524" t="s">
        <v>1662</v>
      </c>
      <c r="B524">
        <f t="shared" si="104"/>
        <v>1</v>
      </c>
      <c r="C524" t="str">
        <f>IF(COUNTIF($A$2:A524, A524)&gt;1, "DUPLICATE_FLAGGED_FOR_REVIEW", "")</f>
        <v/>
      </c>
      <c r="D524" s="3">
        <v>45716</v>
      </c>
      <c r="E524" s="2">
        <v>45724</v>
      </c>
      <c r="F524" s="2" t="str">
        <f t="shared" si="105"/>
        <v>OK</v>
      </c>
      <c r="G524" s="4">
        <f t="shared" si="106"/>
        <v>8</v>
      </c>
      <c r="H524" t="s">
        <v>1663</v>
      </c>
      <c r="I524" t="s">
        <v>79</v>
      </c>
      <c r="J524" t="s">
        <v>37</v>
      </c>
      <c r="K524" t="s">
        <v>38</v>
      </c>
      <c r="L524" t="str">
        <f t="shared" si="107"/>
        <v>East</v>
      </c>
      <c r="M524" t="s">
        <v>228</v>
      </c>
      <c r="N524" t="s">
        <v>229</v>
      </c>
      <c r="O524" t="s">
        <v>74</v>
      </c>
      <c r="P524" t="s">
        <v>171</v>
      </c>
      <c r="Q524" t="s">
        <v>1664</v>
      </c>
      <c r="R524" t="s">
        <v>50</v>
      </c>
      <c r="S524" t="str">
        <f t="shared" si="108"/>
        <v>First Class</v>
      </c>
      <c r="T524">
        <v>9</v>
      </c>
      <c r="U524">
        <v>3670.54</v>
      </c>
      <c r="V524">
        <v>0</v>
      </c>
      <c r="W524">
        <f t="shared" si="109"/>
        <v>0</v>
      </c>
      <c r="X524" t="str">
        <f t="shared" si="110"/>
        <v/>
      </c>
      <c r="Y524">
        <v>33034.86</v>
      </c>
      <c r="Z524">
        <f t="shared" si="111"/>
        <v>33034.86</v>
      </c>
      <c r="AA524">
        <v>24539.83</v>
      </c>
      <c r="AB524">
        <v>8495.0300000000007</v>
      </c>
      <c r="AC524">
        <f t="shared" si="112"/>
        <v>29364.32</v>
      </c>
      <c r="AD524" s="6">
        <f t="shared" si="113"/>
        <v>0.88888888888888884</v>
      </c>
      <c r="AE524" t="s">
        <v>32</v>
      </c>
      <c r="AF524" t="s">
        <v>33</v>
      </c>
      <c r="AG524">
        <f t="shared" si="114"/>
        <v>2</v>
      </c>
      <c r="AH524">
        <f t="shared" si="115"/>
        <v>2025</v>
      </c>
      <c r="AI524" t="str">
        <f t="shared" si="116"/>
        <v>CLEAN</v>
      </c>
    </row>
    <row r="525" spans="1:35">
      <c r="A525" t="s">
        <v>1665</v>
      </c>
      <c r="B525">
        <f t="shared" si="104"/>
        <v>1</v>
      </c>
      <c r="C525" t="str">
        <f>IF(COUNTIF($A$2:A525, A525)&gt;1, "DUPLICATE_FLAGGED_FOR_REVIEW", "")</f>
        <v/>
      </c>
      <c r="D525" s="3">
        <v>45384</v>
      </c>
      <c r="E525" s="2">
        <v>45385</v>
      </c>
      <c r="F525" s="2" t="str">
        <f t="shared" si="105"/>
        <v>OK</v>
      </c>
      <c r="G525" s="4">
        <f t="shared" si="106"/>
        <v>1</v>
      </c>
      <c r="H525" t="s">
        <v>1666</v>
      </c>
      <c r="I525" t="s">
        <v>264</v>
      </c>
      <c r="J525" t="s">
        <v>95</v>
      </c>
      <c r="K525" t="s">
        <v>63</v>
      </c>
      <c r="L525" t="str">
        <f t="shared" si="107"/>
        <v>West</v>
      </c>
      <c r="M525" t="s">
        <v>190</v>
      </c>
      <c r="N525" t="s">
        <v>191</v>
      </c>
      <c r="O525" t="s">
        <v>28</v>
      </c>
      <c r="P525" t="s">
        <v>29</v>
      </c>
      <c r="Q525" t="s">
        <v>1667</v>
      </c>
      <c r="R525" t="s">
        <v>31</v>
      </c>
      <c r="S525" t="str">
        <f t="shared" si="108"/>
        <v>Second Class</v>
      </c>
      <c r="T525">
        <v>2</v>
      </c>
      <c r="U525">
        <v>2902.63</v>
      </c>
      <c r="V525">
        <v>0</v>
      </c>
      <c r="W525">
        <f t="shared" si="109"/>
        <v>0</v>
      </c>
      <c r="X525" t="str">
        <f t="shared" si="110"/>
        <v/>
      </c>
      <c r="Y525">
        <v>5805.26</v>
      </c>
      <c r="Z525">
        <f t="shared" si="111"/>
        <v>5805.26</v>
      </c>
      <c r="AA525">
        <v>4654.3599999999997</v>
      </c>
      <c r="AB525">
        <v>1150.9000000000001</v>
      </c>
      <c r="AC525">
        <f t="shared" si="112"/>
        <v>2902.63</v>
      </c>
      <c r="AD525" s="6">
        <f t="shared" si="113"/>
        <v>0.5</v>
      </c>
      <c r="AE525" t="s">
        <v>32</v>
      </c>
      <c r="AF525" t="s">
        <v>103</v>
      </c>
      <c r="AG525">
        <f t="shared" si="114"/>
        <v>4</v>
      </c>
      <c r="AH525">
        <f t="shared" si="115"/>
        <v>2024</v>
      </c>
      <c r="AI525" t="str">
        <f t="shared" si="116"/>
        <v>CLEAN</v>
      </c>
    </row>
    <row r="526" spans="1:35">
      <c r="A526" t="s">
        <v>1668</v>
      </c>
      <c r="B526">
        <f t="shared" si="104"/>
        <v>1</v>
      </c>
      <c r="C526" t="str">
        <f>IF(COUNTIF($A$2:A526, A526)&gt;1, "DUPLICATE_FLAGGED_FOR_REVIEW", "")</f>
        <v/>
      </c>
      <c r="D526" s="3">
        <v>45626</v>
      </c>
      <c r="E526" s="2">
        <v>45627</v>
      </c>
      <c r="F526" s="2" t="str">
        <f t="shared" si="105"/>
        <v>OK</v>
      </c>
      <c r="G526" s="4">
        <f t="shared" si="106"/>
        <v>1</v>
      </c>
      <c r="H526" t="s">
        <v>1669</v>
      </c>
      <c r="I526" t="s">
        <v>62</v>
      </c>
      <c r="J526" t="s">
        <v>90</v>
      </c>
      <c r="K526" t="s">
        <v>63</v>
      </c>
      <c r="L526" t="str">
        <f t="shared" si="107"/>
        <v>West</v>
      </c>
      <c r="M526" t="s">
        <v>180</v>
      </c>
      <c r="N526" t="s">
        <v>181</v>
      </c>
      <c r="O526" t="s">
        <v>41</v>
      </c>
      <c r="P526" t="s">
        <v>66</v>
      </c>
      <c r="Q526" t="s">
        <v>1670</v>
      </c>
      <c r="R526" t="s">
        <v>50</v>
      </c>
      <c r="S526" t="str">
        <f t="shared" si="108"/>
        <v>First Class</v>
      </c>
      <c r="T526">
        <v>9</v>
      </c>
      <c r="U526">
        <v>4207.3599999999997</v>
      </c>
      <c r="V526">
        <v>0.1</v>
      </c>
      <c r="W526">
        <f t="shared" si="109"/>
        <v>0.1</v>
      </c>
      <c r="X526" t="str">
        <f t="shared" si="110"/>
        <v/>
      </c>
      <c r="Y526">
        <v>34079.620000000003</v>
      </c>
      <c r="Z526">
        <f t="shared" si="111"/>
        <v>34079.616000000002</v>
      </c>
      <c r="AA526">
        <v>21871.39</v>
      </c>
      <c r="AB526">
        <v>12208.23</v>
      </c>
      <c r="AC526">
        <f t="shared" si="112"/>
        <v>29872.256000000001</v>
      </c>
      <c r="AD526" s="6">
        <f t="shared" si="113"/>
        <v>0.87654320987654322</v>
      </c>
      <c r="AE526" t="s">
        <v>32</v>
      </c>
      <c r="AF526" t="s">
        <v>33</v>
      </c>
      <c r="AG526">
        <f t="shared" si="114"/>
        <v>11</v>
      </c>
      <c r="AH526">
        <f t="shared" si="115"/>
        <v>2024</v>
      </c>
      <c r="AI526" t="str">
        <f t="shared" si="116"/>
        <v>CLEAN</v>
      </c>
    </row>
    <row r="527" spans="1:35">
      <c r="A527" t="s">
        <v>1671</v>
      </c>
      <c r="B527">
        <f t="shared" si="104"/>
        <v>1</v>
      </c>
      <c r="C527" t="str">
        <f>IF(COUNTIF($A$2:A527, A527)&gt;1, "DUPLICATE_FLAGGED_FOR_REVIEW", "")</f>
        <v/>
      </c>
      <c r="D527" s="3">
        <v>45582</v>
      </c>
      <c r="E527" s="2">
        <v>45582</v>
      </c>
      <c r="F527" s="2" t="str">
        <f t="shared" si="105"/>
        <v>OK</v>
      </c>
      <c r="G527" s="4">
        <f t="shared" si="106"/>
        <v>0</v>
      </c>
      <c r="H527" t="s">
        <v>1672</v>
      </c>
      <c r="I527" t="s">
        <v>114</v>
      </c>
      <c r="J527" t="s">
        <v>95</v>
      </c>
      <c r="K527" t="s">
        <v>38</v>
      </c>
      <c r="L527" t="str">
        <f t="shared" si="107"/>
        <v>East</v>
      </c>
      <c r="M527" t="s">
        <v>99</v>
      </c>
      <c r="N527" t="s">
        <v>100</v>
      </c>
      <c r="O527" t="s">
        <v>41</v>
      </c>
      <c r="P527" t="s">
        <v>66</v>
      </c>
      <c r="Q527" t="s">
        <v>1673</v>
      </c>
      <c r="R527" t="s">
        <v>59</v>
      </c>
      <c r="S527" t="str">
        <f t="shared" si="108"/>
        <v>Standard Class</v>
      </c>
      <c r="T527">
        <v>5</v>
      </c>
      <c r="U527">
        <v>2524.4</v>
      </c>
      <c r="V527">
        <v>0.1</v>
      </c>
      <c r="W527">
        <f t="shared" si="109"/>
        <v>0.1</v>
      </c>
      <c r="X527" t="str">
        <f t="shared" si="110"/>
        <v/>
      </c>
      <c r="Y527">
        <v>11359.8</v>
      </c>
      <c r="Z527">
        <f t="shared" si="111"/>
        <v>11359.800000000001</v>
      </c>
      <c r="AA527">
        <v>7062.44</v>
      </c>
      <c r="AB527">
        <v>4297.3599999999997</v>
      </c>
      <c r="AC527">
        <f t="shared" si="112"/>
        <v>8835.4000000000015</v>
      </c>
      <c r="AD527" s="6">
        <f t="shared" si="113"/>
        <v>0.77777777777777779</v>
      </c>
      <c r="AE527" t="s">
        <v>32</v>
      </c>
      <c r="AF527" t="s">
        <v>33</v>
      </c>
      <c r="AG527">
        <f t="shared" si="114"/>
        <v>10</v>
      </c>
      <c r="AH527">
        <f t="shared" si="115"/>
        <v>2024</v>
      </c>
      <c r="AI527" t="str">
        <f t="shared" si="116"/>
        <v>CLEAN</v>
      </c>
    </row>
    <row r="528" spans="1:35">
      <c r="A528" t="s">
        <v>1674</v>
      </c>
      <c r="B528">
        <f t="shared" si="104"/>
        <v>1</v>
      </c>
      <c r="C528" t="str">
        <f>IF(COUNTIF($A$2:A528, A528)&gt;1, "DUPLICATE_FLAGGED_FOR_REVIEW", "")</f>
        <v/>
      </c>
      <c r="D528" s="3">
        <v>45856</v>
      </c>
      <c r="E528" s="2">
        <v>45859</v>
      </c>
      <c r="F528" s="2" t="str">
        <f t="shared" si="105"/>
        <v>OK</v>
      </c>
      <c r="G528" s="4">
        <f t="shared" si="106"/>
        <v>3</v>
      </c>
      <c r="H528" t="s">
        <v>1675</v>
      </c>
      <c r="I528" t="s">
        <v>114</v>
      </c>
      <c r="J528" t="s">
        <v>24</v>
      </c>
      <c r="K528" t="s">
        <v>38</v>
      </c>
      <c r="L528" t="str">
        <f t="shared" si="107"/>
        <v>East</v>
      </c>
      <c r="M528" t="s">
        <v>39</v>
      </c>
      <c r="N528" t="s">
        <v>40</v>
      </c>
      <c r="O528" t="s">
        <v>41</v>
      </c>
      <c r="P528" t="s">
        <v>42</v>
      </c>
      <c r="Q528" t="s">
        <v>1676</v>
      </c>
      <c r="R528" t="s">
        <v>31</v>
      </c>
      <c r="S528" t="str">
        <f t="shared" si="108"/>
        <v>Second Class</v>
      </c>
      <c r="T528">
        <v>4</v>
      </c>
      <c r="U528">
        <v>284.04000000000002</v>
      </c>
      <c r="W528">
        <f t="shared" si="109"/>
        <v>0</v>
      </c>
      <c r="X528" t="str">
        <f t="shared" si="110"/>
        <v>DISCOUNT_MISSING_SET_TO_0</v>
      </c>
      <c r="Y528">
        <v>908.93</v>
      </c>
      <c r="Z528">
        <f t="shared" si="111"/>
        <v>1136.1600000000001</v>
      </c>
      <c r="AA528">
        <v>572.08000000000004</v>
      </c>
      <c r="AB528">
        <v>336.85</v>
      </c>
      <c r="AC528">
        <f t="shared" si="112"/>
        <v>852.12000000000012</v>
      </c>
      <c r="AD528" s="6">
        <f t="shared" si="113"/>
        <v>0.75</v>
      </c>
      <c r="AE528" t="s">
        <v>32</v>
      </c>
      <c r="AF528" t="s">
        <v>33</v>
      </c>
      <c r="AG528">
        <f t="shared" si="114"/>
        <v>7</v>
      </c>
      <c r="AH528">
        <f t="shared" si="115"/>
        <v>2025</v>
      </c>
      <c r="AI528" t="str">
        <f t="shared" si="116"/>
        <v>WARNING</v>
      </c>
    </row>
    <row r="529" spans="1:35">
      <c r="A529" t="s">
        <v>1677</v>
      </c>
      <c r="B529">
        <f t="shared" si="104"/>
        <v>1</v>
      </c>
      <c r="C529" t="str">
        <f>IF(COUNTIF($A$2:A529, A529)&gt;1, "DUPLICATE_FLAGGED_FOR_REVIEW", "")</f>
        <v/>
      </c>
      <c r="D529" s="3">
        <v>45931</v>
      </c>
      <c r="E529" s="2">
        <v>45935</v>
      </c>
      <c r="F529" s="2" t="str">
        <f t="shared" si="105"/>
        <v>OK</v>
      </c>
      <c r="G529" s="4">
        <f t="shared" si="106"/>
        <v>4</v>
      </c>
      <c r="H529" t="s">
        <v>1678</v>
      </c>
      <c r="I529" t="s">
        <v>89</v>
      </c>
      <c r="J529" t="s">
        <v>95</v>
      </c>
      <c r="K529" t="s">
        <v>25</v>
      </c>
      <c r="L529" t="str">
        <f t="shared" si="107"/>
        <v>North</v>
      </c>
      <c r="M529" t="s">
        <v>236</v>
      </c>
      <c r="N529" t="s">
        <v>237</v>
      </c>
      <c r="O529" t="s">
        <v>28</v>
      </c>
      <c r="P529" t="s">
        <v>29</v>
      </c>
      <c r="Q529" t="s">
        <v>1679</v>
      </c>
      <c r="R529" t="s">
        <v>50</v>
      </c>
      <c r="S529" t="str">
        <f t="shared" si="108"/>
        <v>First Class</v>
      </c>
      <c r="T529">
        <v>5</v>
      </c>
      <c r="U529">
        <v>3247.56</v>
      </c>
      <c r="V529">
        <v>0.15</v>
      </c>
      <c r="W529">
        <f t="shared" si="109"/>
        <v>0.15</v>
      </c>
      <c r="X529" t="str">
        <f t="shared" si="110"/>
        <v/>
      </c>
      <c r="Y529">
        <v>13802.13</v>
      </c>
      <c r="Z529">
        <f t="shared" si="111"/>
        <v>13802.13</v>
      </c>
      <c r="AA529">
        <v>10075.93</v>
      </c>
      <c r="AB529">
        <v>3726.2</v>
      </c>
      <c r="AC529">
        <f t="shared" si="112"/>
        <v>10554.57</v>
      </c>
      <c r="AD529" s="6">
        <f t="shared" si="113"/>
        <v>0.76470588235294124</v>
      </c>
      <c r="AE529" t="s">
        <v>32</v>
      </c>
      <c r="AF529" t="s">
        <v>33</v>
      </c>
      <c r="AG529">
        <f t="shared" si="114"/>
        <v>10</v>
      </c>
      <c r="AH529">
        <f t="shared" si="115"/>
        <v>2025</v>
      </c>
      <c r="AI529" t="str">
        <f t="shared" si="116"/>
        <v>CLEAN</v>
      </c>
    </row>
    <row r="530" spans="1:35">
      <c r="A530" t="s">
        <v>1680</v>
      </c>
      <c r="B530">
        <f t="shared" si="104"/>
        <v>1</v>
      </c>
      <c r="C530" t="str">
        <f>IF(COUNTIF($A$2:A530, A530)&gt;1, "DUPLICATE_FLAGGED_FOR_REVIEW", "")</f>
        <v/>
      </c>
      <c r="D530" s="3">
        <v>45572</v>
      </c>
      <c r="E530" s="2">
        <v>45574</v>
      </c>
      <c r="F530" s="2" t="str">
        <f t="shared" si="105"/>
        <v>OK</v>
      </c>
      <c r="G530" s="4">
        <f t="shared" si="106"/>
        <v>2</v>
      </c>
      <c r="H530" t="s">
        <v>1681</v>
      </c>
      <c r="I530" t="s">
        <v>162</v>
      </c>
      <c r="J530" t="s">
        <v>24</v>
      </c>
      <c r="K530" t="s">
        <v>54</v>
      </c>
      <c r="L530" t="str">
        <f t="shared" si="107"/>
        <v>South</v>
      </c>
      <c r="M530" t="s">
        <v>247</v>
      </c>
      <c r="N530" t="s">
        <v>248</v>
      </c>
      <c r="O530" t="s">
        <v>28</v>
      </c>
      <c r="P530" t="s">
        <v>153</v>
      </c>
      <c r="Q530" t="s">
        <v>1682</v>
      </c>
      <c r="R530" t="s">
        <v>59</v>
      </c>
      <c r="S530" t="str">
        <f t="shared" si="108"/>
        <v>Standard Class</v>
      </c>
      <c r="T530">
        <v>9</v>
      </c>
      <c r="U530">
        <v>3457.09</v>
      </c>
      <c r="V530">
        <v>0.05</v>
      </c>
      <c r="W530">
        <f t="shared" si="109"/>
        <v>0.05</v>
      </c>
      <c r="X530" t="str">
        <f t="shared" si="110"/>
        <v/>
      </c>
      <c r="Y530">
        <v>29558.12</v>
      </c>
      <c r="Z530">
        <f t="shared" si="111"/>
        <v>29558.119500000001</v>
      </c>
      <c r="AA530">
        <v>21302.13</v>
      </c>
      <c r="AB530">
        <v>8255.99</v>
      </c>
      <c r="AC530">
        <f t="shared" si="112"/>
        <v>26101.029500000001</v>
      </c>
      <c r="AD530" s="6">
        <f t="shared" si="113"/>
        <v>0.88304093567251463</v>
      </c>
      <c r="AE530" t="s">
        <v>111</v>
      </c>
      <c r="AF530" t="s">
        <v>103</v>
      </c>
      <c r="AG530">
        <f t="shared" si="114"/>
        <v>10</v>
      </c>
      <c r="AH530">
        <f t="shared" si="115"/>
        <v>2024</v>
      </c>
      <c r="AI530" t="str">
        <f t="shared" si="116"/>
        <v>CLEAN</v>
      </c>
    </row>
    <row r="531" spans="1:35">
      <c r="A531" t="s">
        <v>1683</v>
      </c>
      <c r="B531">
        <f t="shared" si="104"/>
        <v>1</v>
      </c>
      <c r="C531" t="str">
        <f>IF(COUNTIF($A$2:A531, A531)&gt;1, "DUPLICATE_FLAGGED_FOR_REVIEW", "")</f>
        <v/>
      </c>
      <c r="D531" s="3">
        <v>45328</v>
      </c>
      <c r="E531" s="2">
        <v>45330</v>
      </c>
      <c r="F531" s="2" t="str">
        <f t="shared" si="105"/>
        <v>OK</v>
      </c>
      <c r="G531" s="4">
        <f t="shared" si="106"/>
        <v>2</v>
      </c>
      <c r="H531" t="s">
        <v>728</v>
      </c>
      <c r="I531" t="s">
        <v>23</v>
      </c>
      <c r="J531" t="s">
        <v>24</v>
      </c>
      <c r="K531" t="s">
        <v>38</v>
      </c>
      <c r="L531" t="str">
        <f t="shared" si="107"/>
        <v>East</v>
      </c>
      <c r="M531" t="s">
        <v>228</v>
      </c>
      <c r="N531" t="s">
        <v>229</v>
      </c>
      <c r="O531" t="s">
        <v>41</v>
      </c>
      <c r="P531" t="s">
        <v>158</v>
      </c>
      <c r="Q531" t="s">
        <v>1684</v>
      </c>
      <c r="R531" t="s">
        <v>31</v>
      </c>
      <c r="S531" t="str">
        <f t="shared" si="108"/>
        <v>Second Class</v>
      </c>
      <c r="T531">
        <v>9</v>
      </c>
      <c r="U531">
        <v>1822.25</v>
      </c>
      <c r="V531">
        <v>0</v>
      </c>
      <c r="W531">
        <f t="shared" si="109"/>
        <v>0</v>
      </c>
      <c r="X531" t="str">
        <f t="shared" si="110"/>
        <v/>
      </c>
      <c r="Y531">
        <v>16400.25</v>
      </c>
      <c r="Z531">
        <f t="shared" si="111"/>
        <v>16400.25</v>
      </c>
      <c r="AA531">
        <v>12146.96</v>
      </c>
      <c r="AB531">
        <v>4253.29</v>
      </c>
      <c r="AC531">
        <f t="shared" si="112"/>
        <v>14578</v>
      </c>
      <c r="AD531" s="6">
        <f t="shared" si="113"/>
        <v>0.88888888888888884</v>
      </c>
      <c r="AE531" t="s">
        <v>32</v>
      </c>
      <c r="AF531" t="s">
        <v>33</v>
      </c>
      <c r="AG531">
        <f t="shared" si="114"/>
        <v>2</v>
      </c>
      <c r="AH531">
        <f t="shared" si="115"/>
        <v>2024</v>
      </c>
      <c r="AI531" t="str">
        <f t="shared" si="116"/>
        <v>CLEAN</v>
      </c>
    </row>
    <row r="532" spans="1:35">
      <c r="A532" t="s">
        <v>1685</v>
      </c>
      <c r="B532">
        <f t="shared" si="104"/>
        <v>1</v>
      </c>
      <c r="C532" t="str">
        <f>IF(COUNTIF($A$2:A532, A532)&gt;1, "DUPLICATE_FLAGGED_FOR_REVIEW", "")</f>
        <v/>
      </c>
      <c r="D532" s="3">
        <v>45807</v>
      </c>
      <c r="E532" s="2">
        <v>45809</v>
      </c>
      <c r="F532" s="2" t="str">
        <f t="shared" si="105"/>
        <v>OK</v>
      </c>
      <c r="G532" s="4">
        <f t="shared" si="106"/>
        <v>2</v>
      </c>
      <c r="H532" t="s">
        <v>1686</v>
      </c>
      <c r="I532" t="s">
        <v>118</v>
      </c>
      <c r="J532" t="s">
        <v>95</v>
      </c>
      <c r="K532" t="s">
        <v>54</v>
      </c>
      <c r="L532" t="str">
        <f t="shared" si="107"/>
        <v>South</v>
      </c>
      <c r="M532" t="s">
        <v>247</v>
      </c>
      <c r="N532" t="s">
        <v>248</v>
      </c>
      <c r="O532" t="s">
        <v>28</v>
      </c>
      <c r="P532" t="s">
        <v>153</v>
      </c>
      <c r="Q532" t="s">
        <v>1687</v>
      </c>
      <c r="R532" t="s">
        <v>59</v>
      </c>
      <c r="S532" t="str">
        <f t="shared" si="108"/>
        <v>Standard Class</v>
      </c>
      <c r="T532">
        <v>9</v>
      </c>
      <c r="U532">
        <v>1994.51</v>
      </c>
      <c r="V532">
        <v>0.05</v>
      </c>
      <c r="W532">
        <f t="shared" si="109"/>
        <v>0.05</v>
      </c>
      <c r="X532" t="str">
        <f t="shared" si="110"/>
        <v/>
      </c>
      <c r="Y532">
        <v>17053.060000000001</v>
      </c>
      <c r="Z532">
        <f t="shared" si="111"/>
        <v>17053.0605</v>
      </c>
      <c r="AA532">
        <v>10742.38</v>
      </c>
      <c r="AB532">
        <v>6310.68</v>
      </c>
      <c r="AC532">
        <f t="shared" si="112"/>
        <v>15058.550499999999</v>
      </c>
      <c r="AD532" s="6">
        <f t="shared" si="113"/>
        <v>0.88304093567251463</v>
      </c>
      <c r="AE532" t="s">
        <v>32</v>
      </c>
      <c r="AF532" t="s">
        <v>33</v>
      </c>
      <c r="AG532">
        <f t="shared" si="114"/>
        <v>5</v>
      </c>
      <c r="AH532">
        <f t="shared" si="115"/>
        <v>2025</v>
      </c>
      <c r="AI532" t="str">
        <f t="shared" si="116"/>
        <v>CLEAN</v>
      </c>
    </row>
    <row r="533" spans="1:35">
      <c r="A533" t="s">
        <v>1688</v>
      </c>
      <c r="B533">
        <f t="shared" si="104"/>
        <v>1</v>
      </c>
      <c r="C533" t="str">
        <f>IF(COUNTIF($A$2:A533, A533)&gt;1, "DUPLICATE_FLAGGED_FOR_REVIEW", "")</f>
        <v/>
      </c>
      <c r="D533" s="3">
        <v>45505</v>
      </c>
      <c r="E533" s="2">
        <v>45512</v>
      </c>
      <c r="F533" s="2" t="str">
        <f t="shared" si="105"/>
        <v>OK</v>
      </c>
      <c r="G533" s="4">
        <f t="shared" si="106"/>
        <v>7</v>
      </c>
      <c r="H533" t="s">
        <v>1689</v>
      </c>
      <c r="I533" t="s">
        <v>162</v>
      </c>
      <c r="J533" t="s">
        <v>37</v>
      </c>
      <c r="K533" t="s">
        <v>63</v>
      </c>
      <c r="L533" t="str">
        <f t="shared" si="107"/>
        <v>West</v>
      </c>
      <c r="M533" t="s">
        <v>64</v>
      </c>
      <c r="N533" t="s">
        <v>65</v>
      </c>
      <c r="O533" t="s">
        <v>28</v>
      </c>
      <c r="P533" t="s">
        <v>124</v>
      </c>
      <c r="Q533" t="s">
        <v>1690</v>
      </c>
      <c r="R533" t="s">
        <v>2760</v>
      </c>
      <c r="S533" t="str">
        <f t="shared" si="108"/>
        <v>Unknown</v>
      </c>
      <c r="T533">
        <v>1</v>
      </c>
      <c r="U533">
        <v>442.97</v>
      </c>
      <c r="V533">
        <v>0.1</v>
      </c>
      <c r="W533">
        <f t="shared" si="109"/>
        <v>0.1</v>
      </c>
      <c r="X533" t="str">
        <f t="shared" si="110"/>
        <v/>
      </c>
      <c r="Y533">
        <v>398.67</v>
      </c>
      <c r="Z533">
        <f t="shared" si="111"/>
        <v>398.67300000000006</v>
      </c>
      <c r="AA533">
        <v>311.66000000000003</v>
      </c>
      <c r="AB533">
        <v>87.01</v>
      </c>
      <c r="AC533">
        <f t="shared" si="112"/>
        <v>-44.296999999999969</v>
      </c>
      <c r="AD533" s="6">
        <f t="shared" si="113"/>
        <v>-0.11111111111111102</v>
      </c>
      <c r="AE533" t="s">
        <v>32</v>
      </c>
      <c r="AF533" t="s">
        <v>33</v>
      </c>
      <c r="AG533">
        <f t="shared" si="114"/>
        <v>8</v>
      </c>
      <c r="AH533">
        <f t="shared" si="115"/>
        <v>2024</v>
      </c>
      <c r="AI533" t="str">
        <f t="shared" si="116"/>
        <v>WARNING</v>
      </c>
    </row>
    <row r="534" spans="1:35">
      <c r="A534" t="s">
        <v>1691</v>
      </c>
      <c r="B534">
        <f t="shared" si="104"/>
        <v>1</v>
      </c>
      <c r="C534" t="str">
        <f>IF(COUNTIF($A$2:A534, A534)&gt;1, "DUPLICATE_FLAGGED_FOR_REVIEW", "")</f>
        <v/>
      </c>
      <c r="D534" s="3">
        <v>45935</v>
      </c>
      <c r="E534" s="2">
        <v>45940</v>
      </c>
      <c r="F534" s="2" t="str">
        <f t="shared" si="105"/>
        <v>OK</v>
      </c>
      <c r="G534" s="4">
        <f t="shared" si="106"/>
        <v>5</v>
      </c>
      <c r="H534" t="s">
        <v>1692</v>
      </c>
      <c r="I534" t="s">
        <v>114</v>
      </c>
      <c r="J534" t="s">
        <v>90</v>
      </c>
      <c r="K534" t="s">
        <v>38</v>
      </c>
      <c r="L534" t="str">
        <f t="shared" si="107"/>
        <v>East</v>
      </c>
      <c r="M534" t="s">
        <v>166</v>
      </c>
      <c r="N534" t="s">
        <v>167</v>
      </c>
      <c r="O534" t="s">
        <v>41</v>
      </c>
      <c r="P534" t="s">
        <v>42</v>
      </c>
      <c r="Q534" t="s">
        <v>1693</v>
      </c>
      <c r="R534" t="s">
        <v>31</v>
      </c>
      <c r="S534" t="str">
        <f t="shared" si="108"/>
        <v>Second Class</v>
      </c>
      <c r="T534">
        <v>9</v>
      </c>
      <c r="U534">
        <v>2089.14</v>
      </c>
      <c r="V534">
        <v>0.05</v>
      </c>
      <c r="W534">
        <f t="shared" si="109"/>
        <v>0.05</v>
      </c>
      <c r="X534" t="str">
        <f t="shared" si="110"/>
        <v/>
      </c>
      <c r="Y534">
        <v>17862.150000000001</v>
      </c>
      <c r="Z534">
        <f t="shared" si="111"/>
        <v>17862.146999999997</v>
      </c>
      <c r="AA534">
        <v>9892.2099999999991</v>
      </c>
      <c r="AB534">
        <v>7969.94</v>
      </c>
      <c r="AC534">
        <f t="shared" si="112"/>
        <v>15773.006999999998</v>
      </c>
      <c r="AD534" s="6">
        <f t="shared" si="113"/>
        <v>0.88304093567251463</v>
      </c>
      <c r="AE534" t="s">
        <v>155</v>
      </c>
      <c r="AF534" t="s">
        <v>68</v>
      </c>
      <c r="AG534">
        <f t="shared" si="114"/>
        <v>10</v>
      </c>
      <c r="AH534">
        <f t="shared" si="115"/>
        <v>2025</v>
      </c>
      <c r="AI534" t="str">
        <f t="shared" si="116"/>
        <v>CLEAN</v>
      </c>
    </row>
    <row r="535" spans="1:35">
      <c r="A535" t="s">
        <v>1694</v>
      </c>
      <c r="B535">
        <f t="shared" si="104"/>
        <v>1</v>
      </c>
      <c r="C535" t="str">
        <f>IF(COUNTIF($A$2:A535, A535)&gt;1, "DUPLICATE_FLAGGED_FOR_REVIEW", "")</f>
        <v/>
      </c>
      <c r="D535" s="3">
        <v>45529</v>
      </c>
      <c r="E535" s="2">
        <v>45536</v>
      </c>
      <c r="F535" s="2" t="str">
        <f t="shared" si="105"/>
        <v>OK</v>
      </c>
      <c r="G535" s="4">
        <f t="shared" si="106"/>
        <v>7</v>
      </c>
      <c r="H535" t="s">
        <v>1695</v>
      </c>
      <c r="I535" t="s">
        <v>47</v>
      </c>
      <c r="J535" t="s">
        <v>95</v>
      </c>
      <c r="K535" t="s">
        <v>25</v>
      </c>
      <c r="L535" t="str">
        <f t="shared" si="107"/>
        <v>North</v>
      </c>
      <c r="M535" t="s">
        <v>26</v>
      </c>
      <c r="N535" t="s">
        <v>27</v>
      </c>
      <c r="O535" t="s">
        <v>41</v>
      </c>
      <c r="P535" t="s">
        <v>42</v>
      </c>
      <c r="Q535" t="s">
        <v>1696</v>
      </c>
      <c r="R535" t="s">
        <v>44</v>
      </c>
      <c r="S535" t="str">
        <f t="shared" si="108"/>
        <v>Same Day</v>
      </c>
      <c r="T535">
        <v>6</v>
      </c>
      <c r="U535">
        <v>481.3</v>
      </c>
      <c r="V535">
        <v>0.25</v>
      </c>
      <c r="W535">
        <f t="shared" si="109"/>
        <v>0.25</v>
      </c>
      <c r="X535" t="str">
        <f t="shared" si="110"/>
        <v/>
      </c>
      <c r="Y535">
        <v>2165.85</v>
      </c>
      <c r="Z535">
        <f t="shared" si="111"/>
        <v>2165.8500000000004</v>
      </c>
      <c r="AA535">
        <v>2124.48</v>
      </c>
      <c r="AB535">
        <v>430.45</v>
      </c>
      <c r="AC535">
        <f t="shared" si="112"/>
        <v>1684.5500000000004</v>
      </c>
      <c r="AD535" s="6">
        <f t="shared" si="113"/>
        <v>0.77777777777777779</v>
      </c>
      <c r="AE535" t="s">
        <v>32</v>
      </c>
      <c r="AF535" t="s">
        <v>33</v>
      </c>
      <c r="AG535">
        <f t="shared" si="114"/>
        <v>8</v>
      </c>
      <c r="AH535">
        <f t="shared" si="115"/>
        <v>2024</v>
      </c>
      <c r="AI535" t="str">
        <f t="shared" si="116"/>
        <v>CLEAN</v>
      </c>
    </row>
    <row r="536" spans="1:35">
      <c r="A536" t="s">
        <v>1697</v>
      </c>
      <c r="B536">
        <f t="shared" si="104"/>
        <v>1</v>
      </c>
      <c r="C536" t="str">
        <f>IF(COUNTIF($A$2:A536, A536)&gt;1, "DUPLICATE_FLAGGED_FOR_REVIEW", "")</f>
        <v/>
      </c>
      <c r="D536" s="3">
        <v>45774</v>
      </c>
      <c r="E536" s="2">
        <v>45782</v>
      </c>
      <c r="F536" s="2" t="str">
        <f t="shared" si="105"/>
        <v>OK</v>
      </c>
      <c r="G536" s="4">
        <f t="shared" si="106"/>
        <v>8</v>
      </c>
      <c r="H536" t="s">
        <v>1698</v>
      </c>
      <c r="I536" t="s">
        <v>141</v>
      </c>
      <c r="J536" t="s">
        <v>95</v>
      </c>
      <c r="K536" t="s">
        <v>38</v>
      </c>
      <c r="L536" t="str">
        <f t="shared" si="107"/>
        <v>East</v>
      </c>
      <c r="M536" t="s">
        <v>145</v>
      </c>
      <c r="N536" t="s">
        <v>146</v>
      </c>
      <c r="O536" t="s">
        <v>74</v>
      </c>
      <c r="P536" t="s">
        <v>75</v>
      </c>
      <c r="Q536" t="s">
        <v>1699</v>
      </c>
      <c r="R536" t="s">
        <v>31</v>
      </c>
      <c r="S536" t="str">
        <f t="shared" si="108"/>
        <v>Second Class</v>
      </c>
      <c r="T536">
        <v>4</v>
      </c>
      <c r="U536">
        <v>3963.39</v>
      </c>
      <c r="V536">
        <v>0.1</v>
      </c>
      <c r="W536">
        <f t="shared" si="109"/>
        <v>0.1</v>
      </c>
      <c r="X536" t="str">
        <f t="shared" si="110"/>
        <v/>
      </c>
      <c r="Y536">
        <v>14268.2</v>
      </c>
      <c r="Z536">
        <f t="shared" si="111"/>
        <v>14268.204</v>
      </c>
      <c r="AA536">
        <v>11705.3</v>
      </c>
      <c r="AB536">
        <v>2562.9</v>
      </c>
      <c r="AC536">
        <f t="shared" si="112"/>
        <v>10304.814</v>
      </c>
      <c r="AD536" s="6">
        <f t="shared" si="113"/>
        <v>0.72222222222222221</v>
      </c>
      <c r="AE536" t="s">
        <v>111</v>
      </c>
      <c r="AF536" t="s">
        <v>103</v>
      </c>
      <c r="AG536">
        <f t="shared" si="114"/>
        <v>4</v>
      </c>
      <c r="AH536">
        <f t="shared" si="115"/>
        <v>2025</v>
      </c>
      <c r="AI536" t="str">
        <f t="shared" si="116"/>
        <v>CLEAN</v>
      </c>
    </row>
    <row r="537" spans="1:35">
      <c r="A537" t="s">
        <v>1700</v>
      </c>
      <c r="B537">
        <f t="shared" si="104"/>
        <v>1</v>
      </c>
      <c r="C537" t="str">
        <f>IF(COUNTIF($A$2:A537, A537)&gt;1, "DUPLICATE_FLAGGED_FOR_REVIEW", "")</f>
        <v/>
      </c>
      <c r="D537" s="3">
        <v>45431</v>
      </c>
      <c r="E537" s="2">
        <v>45433</v>
      </c>
      <c r="F537" s="2" t="str">
        <f t="shared" si="105"/>
        <v>OK</v>
      </c>
      <c r="G537" s="4">
        <f t="shared" si="106"/>
        <v>2</v>
      </c>
      <c r="H537" t="s">
        <v>1701</v>
      </c>
      <c r="I537" t="s">
        <v>162</v>
      </c>
      <c r="J537" t="s">
        <v>37</v>
      </c>
      <c r="K537" t="s">
        <v>63</v>
      </c>
      <c r="L537" t="str">
        <f t="shared" si="107"/>
        <v>West</v>
      </c>
      <c r="M537" t="s">
        <v>64</v>
      </c>
      <c r="N537" t="s">
        <v>65</v>
      </c>
      <c r="O537" t="s">
        <v>74</v>
      </c>
      <c r="P537" t="s">
        <v>80</v>
      </c>
      <c r="Q537" t="s">
        <v>1702</v>
      </c>
      <c r="R537" t="s">
        <v>50</v>
      </c>
      <c r="S537" t="str">
        <f t="shared" si="108"/>
        <v>First Class</v>
      </c>
      <c r="T537">
        <v>3</v>
      </c>
      <c r="U537">
        <v>4000.98</v>
      </c>
      <c r="V537">
        <v>0.2</v>
      </c>
      <c r="W537">
        <f t="shared" si="109"/>
        <v>0.2</v>
      </c>
      <c r="X537" t="str">
        <f t="shared" si="110"/>
        <v/>
      </c>
      <c r="Y537">
        <v>9602.35</v>
      </c>
      <c r="Z537">
        <f t="shared" si="111"/>
        <v>9602.3520000000008</v>
      </c>
      <c r="AA537">
        <v>7387.57</v>
      </c>
      <c r="AB537">
        <v>2214.7800000000002</v>
      </c>
      <c r="AC537">
        <f t="shared" si="112"/>
        <v>5601.3720000000012</v>
      </c>
      <c r="AD537" s="6">
        <f t="shared" si="113"/>
        <v>0.58333333333333337</v>
      </c>
      <c r="AE537" t="s">
        <v>32</v>
      </c>
      <c r="AF537" t="s">
        <v>33</v>
      </c>
      <c r="AG537">
        <f t="shared" si="114"/>
        <v>5</v>
      </c>
      <c r="AH537">
        <f t="shared" si="115"/>
        <v>2024</v>
      </c>
      <c r="AI537" t="str">
        <f t="shared" si="116"/>
        <v>CLEAN</v>
      </c>
    </row>
    <row r="538" spans="1:35">
      <c r="A538" t="s">
        <v>1703</v>
      </c>
      <c r="B538">
        <f t="shared" si="104"/>
        <v>1</v>
      </c>
      <c r="C538" t="str">
        <f>IF(COUNTIF($A$2:A538, A538)&gt;1, "DUPLICATE_FLAGGED_FOR_REVIEW", "")</f>
        <v/>
      </c>
      <c r="D538" s="3">
        <v>45757</v>
      </c>
      <c r="E538" s="2">
        <v>45764</v>
      </c>
      <c r="F538" s="2" t="str">
        <f t="shared" si="105"/>
        <v>OK</v>
      </c>
      <c r="G538" s="4">
        <f t="shared" si="106"/>
        <v>7</v>
      </c>
      <c r="H538" t="s">
        <v>1704</v>
      </c>
      <c r="I538" t="s">
        <v>62</v>
      </c>
      <c r="J538" t="s">
        <v>37</v>
      </c>
      <c r="K538" t="s">
        <v>63</v>
      </c>
      <c r="L538" t="str">
        <f t="shared" si="107"/>
        <v>West</v>
      </c>
      <c r="M538" t="s">
        <v>26</v>
      </c>
      <c r="N538" t="s">
        <v>109</v>
      </c>
      <c r="O538" t="s">
        <v>41</v>
      </c>
      <c r="P538" t="s">
        <v>66</v>
      </c>
      <c r="Q538" t="s">
        <v>1705</v>
      </c>
      <c r="R538" t="s">
        <v>50</v>
      </c>
      <c r="S538" t="str">
        <f t="shared" si="108"/>
        <v>First Class</v>
      </c>
      <c r="T538">
        <v>7</v>
      </c>
      <c r="U538">
        <v>3788.9</v>
      </c>
      <c r="V538">
        <v>0.25</v>
      </c>
      <c r="W538">
        <f t="shared" si="109"/>
        <v>0.25</v>
      </c>
      <c r="X538" t="str">
        <f t="shared" si="110"/>
        <v/>
      </c>
      <c r="Y538">
        <v>19891.72</v>
      </c>
      <c r="Z538">
        <f t="shared" si="111"/>
        <v>19891.724999999999</v>
      </c>
      <c r="AA538">
        <v>12295.76</v>
      </c>
      <c r="AB538">
        <v>7595.96</v>
      </c>
      <c r="AC538">
        <f t="shared" si="112"/>
        <v>16102.824999999999</v>
      </c>
      <c r="AD538" s="6">
        <f t="shared" si="113"/>
        <v>0.80952380952380953</v>
      </c>
      <c r="AE538" t="s">
        <v>155</v>
      </c>
      <c r="AF538" t="s">
        <v>68</v>
      </c>
      <c r="AG538">
        <f t="shared" si="114"/>
        <v>4</v>
      </c>
      <c r="AH538">
        <f t="shared" si="115"/>
        <v>2025</v>
      </c>
      <c r="AI538" t="str">
        <f t="shared" si="116"/>
        <v>CLEAN</v>
      </c>
    </row>
    <row r="539" spans="1:35">
      <c r="A539" t="s">
        <v>1706</v>
      </c>
      <c r="B539">
        <f t="shared" si="104"/>
        <v>1</v>
      </c>
      <c r="C539" t="str">
        <f>IF(COUNTIF($A$2:A539, A539)&gt;1, "DUPLICATE_FLAGGED_FOR_REVIEW", "")</f>
        <v/>
      </c>
      <c r="D539" s="3">
        <v>45313</v>
      </c>
      <c r="E539" s="2">
        <v>45321</v>
      </c>
      <c r="F539" s="2" t="str">
        <f t="shared" si="105"/>
        <v>OK</v>
      </c>
      <c r="G539" s="4">
        <f t="shared" si="106"/>
        <v>8</v>
      </c>
      <c r="H539" t="s">
        <v>1707</v>
      </c>
      <c r="I539" t="s">
        <v>62</v>
      </c>
      <c r="J539" t="s">
        <v>37</v>
      </c>
      <c r="K539" t="s">
        <v>25</v>
      </c>
      <c r="L539" t="str">
        <f t="shared" si="107"/>
        <v>North</v>
      </c>
      <c r="M539" t="s">
        <v>236</v>
      </c>
      <c r="N539" t="s">
        <v>237</v>
      </c>
      <c r="O539" t="s">
        <v>28</v>
      </c>
      <c r="P539" t="s">
        <v>48</v>
      </c>
      <c r="Q539" t="s">
        <v>1708</v>
      </c>
      <c r="R539" t="s">
        <v>44</v>
      </c>
      <c r="S539" t="str">
        <f t="shared" si="108"/>
        <v>Same Day</v>
      </c>
      <c r="T539">
        <v>3</v>
      </c>
      <c r="U539">
        <v>676.37</v>
      </c>
      <c r="V539">
        <v>0.05</v>
      </c>
      <c r="W539">
        <f t="shared" si="109"/>
        <v>0.05</v>
      </c>
      <c r="X539" t="str">
        <f t="shared" si="110"/>
        <v/>
      </c>
      <c r="Y539">
        <v>1927.65</v>
      </c>
      <c r="Z539">
        <f t="shared" si="111"/>
        <v>1927.6545000000001</v>
      </c>
      <c r="AA539">
        <v>1460.6</v>
      </c>
      <c r="AB539">
        <v>467.05</v>
      </c>
      <c r="AC539">
        <f t="shared" si="112"/>
        <v>1251.2845000000002</v>
      </c>
      <c r="AD539" s="6">
        <f t="shared" si="113"/>
        <v>0.64912280701754388</v>
      </c>
      <c r="AE539" t="s">
        <v>155</v>
      </c>
      <c r="AF539" t="s">
        <v>68</v>
      </c>
      <c r="AG539">
        <f t="shared" si="114"/>
        <v>1</v>
      </c>
      <c r="AH539">
        <f t="shared" si="115"/>
        <v>2024</v>
      </c>
      <c r="AI539" t="str">
        <f t="shared" si="116"/>
        <v>CLEAN</v>
      </c>
    </row>
    <row r="540" spans="1:35">
      <c r="A540" t="s">
        <v>1709</v>
      </c>
      <c r="B540">
        <f t="shared" si="104"/>
        <v>1</v>
      </c>
      <c r="C540" t="str">
        <f>IF(COUNTIF($A$2:A540, A540)&gt;1, "DUPLICATE_FLAGGED_FOR_REVIEW", "")</f>
        <v/>
      </c>
      <c r="D540" s="3">
        <v>45560</v>
      </c>
      <c r="E540" s="2">
        <v>45566</v>
      </c>
      <c r="F540" s="2" t="str">
        <f t="shared" si="105"/>
        <v>OK</v>
      </c>
      <c r="G540" s="4">
        <f t="shared" si="106"/>
        <v>6</v>
      </c>
      <c r="H540" t="s">
        <v>1710</v>
      </c>
      <c r="I540" t="s">
        <v>162</v>
      </c>
      <c r="J540" t="s">
        <v>37</v>
      </c>
      <c r="K540" t="s">
        <v>38</v>
      </c>
      <c r="L540" t="str">
        <f t="shared" si="107"/>
        <v>East</v>
      </c>
      <c r="M540" t="s">
        <v>228</v>
      </c>
      <c r="N540" t="s">
        <v>229</v>
      </c>
      <c r="O540" t="s">
        <v>41</v>
      </c>
      <c r="P540" t="s">
        <v>42</v>
      </c>
      <c r="Q540" t="s">
        <v>1711</v>
      </c>
      <c r="R540" t="s">
        <v>31</v>
      </c>
      <c r="S540" t="str">
        <f t="shared" si="108"/>
        <v>Second Class</v>
      </c>
      <c r="T540">
        <v>9</v>
      </c>
      <c r="U540">
        <v>3908.6</v>
      </c>
      <c r="V540">
        <v>0.15</v>
      </c>
      <c r="W540">
        <f t="shared" si="109"/>
        <v>0.15</v>
      </c>
      <c r="X540" t="str">
        <f t="shared" si="110"/>
        <v/>
      </c>
      <c r="Y540">
        <v>29900.79</v>
      </c>
      <c r="Z540">
        <f t="shared" si="111"/>
        <v>29900.79</v>
      </c>
      <c r="AA540">
        <v>24650.67</v>
      </c>
      <c r="AB540">
        <v>5250.12</v>
      </c>
      <c r="AC540">
        <f t="shared" si="112"/>
        <v>25992.190000000002</v>
      </c>
      <c r="AD540" s="6">
        <f t="shared" si="113"/>
        <v>0.86928104575163401</v>
      </c>
      <c r="AE540" t="s">
        <v>32</v>
      </c>
      <c r="AF540" t="s">
        <v>33</v>
      </c>
      <c r="AG540">
        <f t="shared" si="114"/>
        <v>9</v>
      </c>
      <c r="AH540">
        <f t="shared" si="115"/>
        <v>2024</v>
      </c>
      <c r="AI540" t="str">
        <f t="shared" si="116"/>
        <v>CLEAN</v>
      </c>
    </row>
    <row r="541" spans="1:35">
      <c r="A541" t="s">
        <v>1712</v>
      </c>
      <c r="B541">
        <f t="shared" si="104"/>
        <v>1</v>
      </c>
      <c r="C541" t="str">
        <f>IF(COUNTIF($A$2:A541, A541)&gt;1, "DUPLICATE_FLAGGED_FOR_REVIEW", "")</f>
        <v/>
      </c>
      <c r="D541" s="3">
        <v>45754</v>
      </c>
      <c r="E541" s="2">
        <v>45842</v>
      </c>
      <c r="F541" s="2" t="str">
        <f t="shared" si="105"/>
        <v>OK</v>
      </c>
      <c r="G541" s="4">
        <f t="shared" si="106"/>
        <v>88</v>
      </c>
      <c r="H541" t="s">
        <v>1713</v>
      </c>
      <c r="I541" t="s">
        <v>36</v>
      </c>
      <c r="J541" t="s">
        <v>37</v>
      </c>
      <c r="K541" t="s">
        <v>54</v>
      </c>
      <c r="L541" t="str">
        <f t="shared" si="107"/>
        <v>South</v>
      </c>
      <c r="M541" t="s">
        <v>247</v>
      </c>
      <c r="N541" t="s">
        <v>248</v>
      </c>
      <c r="O541" t="s">
        <v>41</v>
      </c>
      <c r="P541" t="s">
        <v>66</v>
      </c>
      <c r="Q541" t="s">
        <v>1714</v>
      </c>
      <c r="R541" t="s">
        <v>59</v>
      </c>
      <c r="S541" t="str">
        <f t="shared" si="108"/>
        <v>Standard Class</v>
      </c>
      <c r="T541">
        <v>3</v>
      </c>
      <c r="U541">
        <v>705.35</v>
      </c>
      <c r="V541">
        <v>0.1</v>
      </c>
      <c r="W541">
        <f t="shared" si="109"/>
        <v>0.1</v>
      </c>
      <c r="X541" t="str">
        <f t="shared" si="110"/>
        <v/>
      </c>
      <c r="Y541">
        <v>1904.45</v>
      </c>
      <c r="Z541">
        <f t="shared" si="111"/>
        <v>1904.4450000000002</v>
      </c>
      <c r="AA541">
        <v>1316.54</v>
      </c>
      <c r="AB541">
        <v>587.91</v>
      </c>
      <c r="AC541">
        <f t="shared" si="112"/>
        <v>1199.0950000000003</v>
      </c>
      <c r="AD541" s="6">
        <f t="shared" si="113"/>
        <v>0.62962962962962976</v>
      </c>
      <c r="AE541" t="s">
        <v>32</v>
      </c>
      <c r="AF541" t="s">
        <v>68</v>
      </c>
      <c r="AG541">
        <f t="shared" si="114"/>
        <v>4</v>
      </c>
      <c r="AH541">
        <f t="shared" si="115"/>
        <v>2025</v>
      </c>
      <c r="AI541" t="str">
        <f t="shared" si="116"/>
        <v>CLEAN</v>
      </c>
    </row>
    <row r="542" spans="1:35">
      <c r="A542" t="s">
        <v>1715</v>
      </c>
      <c r="B542">
        <f t="shared" si="104"/>
        <v>1</v>
      </c>
      <c r="C542" t="str">
        <f>IF(COUNTIF($A$2:A542, A542)&gt;1, "DUPLICATE_FLAGGED_FOR_REVIEW", "")</f>
        <v/>
      </c>
      <c r="D542" s="3">
        <v>45348</v>
      </c>
      <c r="E542" s="2">
        <v>45345</v>
      </c>
      <c r="F542" s="2" t="str">
        <f t="shared" si="105"/>
        <v>ERROR: Ship before order</v>
      </c>
      <c r="G542" s="4">
        <f t="shared" si="106"/>
        <v>-3</v>
      </c>
      <c r="H542" t="s">
        <v>1716</v>
      </c>
      <c r="I542" t="s">
        <v>264</v>
      </c>
      <c r="J542" t="s">
        <v>24</v>
      </c>
      <c r="K542" t="s">
        <v>63</v>
      </c>
      <c r="L542" t="str">
        <f t="shared" si="107"/>
        <v>West</v>
      </c>
      <c r="M542" t="s">
        <v>180</v>
      </c>
      <c r="N542" t="s">
        <v>181</v>
      </c>
      <c r="O542" t="s">
        <v>41</v>
      </c>
      <c r="P542" t="s">
        <v>57</v>
      </c>
      <c r="Q542" t="s">
        <v>1717</v>
      </c>
      <c r="R542" t="s">
        <v>59</v>
      </c>
      <c r="S542" t="str">
        <f t="shared" si="108"/>
        <v>Standard Class</v>
      </c>
      <c r="T542">
        <v>7</v>
      </c>
      <c r="U542">
        <v>3852.07</v>
      </c>
      <c r="V542">
        <v>0.2</v>
      </c>
      <c r="W542">
        <f t="shared" si="109"/>
        <v>0.2</v>
      </c>
      <c r="X542" t="str">
        <f t="shared" si="110"/>
        <v/>
      </c>
      <c r="Y542">
        <v>21571.59</v>
      </c>
      <c r="Z542">
        <f t="shared" si="111"/>
        <v>21571.592000000004</v>
      </c>
      <c r="AA542">
        <v>17118.07</v>
      </c>
      <c r="AB542">
        <v>4453.5200000000004</v>
      </c>
      <c r="AC542">
        <f t="shared" si="112"/>
        <v>17719.522000000004</v>
      </c>
      <c r="AD542" s="6">
        <f t="shared" si="113"/>
        <v>0.82142857142857151</v>
      </c>
      <c r="AE542" t="s">
        <v>32</v>
      </c>
      <c r="AF542" t="s">
        <v>33</v>
      </c>
      <c r="AG542">
        <f t="shared" si="114"/>
        <v>2</v>
      </c>
      <c r="AH542">
        <f t="shared" si="115"/>
        <v>2024</v>
      </c>
      <c r="AI542" t="str">
        <f t="shared" si="116"/>
        <v>INVALID</v>
      </c>
    </row>
    <row r="543" spans="1:35">
      <c r="A543" t="s">
        <v>1718</v>
      </c>
      <c r="B543">
        <f t="shared" si="104"/>
        <v>1</v>
      </c>
      <c r="C543" t="str">
        <f>IF(COUNTIF($A$2:A543, A543)&gt;1, "DUPLICATE_FLAGGED_FOR_REVIEW", "")</f>
        <v/>
      </c>
      <c r="D543" s="3">
        <v>45846</v>
      </c>
      <c r="E543" s="2">
        <v>45847</v>
      </c>
      <c r="F543" s="2" t="str">
        <f t="shared" si="105"/>
        <v>OK</v>
      </c>
      <c r="G543" s="4">
        <f t="shared" si="106"/>
        <v>1</v>
      </c>
      <c r="H543" t="s">
        <v>1719</v>
      </c>
      <c r="I543" t="s">
        <v>132</v>
      </c>
      <c r="J543" t="s">
        <v>24</v>
      </c>
      <c r="K543" t="s">
        <v>63</v>
      </c>
      <c r="L543" t="str">
        <f t="shared" si="107"/>
        <v>West</v>
      </c>
      <c r="M543" t="s">
        <v>64</v>
      </c>
      <c r="N543" t="s">
        <v>65</v>
      </c>
      <c r="O543" t="s">
        <v>74</v>
      </c>
      <c r="P543" t="s">
        <v>80</v>
      </c>
      <c r="Q543" t="s">
        <v>1720</v>
      </c>
      <c r="R543" t="s">
        <v>44</v>
      </c>
      <c r="S543" t="str">
        <f t="shared" si="108"/>
        <v>Same Day</v>
      </c>
      <c r="T543">
        <v>3</v>
      </c>
      <c r="U543">
        <v>2880.56</v>
      </c>
      <c r="V543">
        <v>0</v>
      </c>
      <c r="W543">
        <f t="shared" si="109"/>
        <v>0</v>
      </c>
      <c r="X543" t="str">
        <f t="shared" si="110"/>
        <v/>
      </c>
      <c r="Y543">
        <v>8641.68</v>
      </c>
      <c r="Z543">
        <f t="shared" si="111"/>
        <v>8641.68</v>
      </c>
      <c r="AA543">
        <v>5747.09</v>
      </c>
      <c r="AB543">
        <v>2894.59</v>
      </c>
      <c r="AC543">
        <f t="shared" si="112"/>
        <v>5761.1200000000008</v>
      </c>
      <c r="AD543" s="6">
        <f t="shared" si="113"/>
        <v>0.66666666666666674</v>
      </c>
      <c r="AE543" t="s">
        <v>32</v>
      </c>
      <c r="AF543" t="s">
        <v>103</v>
      </c>
      <c r="AG543">
        <f t="shared" si="114"/>
        <v>7</v>
      </c>
      <c r="AH543">
        <f t="shared" si="115"/>
        <v>2025</v>
      </c>
      <c r="AI543" t="str">
        <f t="shared" si="116"/>
        <v>CLEAN</v>
      </c>
    </row>
    <row r="544" spans="1:35">
      <c r="A544" t="s">
        <v>1721</v>
      </c>
      <c r="B544">
        <f t="shared" si="104"/>
        <v>1</v>
      </c>
      <c r="C544" t="str">
        <f>IF(COUNTIF($A$2:A544, A544)&gt;1, "DUPLICATE_FLAGGED_FOR_REVIEW", "")</f>
        <v/>
      </c>
      <c r="D544" s="3">
        <v>45552</v>
      </c>
      <c r="E544" s="2">
        <v>45558</v>
      </c>
      <c r="F544" s="2" t="str">
        <f t="shared" si="105"/>
        <v>OK</v>
      </c>
      <c r="G544" s="4">
        <f t="shared" si="106"/>
        <v>6</v>
      </c>
      <c r="H544" t="s">
        <v>1722</v>
      </c>
      <c r="I544" t="s">
        <v>118</v>
      </c>
      <c r="J544" t="s">
        <v>95</v>
      </c>
      <c r="K544" t="s">
        <v>54</v>
      </c>
      <c r="L544" t="str">
        <f t="shared" si="107"/>
        <v>South</v>
      </c>
      <c r="M544" t="s">
        <v>185</v>
      </c>
      <c r="N544" t="s">
        <v>186</v>
      </c>
      <c r="O544" t="s">
        <v>41</v>
      </c>
      <c r="P544" t="s">
        <v>158</v>
      </c>
      <c r="Q544" t="s">
        <v>1723</v>
      </c>
      <c r="R544" t="s">
        <v>31</v>
      </c>
      <c r="S544" t="str">
        <f t="shared" si="108"/>
        <v>Second Class</v>
      </c>
      <c r="T544">
        <v>3</v>
      </c>
      <c r="U544">
        <v>4067.62</v>
      </c>
      <c r="V544">
        <v>0.2</v>
      </c>
      <c r="W544">
        <f t="shared" si="109"/>
        <v>0.2</v>
      </c>
      <c r="X544" t="str">
        <f t="shared" si="110"/>
        <v/>
      </c>
      <c r="Y544">
        <v>9988.5300000000007</v>
      </c>
      <c r="Z544">
        <f t="shared" si="111"/>
        <v>9762.2880000000005</v>
      </c>
      <c r="AA544">
        <v>8368.24</v>
      </c>
      <c r="AB544">
        <v>1394.05</v>
      </c>
      <c r="AC544">
        <f t="shared" si="112"/>
        <v>5694.6680000000006</v>
      </c>
      <c r="AD544" s="6">
        <f t="shared" si="113"/>
        <v>0.58333333333333337</v>
      </c>
      <c r="AE544" t="s">
        <v>32</v>
      </c>
      <c r="AF544" t="s">
        <v>68</v>
      </c>
      <c r="AG544">
        <f t="shared" si="114"/>
        <v>9</v>
      </c>
      <c r="AH544">
        <f t="shared" si="115"/>
        <v>2024</v>
      </c>
      <c r="AI544" t="str">
        <f t="shared" si="116"/>
        <v>CLEAN</v>
      </c>
    </row>
    <row r="545" spans="1:35">
      <c r="A545" t="s">
        <v>1724</v>
      </c>
      <c r="B545">
        <f t="shared" si="104"/>
        <v>1</v>
      </c>
      <c r="C545" t="str">
        <f>IF(COUNTIF($A$2:A545, A545)&gt;1, "DUPLICATE_FLAGGED_FOR_REVIEW", "")</f>
        <v/>
      </c>
      <c r="D545" s="3">
        <v>45487</v>
      </c>
      <c r="E545" s="2">
        <v>45493</v>
      </c>
      <c r="F545" s="2" t="str">
        <f t="shared" si="105"/>
        <v>OK</v>
      </c>
      <c r="G545" s="4">
        <f t="shared" si="106"/>
        <v>6</v>
      </c>
      <c r="H545" t="s">
        <v>1725</v>
      </c>
      <c r="I545" t="s">
        <v>36</v>
      </c>
      <c r="J545" t="s">
        <v>24</v>
      </c>
      <c r="K545" t="s">
        <v>38</v>
      </c>
      <c r="L545" t="str">
        <f t="shared" si="107"/>
        <v>East</v>
      </c>
      <c r="M545" t="s">
        <v>145</v>
      </c>
      <c r="N545" t="s">
        <v>146</v>
      </c>
      <c r="O545" t="s">
        <v>74</v>
      </c>
      <c r="P545" t="s">
        <v>80</v>
      </c>
      <c r="Q545" t="s">
        <v>1726</v>
      </c>
      <c r="R545" t="s">
        <v>44</v>
      </c>
      <c r="S545" t="str">
        <f t="shared" si="108"/>
        <v>Same Day</v>
      </c>
      <c r="T545">
        <v>1</v>
      </c>
      <c r="U545">
        <v>492.67</v>
      </c>
      <c r="V545">
        <v>0.15</v>
      </c>
      <c r="W545">
        <f t="shared" si="109"/>
        <v>0.15</v>
      </c>
      <c r="X545" t="str">
        <f t="shared" si="110"/>
        <v/>
      </c>
      <c r="Y545">
        <v>418.77</v>
      </c>
      <c r="Z545">
        <f t="shared" si="111"/>
        <v>418.76949999999999</v>
      </c>
      <c r="AA545">
        <v>313.72000000000003</v>
      </c>
      <c r="AB545">
        <v>105.05</v>
      </c>
      <c r="AC545">
        <f t="shared" si="112"/>
        <v>-73.900500000000022</v>
      </c>
      <c r="AD545" s="6">
        <f t="shared" si="113"/>
        <v>-0.17647058823529418</v>
      </c>
      <c r="AE545" t="s">
        <v>32</v>
      </c>
      <c r="AF545" t="s">
        <v>33</v>
      </c>
      <c r="AG545">
        <f t="shared" si="114"/>
        <v>7</v>
      </c>
      <c r="AH545">
        <f t="shared" si="115"/>
        <v>2024</v>
      </c>
      <c r="AI545" t="str">
        <f t="shared" si="116"/>
        <v>CLEAN</v>
      </c>
    </row>
    <row r="546" spans="1:35">
      <c r="A546" t="s">
        <v>1727</v>
      </c>
      <c r="B546">
        <f t="shared" si="104"/>
        <v>1</v>
      </c>
      <c r="C546" t="str">
        <f>IF(COUNTIF($A$2:A546, A546)&gt;1, "DUPLICATE_FLAGGED_FOR_REVIEW", "")</f>
        <v/>
      </c>
      <c r="D546" s="3">
        <v>45686</v>
      </c>
      <c r="E546" s="2">
        <v>45779</v>
      </c>
      <c r="F546" s="2" t="str">
        <f t="shared" si="105"/>
        <v>OK</v>
      </c>
      <c r="G546" s="4">
        <f t="shared" si="106"/>
        <v>93</v>
      </c>
      <c r="H546" t="s">
        <v>1728</v>
      </c>
      <c r="I546" t="s">
        <v>62</v>
      </c>
      <c r="J546" t="s">
        <v>24</v>
      </c>
      <c r="K546" t="s">
        <v>54</v>
      </c>
      <c r="L546" t="str">
        <f t="shared" si="107"/>
        <v>South</v>
      </c>
      <c r="M546" t="s">
        <v>185</v>
      </c>
      <c r="N546" t="s">
        <v>186</v>
      </c>
      <c r="O546" t="s">
        <v>28</v>
      </c>
      <c r="P546" t="s">
        <v>48</v>
      </c>
      <c r="Q546" t="s">
        <v>1729</v>
      </c>
      <c r="R546" t="s">
        <v>44</v>
      </c>
      <c r="S546" t="str">
        <f t="shared" si="108"/>
        <v>Same Day</v>
      </c>
      <c r="T546">
        <v>8</v>
      </c>
      <c r="U546">
        <v>3643.62</v>
      </c>
      <c r="V546">
        <v>0.25</v>
      </c>
      <c r="W546">
        <f t="shared" si="109"/>
        <v>0.25</v>
      </c>
      <c r="X546" t="str">
        <f t="shared" si="110"/>
        <v/>
      </c>
      <c r="Y546">
        <v>21861.72</v>
      </c>
      <c r="Z546">
        <f t="shared" si="111"/>
        <v>21861.72</v>
      </c>
      <c r="AA546">
        <v>18464.34</v>
      </c>
      <c r="AB546">
        <v>3397.38</v>
      </c>
      <c r="AC546">
        <f t="shared" si="112"/>
        <v>18218.100000000002</v>
      </c>
      <c r="AD546" s="6">
        <f t="shared" si="113"/>
        <v>0.83333333333333337</v>
      </c>
      <c r="AE546" t="s">
        <v>32</v>
      </c>
      <c r="AF546" t="s">
        <v>68</v>
      </c>
      <c r="AG546">
        <f t="shared" si="114"/>
        <v>1</v>
      </c>
      <c r="AH546">
        <f t="shared" si="115"/>
        <v>2025</v>
      </c>
      <c r="AI546" t="str">
        <f t="shared" si="116"/>
        <v>CLEAN</v>
      </c>
    </row>
    <row r="547" spans="1:35">
      <c r="A547" t="s">
        <v>1730</v>
      </c>
      <c r="B547">
        <f t="shared" si="104"/>
        <v>1</v>
      </c>
      <c r="C547" t="str">
        <f>IF(COUNTIF($A$2:A547, A547)&gt;1, "DUPLICATE_FLAGGED_FOR_REVIEW", "")</f>
        <v/>
      </c>
      <c r="D547" s="3">
        <v>45439</v>
      </c>
      <c r="E547" s="2">
        <v>45442</v>
      </c>
      <c r="F547" s="2" t="str">
        <f t="shared" si="105"/>
        <v>OK</v>
      </c>
      <c r="G547" s="4">
        <f t="shared" si="106"/>
        <v>3</v>
      </c>
      <c r="H547" t="s">
        <v>1731</v>
      </c>
      <c r="I547" t="s">
        <v>264</v>
      </c>
      <c r="J547" t="s">
        <v>37</v>
      </c>
      <c r="K547" t="s">
        <v>38</v>
      </c>
      <c r="L547" t="str">
        <f t="shared" si="107"/>
        <v>East</v>
      </c>
      <c r="M547" t="s">
        <v>228</v>
      </c>
      <c r="N547" t="s">
        <v>229</v>
      </c>
      <c r="O547" t="s">
        <v>28</v>
      </c>
      <c r="P547" t="s">
        <v>124</v>
      </c>
      <c r="Q547" t="s">
        <v>1732</v>
      </c>
      <c r="R547" t="s">
        <v>44</v>
      </c>
      <c r="S547" t="str">
        <f t="shared" si="108"/>
        <v>Same Day</v>
      </c>
      <c r="T547">
        <v>7</v>
      </c>
      <c r="U547">
        <v>2900.86</v>
      </c>
      <c r="V547">
        <v>0.15</v>
      </c>
      <c r="W547">
        <f t="shared" si="109"/>
        <v>0.15</v>
      </c>
      <c r="X547" t="str">
        <f t="shared" si="110"/>
        <v/>
      </c>
      <c r="Y547">
        <v>17260.12</v>
      </c>
      <c r="Z547">
        <f t="shared" si="111"/>
        <v>17260.116999999998</v>
      </c>
      <c r="AA547">
        <v>13513.51</v>
      </c>
      <c r="AB547">
        <v>3746.61</v>
      </c>
      <c r="AC547">
        <f t="shared" si="112"/>
        <v>14359.256999999998</v>
      </c>
      <c r="AD547" s="6">
        <f t="shared" si="113"/>
        <v>0.83193277310924363</v>
      </c>
      <c r="AE547" t="s">
        <v>32</v>
      </c>
      <c r="AF547" t="s">
        <v>33</v>
      </c>
      <c r="AG547">
        <f t="shared" si="114"/>
        <v>5</v>
      </c>
      <c r="AH547">
        <f t="shared" si="115"/>
        <v>2024</v>
      </c>
      <c r="AI547" t="str">
        <f t="shared" si="116"/>
        <v>CLEAN</v>
      </c>
    </row>
    <row r="548" spans="1:35">
      <c r="A548" t="s">
        <v>1733</v>
      </c>
      <c r="B548">
        <f t="shared" si="104"/>
        <v>1</v>
      </c>
      <c r="C548" t="str">
        <f>IF(COUNTIF($A$2:A548, A548)&gt;1, "DUPLICATE_FLAGGED_FOR_REVIEW", "")</f>
        <v/>
      </c>
      <c r="D548" s="3">
        <v>45883</v>
      </c>
      <c r="E548" s="2">
        <v>45891</v>
      </c>
      <c r="F548" s="2" t="str">
        <f t="shared" si="105"/>
        <v>OK</v>
      </c>
      <c r="G548" s="4">
        <f t="shared" si="106"/>
        <v>8</v>
      </c>
      <c r="H548" t="s">
        <v>1734</v>
      </c>
      <c r="I548" t="s">
        <v>53</v>
      </c>
      <c r="J548" t="s">
        <v>90</v>
      </c>
      <c r="K548" t="s">
        <v>63</v>
      </c>
      <c r="L548" t="str">
        <f t="shared" si="107"/>
        <v>West</v>
      </c>
      <c r="M548" t="s">
        <v>180</v>
      </c>
      <c r="N548" t="s">
        <v>181</v>
      </c>
      <c r="O548" t="s">
        <v>28</v>
      </c>
      <c r="P548" t="s">
        <v>29</v>
      </c>
      <c r="Q548" t="s">
        <v>1735</v>
      </c>
      <c r="R548" t="s">
        <v>50</v>
      </c>
      <c r="S548" t="str">
        <f t="shared" si="108"/>
        <v>First Class</v>
      </c>
      <c r="T548">
        <v>5</v>
      </c>
      <c r="U548">
        <v>2567.37</v>
      </c>
      <c r="V548">
        <v>0.15</v>
      </c>
      <c r="W548">
        <f t="shared" si="109"/>
        <v>0.15</v>
      </c>
      <c r="X548" t="str">
        <f t="shared" si="110"/>
        <v/>
      </c>
      <c r="Y548">
        <v>10911.32</v>
      </c>
      <c r="Z548">
        <f t="shared" si="111"/>
        <v>10911.322499999998</v>
      </c>
      <c r="AA548">
        <v>6966.44</v>
      </c>
      <c r="AB548">
        <v>4395.17</v>
      </c>
      <c r="AC548">
        <f t="shared" si="112"/>
        <v>8343.9524999999994</v>
      </c>
      <c r="AD548" s="6">
        <f t="shared" si="113"/>
        <v>0.76470588235294124</v>
      </c>
      <c r="AE548" t="s">
        <v>32</v>
      </c>
      <c r="AF548" t="s">
        <v>33</v>
      </c>
      <c r="AG548">
        <f t="shared" si="114"/>
        <v>8</v>
      </c>
      <c r="AH548">
        <f t="shared" si="115"/>
        <v>2025</v>
      </c>
      <c r="AI548" t="str">
        <f t="shared" si="116"/>
        <v>CLEAN</v>
      </c>
    </row>
    <row r="549" spans="1:35">
      <c r="A549" t="s">
        <v>1736</v>
      </c>
      <c r="B549">
        <f t="shared" si="104"/>
        <v>1</v>
      </c>
      <c r="C549" t="str">
        <f>IF(COUNTIF($A$2:A549, A549)&gt;1, "DUPLICATE_FLAGGED_FOR_REVIEW", "")</f>
        <v/>
      </c>
      <c r="D549" s="3">
        <v>45428</v>
      </c>
      <c r="E549" s="2">
        <v>45435</v>
      </c>
      <c r="F549" s="2" t="str">
        <f t="shared" si="105"/>
        <v>OK</v>
      </c>
      <c r="G549" s="4">
        <f t="shared" si="106"/>
        <v>7</v>
      </c>
      <c r="H549" t="s">
        <v>1737</v>
      </c>
      <c r="I549" t="s">
        <v>79</v>
      </c>
      <c r="J549" t="s">
        <v>37</v>
      </c>
      <c r="K549" t="s">
        <v>25</v>
      </c>
      <c r="L549" t="str">
        <f t="shared" si="107"/>
        <v>North</v>
      </c>
      <c r="M549" t="s">
        <v>136</v>
      </c>
      <c r="N549" t="s">
        <v>137</v>
      </c>
      <c r="O549" t="s">
        <v>74</v>
      </c>
      <c r="P549" t="s">
        <v>80</v>
      </c>
      <c r="Q549" t="s">
        <v>1738</v>
      </c>
      <c r="R549" t="s">
        <v>59</v>
      </c>
      <c r="S549" t="str">
        <f t="shared" si="108"/>
        <v>Standard Class</v>
      </c>
      <c r="T549">
        <v>9</v>
      </c>
      <c r="U549">
        <v>3722.09</v>
      </c>
      <c r="V549">
        <v>0.1</v>
      </c>
      <c r="W549">
        <f t="shared" si="109"/>
        <v>0.1</v>
      </c>
      <c r="X549" t="str">
        <f t="shared" si="110"/>
        <v/>
      </c>
      <c r="Y549">
        <v>30148.93</v>
      </c>
      <c r="Z549">
        <f t="shared" si="111"/>
        <v>30148.929</v>
      </c>
      <c r="AA549">
        <v>25155.07</v>
      </c>
      <c r="AB549">
        <v>4993.8599999999997</v>
      </c>
      <c r="AC549">
        <f t="shared" si="112"/>
        <v>26426.839</v>
      </c>
      <c r="AD549" s="6">
        <f t="shared" si="113"/>
        <v>0.87654320987654322</v>
      </c>
      <c r="AE549" t="s">
        <v>32</v>
      </c>
      <c r="AF549" t="s">
        <v>33</v>
      </c>
      <c r="AG549">
        <f t="shared" si="114"/>
        <v>5</v>
      </c>
      <c r="AH549">
        <f t="shared" si="115"/>
        <v>2024</v>
      </c>
      <c r="AI549" t="str">
        <f t="shared" si="116"/>
        <v>CLEAN</v>
      </c>
    </row>
    <row r="550" spans="1:35">
      <c r="A550" t="s">
        <v>1739</v>
      </c>
      <c r="B550">
        <f t="shared" si="104"/>
        <v>1</v>
      </c>
      <c r="C550" t="str">
        <f>IF(COUNTIF($A$2:A550, A550)&gt;1, "DUPLICATE_FLAGGED_FOR_REVIEW", "")</f>
        <v/>
      </c>
      <c r="D550" s="3">
        <v>45441</v>
      </c>
      <c r="E550" s="2">
        <v>45441</v>
      </c>
      <c r="F550" s="2" t="str">
        <f t="shared" si="105"/>
        <v>OK</v>
      </c>
      <c r="G550" s="4">
        <f t="shared" si="106"/>
        <v>0</v>
      </c>
      <c r="H550" t="s">
        <v>1740</v>
      </c>
      <c r="I550" t="s">
        <v>141</v>
      </c>
      <c r="J550" t="s">
        <v>90</v>
      </c>
      <c r="K550" t="s">
        <v>38</v>
      </c>
      <c r="L550" t="str">
        <f t="shared" si="107"/>
        <v>East</v>
      </c>
      <c r="M550" t="s">
        <v>145</v>
      </c>
      <c r="N550" t="s">
        <v>146</v>
      </c>
      <c r="O550" t="s">
        <v>41</v>
      </c>
      <c r="P550" t="s">
        <v>158</v>
      </c>
      <c r="Q550" t="s">
        <v>1741</v>
      </c>
      <c r="R550" t="s">
        <v>44</v>
      </c>
      <c r="S550" t="str">
        <f t="shared" si="108"/>
        <v>Same Day</v>
      </c>
      <c r="T550">
        <v>1</v>
      </c>
      <c r="U550">
        <v>1072.01</v>
      </c>
      <c r="V550">
        <v>0</v>
      </c>
      <c r="W550">
        <f t="shared" si="109"/>
        <v>0</v>
      </c>
      <c r="X550" t="str">
        <f t="shared" si="110"/>
        <v/>
      </c>
      <c r="Y550">
        <v>1072.01</v>
      </c>
      <c r="Z550">
        <f t="shared" si="111"/>
        <v>1072.01</v>
      </c>
      <c r="AA550">
        <v>852.62</v>
      </c>
      <c r="AB550">
        <v>219.39</v>
      </c>
      <c r="AC550">
        <f t="shared" si="112"/>
        <v>0</v>
      </c>
      <c r="AD550" s="6">
        <f t="shared" si="113"/>
        <v>0</v>
      </c>
      <c r="AE550" t="s">
        <v>111</v>
      </c>
      <c r="AF550" t="s">
        <v>68</v>
      </c>
      <c r="AG550">
        <f t="shared" si="114"/>
        <v>5</v>
      </c>
      <c r="AH550">
        <f t="shared" si="115"/>
        <v>2024</v>
      </c>
      <c r="AI550" t="str">
        <f t="shared" si="116"/>
        <v>CLEAN</v>
      </c>
    </row>
    <row r="551" spans="1:35">
      <c r="A551" t="s">
        <v>1742</v>
      </c>
      <c r="B551">
        <f t="shared" si="104"/>
        <v>1</v>
      </c>
      <c r="C551" t="str">
        <f>IF(COUNTIF($A$2:A551, A551)&gt;1, "DUPLICATE_FLAGGED_FOR_REVIEW", "")</f>
        <v/>
      </c>
      <c r="D551" s="3">
        <v>45971</v>
      </c>
      <c r="E551" s="2">
        <v>45943</v>
      </c>
      <c r="F551" s="2" t="str">
        <f t="shared" si="105"/>
        <v>ERROR: Ship before order</v>
      </c>
      <c r="G551" s="4">
        <f t="shared" si="106"/>
        <v>-28</v>
      </c>
      <c r="H551" t="s">
        <v>1743</v>
      </c>
      <c r="I551" t="s">
        <v>36</v>
      </c>
      <c r="J551" t="s">
        <v>90</v>
      </c>
      <c r="K551" t="s">
        <v>54</v>
      </c>
      <c r="L551" t="str">
        <f t="shared" si="107"/>
        <v>South</v>
      </c>
      <c r="M551" t="s">
        <v>55</v>
      </c>
      <c r="N551" t="s">
        <v>56</v>
      </c>
      <c r="O551" t="s">
        <v>28</v>
      </c>
      <c r="P551" t="s">
        <v>48</v>
      </c>
      <c r="Q551" t="s">
        <v>1744</v>
      </c>
      <c r="R551" t="s">
        <v>31</v>
      </c>
      <c r="S551" t="str">
        <f t="shared" si="108"/>
        <v>Second Class</v>
      </c>
      <c r="T551">
        <v>3</v>
      </c>
      <c r="U551">
        <v>3804.27</v>
      </c>
      <c r="V551">
        <v>0.1</v>
      </c>
      <c r="W551">
        <f t="shared" si="109"/>
        <v>0.1</v>
      </c>
      <c r="X551" t="str">
        <f t="shared" si="110"/>
        <v/>
      </c>
      <c r="Y551">
        <v>10271.530000000001</v>
      </c>
      <c r="Z551">
        <f t="shared" si="111"/>
        <v>10271.529</v>
      </c>
      <c r="AA551">
        <v>8272.24</v>
      </c>
      <c r="AB551">
        <v>1999.29</v>
      </c>
      <c r="AC551">
        <f t="shared" si="112"/>
        <v>6467.259</v>
      </c>
      <c r="AD551" s="6">
        <f t="shared" si="113"/>
        <v>0.62962962962962965</v>
      </c>
      <c r="AE551" t="s">
        <v>32</v>
      </c>
      <c r="AF551" t="s">
        <v>33</v>
      </c>
      <c r="AG551">
        <f t="shared" si="114"/>
        <v>11</v>
      </c>
      <c r="AH551">
        <f t="shared" si="115"/>
        <v>2025</v>
      </c>
      <c r="AI551" t="str">
        <f t="shared" si="116"/>
        <v>INVALID</v>
      </c>
    </row>
    <row r="552" spans="1:35">
      <c r="A552" t="s">
        <v>1745</v>
      </c>
      <c r="B552">
        <f t="shared" si="104"/>
        <v>1</v>
      </c>
      <c r="C552" t="str">
        <f>IF(COUNTIF($A$2:A552, A552)&gt;1, "DUPLICATE_FLAGGED_FOR_REVIEW", "")</f>
        <v/>
      </c>
      <c r="D552" s="3">
        <v>45506</v>
      </c>
      <c r="E552" s="2">
        <v>45573</v>
      </c>
      <c r="F552" s="2" t="str">
        <f t="shared" si="105"/>
        <v>OK</v>
      </c>
      <c r="G552" s="4">
        <f t="shared" si="106"/>
        <v>67</v>
      </c>
      <c r="H552" t="s">
        <v>1746</v>
      </c>
      <c r="I552" t="s">
        <v>36</v>
      </c>
      <c r="J552" t="s">
        <v>95</v>
      </c>
      <c r="K552" t="s">
        <v>38</v>
      </c>
      <c r="L552" t="str">
        <f t="shared" si="107"/>
        <v>East</v>
      </c>
      <c r="M552" t="s">
        <v>39</v>
      </c>
      <c r="N552" t="s">
        <v>40</v>
      </c>
      <c r="O552" t="s">
        <v>74</v>
      </c>
      <c r="P552" t="s">
        <v>75</v>
      </c>
      <c r="Q552" t="s">
        <v>1747</v>
      </c>
      <c r="R552" t="s">
        <v>59</v>
      </c>
      <c r="S552" t="str">
        <f t="shared" si="108"/>
        <v>Standard Class</v>
      </c>
      <c r="T552">
        <v>6</v>
      </c>
      <c r="U552">
        <v>2126.44</v>
      </c>
      <c r="V552">
        <v>0.2</v>
      </c>
      <c r="W552">
        <f t="shared" si="109"/>
        <v>0.2</v>
      </c>
      <c r="X552" t="str">
        <f t="shared" si="110"/>
        <v/>
      </c>
      <c r="Y552">
        <v>10206.91</v>
      </c>
      <c r="Z552">
        <f t="shared" si="111"/>
        <v>10206.912</v>
      </c>
      <c r="AA552">
        <v>6764.53</v>
      </c>
      <c r="AB552">
        <v>3442.38</v>
      </c>
      <c r="AC552">
        <f t="shared" si="112"/>
        <v>8080.4719999999998</v>
      </c>
      <c r="AD552" s="6">
        <f t="shared" si="113"/>
        <v>0.79166666666666663</v>
      </c>
      <c r="AE552" t="s">
        <v>32</v>
      </c>
      <c r="AF552" t="s">
        <v>33</v>
      </c>
      <c r="AG552">
        <f t="shared" si="114"/>
        <v>8</v>
      </c>
      <c r="AH552">
        <f t="shared" si="115"/>
        <v>2024</v>
      </c>
      <c r="AI552" t="str">
        <f t="shared" si="116"/>
        <v>CLEAN</v>
      </c>
    </row>
    <row r="553" spans="1:35">
      <c r="A553" t="s">
        <v>1748</v>
      </c>
      <c r="B553">
        <f t="shared" si="104"/>
        <v>1</v>
      </c>
      <c r="C553" t="str">
        <f>IF(COUNTIF($A$2:A553, A553)&gt;1, "DUPLICATE_FLAGGED_FOR_REVIEW", "")</f>
        <v/>
      </c>
      <c r="D553" s="3">
        <v>45349</v>
      </c>
      <c r="E553" s="2">
        <v>45349</v>
      </c>
      <c r="F553" s="2" t="str">
        <f t="shared" si="105"/>
        <v>OK</v>
      </c>
      <c r="G553" s="4">
        <f t="shared" si="106"/>
        <v>0</v>
      </c>
      <c r="H553" t="s">
        <v>1749</v>
      </c>
      <c r="I553" t="s">
        <v>132</v>
      </c>
      <c r="J553" t="s">
        <v>24</v>
      </c>
      <c r="K553" t="s">
        <v>38</v>
      </c>
      <c r="L553" t="str">
        <f t="shared" si="107"/>
        <v>East</v>
      </c>
      <c r="M553" t="s">
        <v>228</v>
      </c>
      <c r="N553" t="s">
        <v>229</v>
      </c>
      <c r="O553" t="s">
        <v>41</v>
      </c>
      <c r="P553" t="s">
        <v>66</v>
      </c>
      <c r="Q553" t="s">
        <v>1750</v>
      </c>
      <c r="R553" t="s">
        <v>31</v>
      </c>
      <c r="S553" t="str">
        <f t="shared" si="108"/>
        <v>Second Class</v>
      </c>
      <c r="T553">
        <v>3</v>
      </c>
      <c r="U553">
        <v>3148.09</v>
      </c>
      <c r="V553">
        <v>0.15</v>
      </c>
      <c r="W553">
        <f t="shared" si="109"/>
        <v>0.15</v>
      </c>
      <c r="X553" t="str">
        <f t="shared" si="110"/>
        <v/>
      </c>
      <c r="Y553">
        <v>8027.63</v>
      </c>
      <c r="Z553">
        <f t="shared" si="111"/>
        <v>8027.6295</v>
      </c>
      <c r="AA553">
        <v>5496.09</v>
      </c>
      <c r="AB553">
        <v>2531.54</v>
      </c>
      <c r="AC553">
        <f t="shared" si="112"/>
        <v>4879.5394999999999</v>
      </c>
      <c r="AD553" s="6">
        <f t="shared" si="113"/>
        <v>0.60784313725490191</v>
      </c>
      <c r="AE553" t="s">
        <v>32</v>
      </c>
      <c r="AF553" t="s">
        <v>33</v>
      </c>
      <c r="AG553">
        <f t="shared" si="114"/>
        <v>2</v>
      </c>
      <c r="AH553">
        <f t="shared" si="115"/>
        <v>2024</v>
      </c>
      <c r="AI553" t="str">
        <f t="shared" si="116"/>
        <v>CLEAN</v>
      </c>
    </row>
    <row r="554" spans="1:35">
      <c r="A554" t="s">
        <v>1751</v>
      </c>
      <c r="B554">
        <f t="shared" si="104"/>
        <v>1</v>
      </c>
      <c r="C554" t="str">
        <f>IF(COUNTIF($A$2:A554, A554)&gt;1, "DUPLICATE_FLAGGED_FOR_REVIEW", "")</f>
        <v/>
      </c>
      <c r="D554" s="3">
        <v>45681</v>
      </c>
      <c r="E554" s="2">
        <v>45687</v>
      </c>
      <c r="F554" s="2" t="str">
        <f t="shared" si="105"/>
        <v>OK</v>
      </c>
      <c r="G554" s="4">
        <f t="shared" si="106"/>
        <v>6</v>
      </c>
      <c r="H554" t="s">
        <v>1752</v>
      </c>
      <c r="I554" t="s">
        <v>62</v>
      </c>
      <c r="J554" t="s">
        <v>90</v>
      </c>
      <c r="K554" t="s">
        <v>38</v>
      </c>
      <c r="L554" t="str">
        <f t="shared" si="107"/>
        <v>East</v>
      </c>
      <c r="M554" t="s">
        <v>99</v>
      </c>
      <c r="N554" t="s">
        <v>100</v>
      </c>
      <c r="O554" t="s">
        <v>74</v>
      </c>
      <c r="P554" t="s">
        <v>80</v>
      </c>
      <c r="Q554" t="s">
        <v>1753</v>
      </c>
      <c r="R554" t="s">
        <v>59</v>
      </c>
      <c r="S554" t="str">
        <f t="shared" si="108"/>
        <v>Standard Class</v>
      </c>
      <c r="T554">
        <v>8</v>
      </c>
      <c r="U554">
        <v>312.52999999999997</v>
      </c>
      <c r="V554">
        <v>0.7</v>
      </c>
      <c r="W554">
        <f t="shared" si="109"/>
        <v>0.7</v>
      </c>
      <c r="X554" t="str">
        <f t="shared" si="110"/>
        <v>INVALID_DISCOUNT_ABOVE_50PCT</v>
      </c>
      <c r="Y554">
        <v>1875.18</v>
      </c>
      <c r="Z554">
        <f t="shared" si="111"/>
        <v>750.072</v>
      </c>
      <c r="AA554">
        <v>1579.17</v>
      </c>
      <c r="AB554">
        <v>296.01</v>
      </c>
      <c r="AC554">
        <f t="shared" si="112"/>
        <v>437.54200000000003</v>
      </c>
      <c r="AD554" s="6">
        <f t="shared" si="113"/>
        <v>0.58333333333333337</v>
      </c>
      <c r="AE554" t="s">
        <v>32</v>
      </c>
      <c r="AF554" t="s">
        <v>33</v>
      </c>
      <c r="AG554">
        <f t="shared" si="114"/>
        <v>1</v>
      </c>
      <c r="AH554">
        <f t="shared" si="115"/>
        <v>2025</v>
      </c>
      <c r="AI554" t="str">
        <f t="shared" si="116"/>
        <v>INVALID</v>
      </c>
    </row>
    <row r="555" spans="1:35">
      <c r="A555" t="s">
        <v>1754</v>
      </c>
      <c r="B555">
        <f t="shared" si="104"/>
        <v>1</v>
      </c>
      <c r="C555" t="str">
        <f>IF(COUNTIF($A$2:A555, A555)&gt;1, "DUPLICATE_FLAGGED_FOR_REVIEW", "")</f>
        <v/>
      </c>
      <c r="D555" s="3">
        <v>45772</v>
      </c>
      <c r="E555" s="2">
        <v>45775</v>
      </c>
      <c r="F555" s="2" t="str">
        <f t="shared" si="105"/>
        <v>OK</v>
      </c>
      <c r="G555" s="4">
        <f t="shared" si="106"/>
        <v>3</v>
      </c>
      <c r="H555" t="s">
        <v>1755</v>
      </c>
      <c r="I555" t="s">
        <v>128</v>
      </c>
      <c r="J555" t="s">
        <v>37</v>
      </c>
      <c r="K555" t="s">
        <v>63</v>
      </c>
      <c r="L555" t="str">
        <f t="shared" si="107"/>
        <v>West</v>
      </c>
      <c r="M555" t="s">
        <v>180</v>
      </c>
      <c r="N555" t="s">
        <v>181</v>
      </c>
      <c r="O555" t="s">
        <v>28</v>
      </c>
      <c r="P555" t="s">
        <v>124</v>
      </c>
      <c r="Q555" t="s">
        <v>1756</v>
      </c>
      <c r="R555" t="s">
        <v>50</v>
      </c>
      <c r="S555" t="str">
        <f t="shared" si="108"/>
        <v>First Class</v>
      </c>
      <c r="T555">
        <v>9</v>
      </c>
      <c r="U555">
        <v>1294.1099999999999</v>
      </c>
      <c r="V555">
        <v>0.25</v>
      </c>
      <c r="W555">
        <f t="shared" si="109"/>
        <v>0.25</v>
      </c>
      <c r="X555" t="str">
        <f t="shared" si="110"/>
        <v/>
      </c>
      <c r="Y555">
        <v>8735.24</v>
      </c>
      <c r="Z555">
        <f t="shared" si="111"/>
        <v>8735.2425000000003</v>
      </c>
      <c r="AA555">
        <v>6620.07</v>
      </c>
      <c r="AB555">
        <v>2115.17</v>
      </c>
      <c r="AC555">
        <f t="shared" si="112"/>
        <v>7441.1325000000006</v>
      </c>
      <c r="AD555" s="6">
        <f t="shared" si="113"/>
        <v>0.85185185185185186</v>
      </c>
      <c r="AE555" t="s">
        <v>32</v>
      </c>
      <c r="AF555" t="s">
        <v>33</v>
      </c>
      <c r="AG555">
        <f t="shared" si="114"/>
        <v>4</v>
      </c>
      <c r="AH555">
        <f t="shared" si="115"/>
        <v>2025</v>
      </c>
      <c r="AI555" t="str">
        <f t="shared" si="116"/>
        <v>CLEAN</v>
      </c>
    </row>
    <row r="556" spans="1:35">
      <c r="A556" t="s">
        <v>1757</v>
      </c>
      <c r="B556">
        <f t="shared" si="104"/>
        <v>1</v>
      </c>
      <c r="C556" t="str">
        <f>IF(COUNTIF($A$2:A556, A556)&gt;1, "DUPLICATE_FLAGGED_FOR_REVIEW", "")</f>
        <v/>
      </c>
      <c r="D556" s="3">
        <v>45577</v>
      </c>
      <c r="E556" s="2">
        <v>45582</v>
      </c>
      <c r="F556" s="2" t="str">
        <f t="shared" si="105"/>
        <v>OK</v>
      </c>
      <c r="G556" s="4">
        <f t="shared" si="106"/>
        <v>5</v>
      </c>
      <c r="H556" t="s">
        <v>1758</v>
      </c>
      <c r="I556" t="s">
        <v>53</v>
      </c>
      <c r="J556" t="s">
        <v>24</v>
      </c>
      <c r="K556" t="s">
        <v>2760</v>
      </c>
      <c r="L556" t="str">
        <f t="shared" si="107"/>
        <v>Unknown</v>
      </c>
      <c r="M556" t="s">
        <v>228</v>
      </c>
      <c r="N556" t="s">
        <v>229</v>
      </c>
      <c r="O556" t="s">
        <v>41</v>
      </c>
      <c r="P556" t="s">
        <v>57</v>
      </c>
      <c r="Q556" t="s">
        <v>1759</v>
      </c>
      <c r="R556" t="s">
        <v>59</v>
      </c>
      <c r="S556" t="str">
        <f t="shared" si="108"/>
        <v>Standard Class</v>
      </c>
      <c r="T556">
        <v>4</v>
      </c>
      <c r="U556">
        <v>1071.22</v>
      </c>
      <c r="V556">
        <v>0.05</v>
      </c>
      <c r="W556">
        <f t="shared" si="109"/>
        <v>0.05</v>
      </c>
      <c r="X556" t="str">
        <f t="shared" si="110"/>
        <v/>
      </c>
      <c r="Y556">
        <v>4070.64</v>
      </c>
      <c r="Z556">
        <f t="shared" si="111"/>
        <v>4070.636</v>
      </c>
      <c r="AA556">
        <v>2831.62</v>
      </c>
      <c r="AB556">
        <v>1239.02</v>
      </c>
      <c r="AC556">
        <f t="shared" si="112"/>
        <v>2999.4160000000002</v>
      </c>
      <c r="AD556" s="6">
        <f t="shared" si="113"/>
        <v>0.73684210526315796</v>
      </c>
      <c r="AE556" t="s">
        <v>32</v>
      </c>
      <c r="AF556" t="s">
        <v>33</v>
      </c>
      <c r="AG556">
        <f t="shared" si="114"/>
        <v>10</v>
      </c>
      <c r="AH556">
        <f t="shared" si="115"/>
        <v>2024</v>
      </c>
      <c r="AI556" t="str">
        <f t="shared" si="116"/>
        <v>WARNING</v>
      </c>
    </row>
    <row r="557" spans="1:35">
      <c r="A557" t="s">
        <v>1760</v>
      </c>
      <c r="B557">
        <f t="shared" si="104"/>
        <v>1</v>
      </c>
      <c r="C557" t="str">
        <f>IF(COUNTIF($A$2:A557, A557)&gt;1, "DUPLICATE_FLAGGED_FOR_REVIEW", "")</f>
        <v/>
      </c>
      <c r="D557" s="3">
        <v>45692</v>
      </c>
      <c r="E557" s="2">
        <v>45698</v>
      </c>
      <c r="F557" s="2" t="str">
        <f t="shared" si="105"/>
        <v>OK</v>
      </c>
      <c r="G557" s="4">
        <f t="shared" si="106"/>
        <v>6</v>
      </c>
      <c r="H557" t="s">
        <v>1761</v>
      </c>
      <c r="I557" t="s">
        <v>62</v>
      </c>
      <c r="J557" t="s">
        <v>37</v>
      </c>
      <c r="K557" t="s">
        <v>54</v>
      </c>
      <c r="L557" t="str">
        <f t="shared" si="107"/>
        <v>South</v>
      </c>
      <c r="M557" t="s">
        <v>55</v>
      </c>
      <c r="N557" t="s">
        <v>56</v>
      </c>
      <c r="O557" t="s">
        <v>28</v>
      </c>
      <c r="P557" t="s">
        <v>124</v>
      </c>
      <c r="Q557" t="s">
        <v>1762</v>
      </c>
      <c r="R557" t="s">
        <v>59</v>
      </c>
      <c r="S557" t="str">
        <f t="shared" si="108"/>
        <v>Standard Class</v>
      </c>
      <c r="T557">
        <v>6</v>
      </c>
      <c r="U557">
        <v>1042.8</v>
      </c>
      <c r="V557">
        <v>0.05</v>
      </c>
      <c r="W557">
        <f t="shared" si="109"/>
        <v>0.05</v>
      </c>
      <c r="X557" t="str">
        <f t="shared" si="110"/>
        <v/>
      </c>
      <c r="Y557">
        <v>5943.96</v>
      </c>
      <c r="Z557">
        <f t="shared" si="111"/>
        <v>5943.9599999999991</v>
      </c>
      <c r="AA557">
        <v>3604.14</v>
      </c>
      <c r="AB557">
        <v>2339.8200000000002</v>
      </c>
      <c r="AC557">
        <f t="shared" si="112"/>
        <v>4901.1599999999989</v>
      </c>
      <c r="AD557" s="6">
        <f t="shared" si="113"/>
        <v>0.82456140350877183</v>
      </c>
      <c r="AE557" t="s">
        <v>32</v>
      </c>
      <c r="AF557" t="s">
        <v>33</v>
      </c>
      <c r="AG557">
        <f t="shared" si="114"/>
        <v>2</v>
      </c>
      <c r="AH557">
        <f t="shared" si="115"/>
        <v>2025</v>
      </c>
      <c r="AI557" t="str">
        <f t="shared" si="116"/>
        <v>CLEAN</v>
      </c>
    </row>
    <row r="558" spans="1:35">
      <c r="A558" t="s">
        <v>1763</v>
      </c>
      <c r="B558">
        <f t="shared" si="104"/>
        <v>1</v>
      </c>
      <c r="C558" t="str">
        <f>IF(COUNTIF($A$2:A558, A558)&gt;1, "DUPLICATE_FLAGGED_FOR_REVIEW", "")</f>
        <v/>
      </c>
      <c r="D558" s="3">
        <v>45466</v>
      </c>
      <c r="E558" s="2">
        <v>45472</v>
      </c>
      <c r="F558" s="2" t="str">
        <f t="shared" si="105"/>
        <v>OK</v>
      </c>
      <c r="G558" s="4">
        <f t="shared" si="106"/>
        <v>6</v>
      </c>
      <c r="H558" t="s">
        <v>1764</v>
      </c>
      <c r="I558" t="s">
        <v>79</v>
      </c>
      <c r="J558" t="s">
        <v>24</v>
      </c>
      <c r="K558" t="s">
        <v>25</v>
      </c>
      <c r="L558" t="str">
        <f t="shared" si="107"/>
        <v>North</v>
      </c>
      <c r="M558" t="s">
        <v>236</v>
      </c>
      <c r="N558" t="s">
        <v>237</v>
      </c>
      <c r="O558" t="s">
        <v>41</v>
      </c>
      <c r="P558" t="s">
        <v>42</v>
      </c>
      <c r="Q558" t="s">
        <v>1765</v>
      </c>
      <c r="R558" t="s">
        <v>50</v>
      </c>
      <c r="S558" t="str">
        <f t="shared" si="108"/>
        <v>First Class</v>
      </c>
      <c r="T558">
        <v>1</v>
      </c>
      <c r="U558">
        <v>4426.66</v>
      </c>
      <c r="V558">
        <v>0</v>
      </c>
      <c r="W558">
        <f t="shared" si="109"/>
        <v>0</v>
      </c>
      <c r="X558" t="str">
        <f t="shared" si="110"/>
        <v/>
      </c>
      <c r="Y558">
        <v>4426.66</v>
      </c>
      <c r="Z558">
        <f t="shared" si="111"/>
        <v>4426.66</v>
      </c>
      <c r="AA558">
        <v>3035.2</v>
      </c>
      <c r="AB558">
        <v>1816.23</v>
      </c>
      <c r="AC558">
        <f t="shared" si="112"/>
        <v>0</v>
      </c>
      <c r="AD558" s="6">
        <f t="shared" si="113"/>
        <v>0</v>
      </c>
      <c r="AE558" t="s">
        <v>32</v>
      </c>
      <c r="AF558" t="s">
        <v>103</v>
      </c>
      <c r="AG558">
        <f t="shared" si="114"/>
        <v>6</v>
      </c>
      <c r="AH558">
        <f t="shared" si="115"/>
        <v>2024</v>
      </c>
      <c r="AI558" t="str">
        <f t="shared" si="116"/>
        <v>CLEAN</v>
      </c>
    </row>
    <row r="559" spans="1:35">
      <c r="A559" t="s">
        <v>1766</v>
      </c>
      <c r="B559">
        <f t="shared" si="104"/>
        <v>1</v>
      </c>
      <c r="C559" t="str">
        <f>IF(COUNTIF($A$2:A559, A559)&gt;1, "DUPLICATE_FLAGGED_FOR_REVIEW", "")</f>
        <v/>
      </c>
      <c r="D559" s="3">
        <v>45420</v>
      </c>
      <c r="E559" s="2">
        <v>45426</v>
      </c>
      <c r="F559" s="2" t="str">
        <f t="shared" si="105"/>
        <v>OK</v>
      </c>
      <c r="G559" s="4">
        <f t="shared" si="106"/>
        <v>6</v>
      </c>
      <c r="H559" t="s">
        <v>1767</v>
      </c>
      <c r="I559" t="s">
        <v>71</v>
      </c>
      <c r="J559" t="s">
        <v>95</v>
      </c>
      <c r="K559" t="s">
        <v>25</v>
      </c>
      <c r="L559" t="str">
        <f t="shared" si="107"/>
        <v>North</v>
      </c>
      <c r="M559" t="s">
        <v>236</v>
      </c>
      <c r="N559" t="s">
        <v>237</v>
      </c>
      <c r="O559" t="s">
        <v>74</v>
      </c>
      <c r="P559" t="s">
        <v>171</v>
      </c>
      <c r="Q559" t="s">
        <v>1768</v>
      </c>
      <c r="R559" t="s">
        <v>50</v>
      </c>
      <c r="S559" t="str">
        <f t="shared" si="108"/>
        <v>First Class</v>
      </c>
      <c r="T559">
        <v>9</v>
      </c>
      <c r="U559">
        <v>3769.46</v>
      </c>
      <c r="V559">
        <v>0.05</v>
      </c>
      <c r="W559">
        <f t="shared" si="109"/>
        <v>0.05</v>
      </c>
      <c r="X559" t="str">
        <f t="shared" si="110"/>
        <v/>
      </c>
      <c r="Y559">
        <v>32228.880000000001</v>
      </c>
      <c r="Z559">
        <f t="shared" si="111"/>
        <v>32228.882999999998</v>
      </c>
      <c r="AA559">
        <v>24971.360000000001</v>
      </c>
      <c r="AB559">
        <v>7257.52</v>
      </c>
      <c r="AC559">
        <f t="shared" si="112"/>
        <v>28459.422999999999</v>
      </c>
      <c r="AD559" s="6">
        <f t="shared" si="113"/>
        <v>0.88304093567251463</v>
      </c>
      <c r="AE559" t="s">
        <v>32</v>
      </c>
      <c r="AF559" t="s">
        <v>68</v>
      </c>
      <c r="AG559">
        <f t="shared" si="114"/>
        <v>5</v>
      </c>
      <c r="AH559">
        <f t="shared" si="115"/>
        <v>2024</v>
      </c>
      <c r="AI559" t="str">
        <f t="shared" si="116"/>
        <v>CLEAN</v>
      </c>
    </row>
    <row r="560" spans="1:35">
      <c r="A560" t="s">
        <v>1769</v>
      </c>
      <c r="B560">
        <f t="shared" si="104"/>
        <v>1</v>
      </c>
      <c r="C560" t="str">
        <f>IF(COUNTIF($A$2:A560, A560)&gt;1, "DUPLICATE_FLAGGED_FOR_REVIEW", "")</f>
        <v/>
      </c>
      <c r="D560" s="3">
        <v>45904</v>
      </c>
      <c r="E560" s="2">
        <v>45756</v>
      </c>
      <c r="F560" s="2" t="str">
        <f t="shared" si="105"/>
        <v>ERROR: Ship before order</v>
      </c>
      <c r="G560" s="4">
        <f t="shared" si="106"/>
        <v>-148</v>
      </c>
      <c r="H560" t="s">
        <v>1770</v>
      </c>
      <c r="I560" t="s">
        <v>89</v>
      </c>
      <c r="J560" t="s">
        <v>90</v>
      </c>
      <c r="K560" t="s">
        <v>25</v>
      </c>
      <c r="L560" t="str">
        <f t="shared" si="107"/>
        <v>North</v>
      </c>
      <c r="M560" t="s">
        <v>122</v>
      </c>
      <c r="N560" t="s">
        <v>123</v>
      </c>
      <c r="O560" t="s">
        <v>74</v>
      </c>
      <c r="P560" t="s">
        <v>274</v>
      </c>
      <c r="Q560" t="s">
        <v>1771</v>
      </c>
      <c r="R560" t="s">
        <v>50</v>
      </c>
      <c r="S560" t="str">
        <f t="shared" si="108"/>
        <v>First Class</v>
      </c>
      <c r="T560">
        <v>8</v>
      </c>
      <c r="U560">
        <v>3079.95</v>
      </c>
      <c r="V560">
        <v>0.2</v>
      </c>
      <c r="W560">
        <f t="shared" si="109"/>
        <v>0.2</v>
      </c>
      <c r="X560" t="str">
        <f t="shared" si="110"/>
        <v/>
      </c>
      <c r="Y560">
        <v>19711.68</v>
      </c>
      <c r="Z560">
        <f t="shared" si="111"/>
        <v>19711.68</v>
      </c>
      <c r="AA560">
        <v>14461.8</v>
      </c>
      <c r="AB560">
        <v>5249.88</v>
      </c>
      <c r="AC560">
        <f t="shared" si="112"/>
        <v>16631.73</v>
      </c>
      <c r="AD560" s="6">
        <f t="shared" si="113"/>
        <v>0.84375</v>
      </c>
      <c r="AE560" t="s">
        <v>32</v>
      </c>
      <c r="AF560" t="s">
        <v>33</v>
      </c>
      <c r="AG560">
        <f t="shared" si="114"/>
        <v>9</v>
      </c>
      <c r="AH560">
        <f t="shared" si="115"/>
        <v>2025</v>
      </c>
      <c r="AI560" t="str">
        <f t="shared" si="116"/>
        <v>INVALID</v>
      </c>
    </row>
    <row r="561" spans="1:35">
      <c r="A561" t="s">
        <v>1772</v>
      </c>
      <c r="B561">
        <f t="shared" si="104"/>
        <v>1</v>
      </c>
      <c r="C561" t="str">
        <f>IF(COUNTIF($A$2:A561, A561)&gt;1, "DUPLICATE_FLAGGED_FOR_REVIEW", "")</f>
        <v/>
      </c>
      <c r="D561" s="3">
        <v>45930</v>
      </c>
      <c r="E561" s="2">
        <v>45937</v>
      </c>
      <c r="F561" s="2" t="str">
        <f t="shared" si="105"/>
        <v>OK</v>
      </c>
      <c r="G561" s="4">
        <f t="shared" si="106"/>
        <v>7</v>
      </c>
      <c r="H561" t="s">
        <v>1773</v>
      </c>
      <c r="I561" t="s">
        <v>162</v>
      </c>
      <c r="J561" t="s">
        <v>90</v>
      </c>
      <c r="K561" t="s">
        <v>38</v>
      </c>
      <c r="L561" t="str">
        <f t="shared" si="107"/>
        <v>East</v>
      </c>
      <c r="M561" t="s">
        <v>145</v>
      </c>
      <c r="N561" t="s">
        <v>146</v>
      </c>
      <c r="O561" t="s">
        <v>74</v>
      </c>
      <c r="P561" t="s">
        <v>80</v>
      </c>
      <c r="Q561" t="s">
        <v>1774</v>
      </c>
      <c r="R561" t="s">
        <v>31</v>
      </c>
      <c r="S561" t="str">
        <f t="shared" si="108"/>
        <v>Second Class</v>
      </c>
      <c r="T561">
        <v>5</v>
      </c>
      <c r="U561">
        <v>3277.82</v>
      </c>
      <c r="V561">
        <v>0.1</v>
      </c>
      <c r="W561">
        <f t="shared" si="109"/>
        <v>0.1</v>
      </c>
      <c r="X561" t="str">
        <f t="shared" si="110"/>
        <v/>
      </c>
      <c r="Y561">
        <v>14750.19</v>
      </c>
      <c r="Z561">
        <f t="shared" si="111"/>
        <v>14750.190000000002</v>
      </c>
      <c r="AA561">
        <v>9482.58</v>
      </c>
      <c r="AB561">
        <v>5267.61</v>
      </c>
      <c r="AC561">
        <f t="shared" si="112"/>
        <v>11472.370000000003</v>
      </c>
      <c r="AD561" s="6">
        <f t="shared" si="113"/>
        <v>0.77777777777777779</v>
      </c>
      <c r="AE561" t="s">
        <v>32</v>
      </c>
      <c r="AF561" t="s">
        <v>103</v>
      </c>
      <c r="AG561">
        <f t="shared" si="114"/>
        <v>9</v>
      </c>
      <c r="AH561">
        <f t="shared" si="115"/>
        <v>2025</v>
      </c>
      <c r="AI561" t="str">
        <f t="shared" si="116"/>
        <v>CLEAN</v>
      </c>
    </row>
    <row r="562" spans="1:35">
      <c r="A562" t="s">
        <v>1775</v>
      </c>
      <c r="B562">
        <f t="shared" si="104"/>
        <v>1</v>
      </c>
      <c r="C562" t="str">
        <f>IF(COUNTIF($A$2:A562, A562)&gt;1, "DUPLICATE_FLAGGED_FOR_REVIEW", "")</f>
        <v/>
      </c>
      <c r="D562" s="3">
        <v>45307</v>
      </c>
      <c r="E562" s="2">
        <v>45313</v>
      </c>
      <c r="F562" s="2" t="str">
        <f t="shared" si="105"/>
        <v>OK</v>
      </c>
      <c r="G562" s="4">
        <f t="shared" si="106"/>
        <v>6</v>
      </c>
      <c r="H562" t="s">
        <v>1776</v>
      </c>
      <c r="I562" t="s">
        <v>53</v>
      </c>
      <c r="J562" t="s">
        <v>24</v>
      </c>
      <c r="K562" t="s">
        <v>63</v>
      </c>
      <c r="L562" t="str">
        <f t="shared" si="107"/>
        <v>West</v>
      </c>
      <c r="M562" t="s">
        <v>190</v>
      </c>
      <c r="N562" t="s">
        <v>191</v>
      </c>
      <c r="O562" t="s">
        <v>28</v>
      </c>
      <c r="P562" t="s">
        <v>124</v>
      </c>
      <c r="Q562" t="s">
        <v>1777</v>
      </c>
      <c r="R562" t="s">
        <v>59</v>
      </c>
      <c r="S562" t="str">
        <f t="shared" si="108"/>
        <v>Standard Class</v>
      </c>
      <c r="T562">
        <v>4</v>
      </c>
      <c r="U562">
        <v>282.52999999999997</v>
      </c>
      <c r="V562">
        <v>0</v>
      </c>
      <c r="W562">
        <f t="shared" si="109"/>
        <v>0</v>
      </c>
      <c r="X562" t="str">
        <f t="shared" si="110"/>
        <v/>
      </c>
      <c r="Y562">
        <v>1130.1199999999999</v>
      </c>
      <c r="Z562">
        <f t="shared" si="111"/>
        <v>1130.1199999999999</v>
      </c>
      <c r="AA562">
        <v>848.62</v>
      </c>
      <c r="AB562">
        <v>281.5</v>
      </c>
      <c r="AC562">
        <f t="shared" si="112"/>
        <v>847.58999999999992</v>
      </c>
      <c r="AD562" s="6">
        <f t="shared" si="113"/>
        <v>0.75</v>
      </c>
      <c r="AE562" t="s">
        <v>32</v>
      </c>
      <c r="AF562" t="s">
        <v>68</v>
      </c>
      <c r="AG562">
        <f t="shared" si="114"/>
        <v>1</v>
      </c>
      <c r="AH562">
        <f t="shared" si="115"/>
        <v>2024</v>
      </c>
      <c r="AI562" t="str">
        <f t="shared" si="116"/>
        <v>CLEAN</v>
      </c>
    </row>
    <row r="563" spans="1:35">
      <c r="A563" t="s">
        <v>1778</v>
      </c>
      <c r="B563">
        <f t="shared" si="104"/>
        <v>1</v>
      </c>
      <c r="C563" t="str">
        <f>IF(COUNTIF($A$2:A563, A563)&gt;1, "DUPLICATE_FLAGGED_FOR_REVIEW", "")</f>
        <v/>
      </c>
      <c r="D563" s="3">
        <v>45852</v>
      </c>
      <c r="E563" s="2">
        <v>45856</v>
      </c>
      <c r="F563" s="2" t="str">
        <f t="shared" si="105"/>
        <v>OK</v>
      </c>
      <c r="G563" s="4">
        <f t="shared" si="106"/>
        <v>4</v>
      </c>
      <c r="H563" t="s">
        <v>1779</v>
      </c>
      <c r="I563" t="s">
        <v>89</v>
      </c>
      <c r="J563" t="s">
        <v>24</v>
      </c>
      <c r="K563" t="s">
        <v>25</v>
      </c>
      <c r="L563" t="str">
        <f t="shared" si="107"/>
        <v>North</v>
      </c>
      <c r="M563" t="s">
        <v>122</v>
      </c>
      <c r="N563" t="s">
        <v>123</v>
      </c>
      <c r="O563" t="s">
        <v>74</v>
      </c>
      <c r="P563" t="s">
        <v>80</v>
      </c>
      <c r="Q563" t="s">
        <v>1780</v>
      </c>
      <c r="R563" t="s">
        <v>50</v>
      </c>
      <c r="S563" t="str">
        <f t="shared" si="108"/>
        <v>First Class</v>
      </c>
      <c r="T563">
        <v>4</v>
      </c>
      <c r="U563">
        <v>725.22</v>
      </c>
      <c r="V563">
        <v>0</v>
      </c>
      <c r="W563">
        <f t="shared" si="109"/>
        <v>0</v>
      </c>
      <c r="X563" t="str">
        <f t="shared" si="110"/>
        <v/>
      </c>
      <c r="Y563">
        <v>2900.88</v>
      </c>
      <c r="Z563">
        <f t="shared" si="111"/>
        <v>2900.88</v>
      </c>
      <c r="AA563">
        <v>2391.85</v>
      </c>
      <c r="AB563">
        <v>509.03</v>
      </c>
      <c r="AC563">
        <f t="shared" si="112"/>
        <v>2175.66</v>
      </c>
      <c r="AD563" s="6">
        <f t="shared" si="113"/>
        <v>0.74999999999999989</v>
      </c>
      <c r="AE563" t="s">
        <v>111</v>
      </c>
      <c r="AF563" t="s">
        <v>103</v>
      </c>
      <c r="AG563">
        <f t="shared" si="114"/>
        <v>7</v>
      </c>
      <c r="AH563">
        <f t="shared" si="115"/>
        <v>2025</v>
      </c>
      <c r="AI563" t="str">
        <f t="shared" si="116"/>
        <v>CLEAN</v>
      </c>
    </row>
    <row r="564" spans="1:35">
      <c r="A564" t="s">
        <v>1781</v>
      </c>
      <c r="B564">
        <f t="shared" si="104"/>
        <v>1</v>
      </c>
      <c r="C564" t="str">
        <f>IF(COUNTIF($A$2:A564, A564)&gt;1, "DUPLICATE_FLAGGED_FOR_REVIEW", "")</f>
        <v/>
      </c>
      <c r="D564" s="3">
        <v>45422</v>
      </c>
      <c r="E564" s="2">
        <v>45428</v>
      </c>
      <c r="F564" s="2" t="str">
        <f t="shared" si="105"/>
        <v>OK</v>
      </c>
      <c r="G564" s="4">
        <f t="shared" si="106"/>
        <v>6</v>
      </c>
      <c r="H564" t="s">
        <v>1782</v>
      </c>
      <c r="I564" t="s">
        <v>23</v>
      </c>
      <c r="J564" t="s">
        <v>24</v>
      </c>
      <c r="K564" t="s">
        <v>25</v>
      </c>
      <c r="L564" t="str">
        <f t="shared" si="107"/>
        <v>North</v>
      </c>
      <c r="M564" t="s">
        <v>122</v>
      </c>
      <c r="N564" t="s">
        <v>123</v>
      </c>
      <c r="O564" t="s">
        <v>28</v>
      </c>
      <c r="P564" t="s">
        <v>153</v>
      </c>
      <c r="Q564" t="s">
        <v>1783</v>
      </c>
      <c r="R564" t="s">
        <v>44</v>
      </c>
      <c r="S564" t="str">
        <f t="shared" si="108"/>
        <v>Same Day</v>
      </c>
      <c r="T564">
        <v>7</v>
      </c>
      <c r="U564">
        <v>121.54</v>
      </c>
      <c r="V564">
        <v>0.2</v>
      </c>
      <c r="W564">
        <f t="shared" si="109"/>
        <v>0.2</v>
      </c>
      <c r="X564" t="str">
        <f t="shared" si="110"/>
        <v/>
      </c>
      <c r="Y564">
        <v>680.62</v>
      </c>
      <c r="Z564">
        <f t="shared" si="111"/>
        <v>680.62400000000014</v>
      </c>
      <c r="AA564">
        <v>463.49</v>
      </c>
      <c r="AB564">
        <v>217.13</v>
      </c>
      <c r="AC564">
        <f t="shared" si="112"/>
        <v>559.08400000000017</v>
      </c>
      <c r="AD564" s="6">
        <f t="shared" si="113"/>
        <v>0.82142857142857151</v>
      </c>
      <c r="AE564" t="s">
        <v>155</v>
      </c>
      <c r="AF564" t="s">
        <v>103</v>
      </c>
      <c r="AG564">
        <f t="shared" si="114"/>
        <v>5</v>
      </c>
      <c r="AH564">
        <f t="shared" si="115"/>
        <v>2024</v>
      </c>
      <c r="AI564" t="str">
        <f t="shared" si="116"/>
        <v>CLEAN</v>
      </c>
    </row>
    <row r="565" spans="1:35">
      <c r="A565" t="s">
        <v>1784</v>
      </c>
      <c r="B565">
        <f t="shared" si="104"/>
        <v>1</v>
      </c>
      <c r="C565" t="str">
        <f>IF(COUNTIF($A$2:A565, A565)&gt;1, "DUPLICATE_FLAGGED_FOR_REVIEW", "")</f>
        <v/>
      </c>
      <c r="D565" s="3">
        <v>45448</v>
      </c>
      <c r="E565" s="2">
        <v>45424</v>
      </c>
      <c r="F565" s="2" t="str">
        <f t="shared" si="105"/>
        <v>ERROR: Ship before order</v>
      </c>
      <c r="G565" s="4">
        <f t="shared" si="106"/>
        <v>-24</v>
      </c>
      <c r="H565" t="s">
        <v>1785</v>
      </c>
      <c r="I565" t="s">
        <v>53</v>
      </c>
      <c r="J565" t="s">
        <v>90</v>
      </c>
      <c r="K565" t="s">
        <v>63</v>
      </c>
      <c r="L565" t="str">
        <f t="shared" si="107"/>
        <v>West</v>
      </c>
      <c r="M565" t="s">
        <v>190</v>
      </c>
      <c r="N565" t="s">
        <v>191</v>
      </c>
      <c r="O565" t="s">
        <v>41</v>
      </c>
      <c r="P565" t="s">
        <v>42</v>
      </c>
      <c r="Q565" t="s">
        <v>1786</v>
      </c>
      <c r="R565" t="s">
        <v>59</v>
      </c>
      <c r="S565" t="str">
        <f t="shared" si="108"/>
        <v>Standard Class</v>
      </c>
      <c r="T565">
        <v>9</v>
      </c>
      <c r="U565">
        <v>790.97</v>
      </c>
      <c r="V565">
        <v>0.2</v>
      </c>
      <c r="W565">
        <f t="shared" si="109"/>
        <v>0.2</v>
      </c>
      <c r="X565" t="str">
        <f t="shared" si="110"/>
        <v/>
      </c>
      <c r="Y565">
        <v>5694.98</v>
      </c>
      <c r="Z565">
        <f t="shared" si="111"/>
        <v>5694.9840000000004</v>
      </c>
      <c r="AA565">
        <v>4618.33</v>
      </c>
      <c r="AB565">
        <v>1076.6500000000001</v>
      </c>
      <c r="AC565">
        <f t="shared" si="112"/>
        <v>4904.0140000000001</v>
      </c>
      <c r="AD565" s="6">
        <f t="shared" si="113"/>
        <v>0.86111111111111105</v>
      </c>
      <c r="AE565" t="s">
        <v>111</v>
      </c>
      <c r="AF565" t="s">
        <v>68</v>
      </c>
      <c r="AG565">
        <f t="shared" si="114"/>
        <v>6</v>
      </c>
      <c r="AH565">
        <f t="shared" si="115"/>
        <v>2024</v>
      </c>
      <c r="AI565" t="str">
        <f t="shared" si="116"/>
        <v>INVALID</v>
      </c>
    </row>
    <row r="566" spans="1:35">
      <c r="A566" t="s">
        <v>1787</v>
      </c>
      <c r="B566">
        <f t="shared" si="104"/>
        <v>1</v>
      </c>
      <c r="C566" t="str">
        <f>IF(COUNTIF($A$2:A566, A566)&gt;1, "DUPLICATE_FLAGGED_FOR_REVIEW", "")</f>
        <v/>
      </c>
      <c r="D566" s="3">
        <v>45576</v>
      </c>
      <c r="E566" s="2">
        <v>45610</v>
      </c>
      <c r="F566" s="2" t="str">
        <f t="shared" si="105"/>
        <v>OK</v>
      </c>
      <c r="G566" s="4">
        <f t="shared" si="106"/>
        <v>34</v>
      </c>
      <c r="H566" t="s">
        <v>1788</v>
      </c>
      <c r="I566" t="s">
        <v>132</v>
      </c>
      <c r="J566" t="s">
        <v>90</v>
      </c>
      <c r="K566" t="s">
        <v>54</v>
      </c>
      <c r="L566" t="str">
        <f t="shared" si="107"/>
        <v>South</v>
      </c>
      <c r="M566" t="s">
        <v>84</v>
      </c>
      <c r="N566" t="s">
        <v>85</v>
      </c>
      <c r="O566" t="s">
        <v>41</v>
      </c>
      <c r="P566" t="s">
        <v>42</v>
      </c>
      <c r="Q566" t="s">
        <v>1789</v>
      </c>
      <c r="R566" t="s">
        <v>50</v>
      </c>
      <c r="S566" t="str">
        <f t="shared" si="108"/>
        <v>First Class</v>
      </c>
      <c r="T566">
        <v>2</v>
      </c>
      <c r="U566">
        <v>921.34</v>
      </c>
      <c r="V566">
        <v>0.2</v>
      </c>
      <c r="W566">
        <f t="shared" si="109"/>
        <v>0.2</v>
      </c>
      <c r="X566" t="str">
        <f t="shared" si="110"/>
        <v/>
      </c>
      <c r="Y566">
        <v>1474.14</v>
      </c>
      <c r="Z566">
        <f t="shared" si="111"/>
        <v>1474.1440000000002</v>
      </c>
      <c r="AA566">
        <v>968.46</v>
      </c>
      <c r="AB566">
        <v>505.68</v>
      </c>
      <c r="AC566">
        <f t="shared" si="112"/>
        <v>552.8040000000002</v>
      </c>
      <c r="AD566" s="6">
        <f t="shared" si="113"/>
        <v>0.37500000000000006</v>
      </c>
      <c r="AE566" t="s">
        <v>32</v>
      </c>
      <c r="AF566" t="s">
        <v>33</v>
      </c>
      <c r="AG566">
        <f t="shared" si="114"/>
        <v>10</v>
      </c>
      <c r="AH566">
        <f t="shared" si="115"/>
        <v>2024</v>
      </c>
      <c r="AI566" t="str">
        <f t="shared" si="116"/>
        <v>CLEAN</v>
      </c>
    </row>
    <row r="567" spans="1:35">
      <c r="A567" t="s">
        <v>1790</v>
      </c>
      <c r="B567">
        <f t="shared" si="104"/>
        <v>1</v>
      </c>
      <c r="C567" t="str">
        <f>IF(COUNTIF($A$2:A567, A567)&gt;1, "DUPLICATE_FLAGGED_FOR_REVIEW", "")</f>
        <v/>
      </c>
      <c r="D567" s="3">
        <v>45876</v>
      </c>
      <c r="E567" s="2">
        <v>45882</v>
      </c>
      <c r="F567" s="2" t="str">
        <f t="shared" si="105"/>
        <v>OK</v>
      </c>
      <c r="G567" s="4">
        <f t="shared" si="106"/>
        <v>6</v>
      </c>
      <c r="H567" t="s">
        <v>1791</v>
      </c>
      <c r="I567" t="s">
        <v>36</v>
      </c>
      <c r="J567" t="s">
        <v>90</v>
      </c>
      <c r="K567" t="s">
        <v>25</v>
      </c>
      <c r="L567" t="str">
        <f t="shared" si="107"/>
        <v>North</v>
      </c>
      <c r="M567" t="s">
        <v>350</v>
      </c>
      <c r="N567" t="s">
        <v>351</v>
      </c>
      <c r="O567" t="s">
        <v>74</v>
      </c>
      <c r="P567" t="s">
        <v>171</v>
      </c>
      <c r="Q567" t="s">
        <v>1792</v>
      </c>
      <c r="R567" t="s">
        <v>59</v>
      </c>
      <c r="S567" t="str">
        <f t="shared" si="108"/>
        <v>Standard Class</v>
      </c>
      <c r="T567">
        <v>6</v>
      </c>
      <c r="U567">
        <v>1921.86</v>
      </c>
      <c r="V567">
        <v>0.2</v>
      </c>
      <c r="W567">
        <f t="shared" si="109"/>
        <v>0.2</v>
      </c>
      <c r="X567" t="str">
        <f t="shared" si="110"/>
        <v/>
      </c>
      <c r="Y567">
        <v>9224.93</v>
      </c>
      <c r="Z567">
        <f t="shared" si="111"/>
        <v>9224.9279999999999</v>
      </c>
      <c r="AA567">
        <v>7005.2</v>
      </c>
      <c r="AB567">
        <v>2219.73</v>
      </c>
      <c r="AC567">
        <f t="shared" si="112"/>
        <v>7303.0680000000002</v>
      </c>
      <c r="AD567" s="6">
        <f t="shared" si="113"/>
        <v>0.79166666666666674</v>
      </c>
      <c r="AE567" t="s">
        <v>102</v>
      </c>
      <c r="AF567" t="s">
        <v>68</v>
      </c>
      <c r="AG567">
        <f t="shared" si="114"/>
        <v>8</v>
      </c>
      <c r="AH567">
        <f t="shared" si="115"/>
        <v>2025</v>
      </c>
      <c r="AI567" t="str">
        <f t="shared" si="116"/>
        <v>CLEAN</v>
      </c>
    </row>
    <row r="568" spans="1:35">
      <c r="A568" t="s">
        <v>1793</v>
      </c>
      <c r="B568">
        <f t="shared" si="104"/>
        <v>1</v>
      </c>
      <c r="C568" t="str">
        <f>IF(COUNTIF($A$2:A568, A568)&gt;1, "DUPLICATE_FLAGGED_FOR_REVIEW", "")</f>
        <v/>
      </c>
      <c r="D568" s="3">
        <v>45515</v>
      </c>
      <c r="E568" s="2">
        <v>45523</v>
      </c>
      <c r="F568" s="2" t="str">
        <f t="shared" si="105"/>
        <v>OK</v>
      </c>
      <c r="G568" s="4">
        <f t="shared" si="106"/>
        <v>8</v>
      </c>
      <c r="H568" t="s">
        <v>1794</v>
      </c>
      <c r="I568" t="s">
        <v>132</v>
      </c>
      <c r="J568" t="s">
        <v>37</v>
      </c>
      <c r="K568" t="s">
        <v>63</v>
      </c>
      <c r="L568" t="str">
        <f t="shared" si="107"/>
        <v>West</v>
      </c>
      <c r="M568" t="s">
        <v>64</v>
      </c>
      <c r="N568" t="s">
        <v>65</v>
      </c>
      <c r="O568" t="s">
        <v>28</v>
      </c>
      <c r="P568" t="s">
        <v>29</v>
      </c>
      <c r="Q568" t="s">
        <v>1795</v>
      </c>
      <c r="R568" t="s">
        <v>44</v>
      </c>
      <c r="S568" t="str">
        <f t="shared" si="108"/>
        <v>Same Day</v>
      </c>
      <c r="T568">
        <v>2</v>
      </c>
      <c r="U568">
        <v>2617.89</v>
      </c>
      <c r="V568">
        <v>0.1</v>
      </c>
      <c r="W568">
        <f t="shared" si="109"/>
        <v>0.1</v>
      </c>
      <c r="X568" t="str">
        <f t="shared" si="110"/>
        <v/>
      </c>
      <c r="Y568">
        <v>4712.2</v>
      </c>
      <c r="Z568">
        <f t="shared" si="111"/>
        <v>4712.2020000000002</v>
      </c>
      <c r="AA568">
        <v>3851.91</v>
      </c>
      <c r="AB568">
        <v>860.29</v>
      </c>
      <c r="AC568">
        <f t="shared" si="112"/>
        <v>2094.3120000000004</v>
      </c>
      <c r="AD568" s="6">
        <f t="shared" si="113"/>
        <v>0.44444444444444448</v>
      </c>
      <c r="AE568" t="s">
        <v>155</v>
      </c>
      <c r="AF568" t="s">
        <v>103</v>
      </c>
      <c r="AG568">
        <f t="shared" si="114"/>
        <v>8</v>
      </c>
      <c r="AH568">
        <f t="shared" si="115"/>
        <v>2024</v>
      </c>
      <c r="AI568" t="str">
        <f t="shared" si="116"/>
        <v>CLEAN</v>
      </c>
    </row>
    <row r="569" spans="1:35">
      <c r="A569" t="s">
        <v>1796</v>
      </c>
      <c r="B569">
        <f t="shared" si="104"/>
        <v>1</v>
      </c>
      <c r="C569" t="str">
        <f>IF(COUNTIF($A$2:A569, A569)&gt;1, "DUPLICATE_FLAGGED_FOR_REVIEW", "")</f>
        <v/>
      </c>
      <c r="D569" s="3">
        <v>45328</v>
      </c>
      <c r="E569" s="2">
        <v>45332</v>
      </c>
      <c r="F569" s="2" t="str">
        <f t="shared" si="105"/>
        <v>OK</v>
      </c>
      <c r="G569" s="4">
        <f t="shared" si="106"/>
        <v>4</v>
      </c>
      <c r="H569" t="s">
        <v>1797</v>
      </c>
      <c r="I569" t="s">
        <v>53</v>
      </c>
      <c r="J569" t="s">
        <v>95</v>
      </c>
      <c r="K569" t="s">
        <v>25</v>
      </c>
      <c r="L569" t="str">
        <f t="shared" si="107"/>
        <v>North</v>
      </c>
      <c r="M569" t="s">
        <v>136</v>
      </c>
      <c r="N569" t="s">
        <v>137</v>
      </c>
      <c r="O569" t="s">
        <v>41</v>
      </c>
      <c r="P569" t="s">
        <v>57</v>
      </c>
      <c r="Q569" t="s">
        <v>596</v>
      </c>
      <c r="R569" t="s">
        <v>44</v>
      </c>
      <c r="S569" t="str">
        <f t="shared" si="108"/>
        <v>Same Day</v>
      </c>
      <c r="T569">
        <v>1</v>
      </c>
      <c r="U569">
        <v>1374.06</v>
      </c>
      <c r="V569">
        <v>0.05</v>
      </c>
      <c r="W569">
        <f t="shared" si="109"/>
        <v>0.05</v>
      </c>
      <c r="X569" t="str">
        <f t="shared" si="110"/>
        <v/>
      </c>
      <c r="Y569">
        <v>1305.3599999999999</v>
      </c>
      <c r="Z569">
        <f t="shared" si="111"/>
        <v>1305.357</v>
      </c>
      <c r="AA569">
        <v>731.89</v>
      </c>
      <c r="AB569">
        <v>573.47</v>
      </c>
      <c r="AC569">
        <f t="shared" si="112"/>
        <v>-68.702999999999975</v>
      </c>
      <c r="AD569" s="6">
        <f t="shared" si="113"/>
        <v>-5.2631578947368404E-2</v>
      </c>
      <c r="AE569" t="s">
        <v>32</v>
      </c>
      <c r="AF569" t="s">
        <v>33</v>
      </c>
      <c r="AG569">
        <f t="shared" si="114"/>
        <v>2</v>
      </c>
      <c r="AH569">
        <f t="shared" si="115"/>
        <v>2024</v>
      </c>
      <c r="AI569" t="str">
        <f t="shared" si="116"/>
        <v>CLEAN</v>
      </c>
    </row>
    <row r="570" spans="1:35">
      <c r="A570" t="s">
        <v>1798</v>
      </c>
      <c r="B570">
        <f t="shared" si="104"/>
        <v>1</v>
      </c>
      <c r="C570" t="str">
        <f>IF(COUNTIF($A$2:A570, A570)&gt;1, "DUPLICATE_FLAGGED_FOR_REVIEW", "")</f>
        <v/>
      </c>
      <c r="D570" s="3">
        <v>45312</v>
      </c>
      <c r="E570" s="2">
        <v>45315</v>
      </c>
      <c r="F570" s="2" t="str">
        <f t="shared" si="105"/>
        <v>OK</v>
      </c>
      <c r="G570" s="4">
        <f t="shared" si="106"/>
        <v>3</v>
      </c>
      <c r="H570" t="s">
        <v>1799</v>
      </c>
      <c r="I570" t="s">
        <v>264</v>
      </c>
      <c r="J570" t="s">
        <v>90</v>
      </c>
      <c r="K570" t="s">
        <v>25</v>
      </c>
      <c r="L570" t="str">
        <f t="shared" si="107"/>
        <v>North</v>
      </c>
      <c r="M570" t="s">
        <v>122</v>
      </c>
      <c r="N570" t="s">
        <v>123</v>
      </c>
      <c r="O570" t="s">
        <v>74</v>
      </c>
      <c r="P570" t="s">
        <v>274</v>
      </c>
      <c r="Q570" t="s">
        <v>1800</v>
      </c>
      <c r="R570" t="s">
        <v>44</v>
      </c>
      <c r="S570" t="str">
        <f t="shared" si="108"/>
        <v>Same Day</v>
      </c>
      <c r="T570">
        <v>1</v>
      </c>
      <c r="U570">
        <v>3806.3</v>
      </c>
      <c r="V570">
        <v>0.25</v>
      </c>
      <c r="W570">
        <f t="shared" si="109"/>
        <v>0.25</v>
      </c>
      <c r="X570" t="str">
        <f t="shared" si="110"/>
        <v/>
      </c>
      <c r="Y570">
        <v>2854.73</v>
      </c>
      <c r="Z570">
        <f t="shared" si="111"/>
        <v>2854.7250000000004</v>
      </c>
      <c r="AA570">
        <v>1968.12</v>
      </c>
      <c r="AB570">
        <v>886.61</v>
      </c>
      <c r="AC570">
        <f t="shared" si="112"/>
        <v>-951.57499999999982</v>
      </c>
      <c r="AD570" s="6">
        <f t="shared" si="113"/>
        <v>-0.3333333333333332</v>
      </c>
      <c r="AE570" t="s">
        <v>32</v>
      </c>
      <c r="AF570" t="s">
        <v>33</v>
      </c>
      <c r="AG570">
        <f t="shared" si="114"/>
        <v>1</v>
      </c>
      <c r="AH570">
        <f t="shared" si="115"/>
        <v>2024</v>
      </c>
      <c r="AI570" t="str">
        <f t="shared" si="116"/>
        <v>CLEAN</v>
      </c>
    </row>
    <row r="571" spans="1:35">
      <c r="A571" t="s">
        <v>1801</v>
      </c>
      <c r="B571">
        <f t="shared" si="104"/>
        <v>1</v>
      </c>
      <c r="C571" t="str">
        <f>IF(COUNTIF($A$2:A571, A571)&gt;1, "DUPLICATE_FLAGGED_FOR_REVIEW", "")</f>
        <v/>
      </c>
      <c r="D571" s="3">
        <v>45878</v>
      </c>
      <c r="E571" s="2">
        <v>45910</v>
      </c>
      <c r="F571" s="2" t="str">
        <f t="shared" si="105"/>
        <v>OK</v>
      </c>
      <c r="G571" s="4">
        <f t="shared" si="106"/>
        <v>32</v>
      </c>
      <c r="H571" t="s">
        <v>1802</v>
      </c>
      <c r="I571" t="s">
        <v>118</v>
      </c>
      <c r="J571" t="s">
        <v>95</v>
      </c>
      <c r="K571" t="s">
        <v>63</v>
      </c>
      <c r="L571" t="str">
        <f t="shared" si="107"/>
        <v>West</v>
      </c>
      <c r="M571" t="s">
        <v>64</v>
      </c>
      <c r="N571" t="s">
        <v>65</v>
      </c>
      <c r="O571" t="s">
        <v>41</v>
      </c>
      <c r="P571" t="s">
        <v>57</v>
      </c>
      <c r="Q571" t="s">
        <v>1803</v>
      </c>
      <c r="R571" t="s">
        <v>59</v>
      </c>
      <c r="S571" t="str">
        <f t="shared" si="108"/>
        <v>Standard Class</v>
      </c>
      <c r="T571">
        <v>6</v>
      </c>
      <c r="U571">
        <v>3251.17</v>
      </c>
      <c r="V571">
        <v>0.25</v>
      </c>
      <c r="W571">
        <f t="shared" si="109"/>
        <v>0.25</v>
      </c>
      <c r="X571" t="str">
        <f t="shared" si="110"/>
        <v/>
      </c>
      <c r="Y571">
        <v>14630.26</v>
      </c>
      <c r="Z571">
        <f t="shared" si="111"/>
        <v>14630.264999999999</v>
      </c>
      <c r="AA571">
        <v>11906.36</v>
      </c>
      <c r="AB571">
        <v>2723.9</v>
      </c>
      <c r="AC571">
        <f t="shared" si="112"/>
        <v>11379.094999999999</v>
      </c>
      <c r="AD571" s="6">
        <f t="shared" si="113"/>
        <v>0.77777777777777779</v>
      </c>
      <c r="AE571" t="s">
        <v>102</v>
      </c>
      <c r="AF571" t="s">
        <v>103</v>
      </c>
      <c r="AG571">
        <f t="shared" si="114"/>
        <v>8</v>
      </c>
      <c r="AH571">
        <f t="shared" si="115"/>
        <v>2025</v>
      </c>
      <c r="AI571" t="str">
        <f t="shared" si="116"/>
        <v>CLEAN</v>
      </c>
    </row>
    <row r="572" spans="1:35">
      <c r="A572" t="s">
        <v>1804</v>
      </c>
      <c r="B572">
        <f t="shared" si="104"/>
        <v>1</v>
      </c>
      <c r="C572" t="str">
        <f>IF(COUNTIF($A$2:A572, A572)&gt;1, "DUPLICATE_FLAGGED_FOR_REVIEW", "")</f>
        <v/>
      </c>
      <c r="D572" s="3">
        <v>45887</v>
      </c>
      <c r="E572" s="2">
        <v>45891</v>
      </c>
      <c r="F572" s="2" t="str">
        <f t="shared" si="105"/>
        <v>OK</v>
      </c>
      <c r="G572" s="4">
        <f t="shared" si="106"/>
        <v>4</v>
      </c>
      <c r="H572" t="s">
        <v>1805</v>
      </c>
      <c r="I572" t="s">
        <v>53</v>
      </c>
      <c r="J572" t="s">
        <v>24</v>
      </c>
      <c r="K572" t="s">
        <v>38</v>
      </c>
      <c r="L572" t="str">
        <f t="shared" si="107"/>
        <v>East</v>
      </c>
      <c r="M572" t="s">
        <v>228</v>
      </c>
      <c r="N572" t="s">
        <v>229</v>
      </c>
      <c r="O572" t="s">
        <v>41</v>
      </c>
      <c r="P572" t="s">
        <v>57</v>
      </c>
      <c r="Q572" t="s">
        <v>1806</v>
      </c>
      <c r="R572" t="s">
        <v>31</v>
      </c>
      <c r="S572" t="str">
        <f t="shared" si="108"/>
        <v>Second Class</v>
      </c>
      <c r="T572">
        <v>3</v>
      </c>
      <c r="U572">
        <v>3946.44</v>
      </c>
      <c r="V572">
        <v>0.25</v>
      </c>
      <c r="W572">
        <f t="shared" si="109"/>
        <v>0.25</v>
      </c>
      <c r="X572" t="str">
        <f t="shared" si="110"/>
        <v/>
      </c>
      <c r="Y572">
        <v>8879.49</v>
      </c>
      <c r="Z572">
        <f t="shared" si="111"/>
        <v>8879.49</v>
      </c>
      <c r="AA572">
        <v>6344.57</v>
      </c>
      <c r="AB572">
        <v>2534.92</v>
      </c>
      <c r="AC572">
        <f t="shared" si="112"/>
        <v>4933.0499999999993</v>
      </c>
      <c r="AD572" s="6">
        <f t="shared" si="113"/>
        <v>0.55555555555555547</v>
      </c>
      <c r="AE572" t="s">
        <v>155</v>
      </c>
      <c r="AF572" t="s">
        <v>103</v>
      </c>
      <c r="AG572">
        <f t="shared" si="114"/>
        <v>8</v>
      </c>
      <c r="AH572">
        <f t="shared" si="115"/>
        <v>2025</v>
      </c>
      <c r="AI572" t="str">
        <f t="shared" si="116"/>
        <v>CLEAN</v>
      </c>
    </row>
    <row r="573" spans="1:35">
      <c r="A573" t="s">
        <v>1807</v>
      </c>
      <c r="B573">
        <f t="shared" si="104"/>
        <v>2</v>
      </c>
      <c r="C573" t="str">
        <f>IF(COUNTIF($A$2:A573, A573)&gt;1, "DUPLICATE_FLAGGED_FOR_REVIEW", "")</f>
        <v/>
      </c>
      <c r="D573" s="3">
        <v>45698</v>
      </c>
      <c r="E573" s="2">
        <v>45702</v>
      </c>
      <c r="F573" s="2" t="str">
        <f t="shared" si="105"/>
        <v>OK</v>
      </c>
      <c r="G573" s="4">
        <f t="shared" si="106"/>
        <v>4</v>
      </c>
      <c r="H573" t="s">
        <v>1808</v>
      </c>
      <c r="I573" t="s">
        <v>114</v>
      </c>
      <c r="J573" t="s">
        <v>37</v>
      </c>
      <c r="K573" t="s">
        <v>25</v>
      </c>
      <c r="L573" t="str">
        <f t="shared" si="107"/>
        <v>North</v>
      </c>
      <c r="M573" t="s">
        <v>136</v>
      </c>
      <c r="N573" t="s">
        <v>137</v>
      </c>
      <c r="O573" t="s">
        <v>74</v>
      </c>
      <c r="P573" t="s">
        <v>171</v>
      </c>
      <c r="Q573" t="s">
        <v>1809</v>
      </c>
      <c r="R573" t="s">
        <v>2760</v>
      </c>
      <c r="S573" t="str">
        <f t="shared" si="108"/>
        <v>Unknown</v>
      </c>
      <c r="T573">
        <v>5</v>
      </c>
      <c r="U573">
        <v>4276.29</v>
      </c>
      <c r="V573">
        <v>0</v>
      </c>
      <c r="W573">
        <f t="shared" si="109"/>
        <v>0</v>
      </c>
      <c r="X573" t="str">
        <f t="shared" si="110"/>
        <v/>
      </c>
      <c r="Y573">
        <v>21381.45</v>
      </c>
      <c r="Z573">
        <f t="shared" si="111"/>
        <v>21381.45</v>
      </c>
      <c r="AA573">
        <v>13240.21</v>
      </c>
      <c r="AB573">
        <v>8141.24</v>
      </c>
      <c r="AC573">
        <f t="shared" si="112"/>
        <v>17105.16</v>
      </c>
      <c r="AD573" s="6">
        <f t="shared" si="113"/>
        <v>0.79999999999999993</v>
      </c>
      <c r="AE573" t="s">
        <v>155</v>
      </c>
      <c r="AF573" t="s">
        <v>103</v>
      </c>
      <c r="AG573">
        <f t="shared" si="114"/>
        <v>2</v>
      </c>
      <c r="AH573">
        <f t="shared" si="115"/>
        <v>2025</v>
      </c>
      <c r="AI573" t="str">
        <f t="shared" si="116"/>
        <v>WARNING</v>
      </c>
    </row>
    <row r="574" spans="1:35">
      <c r="A574" t="s">
        <v>1810</v>
      </c>
      <c r="B574">
        <f t="shared" si="104"/>
        <v>1</v>
      </c>
      <c r="C574" t="str">
        <f>IF(COUNTIF($A$2:A574, A574)&gt;1, "DUPLICATE_FLAGGED_FOR_REVIEW", "")</f>
        <v/>
      </c>
      <c r="D574" s="3">
        <v>45323</v>
      </c>
      <c r="E574" s="2">
        <v>45300</v>
      </c>
      <c r="F574" s="2" t="str">
        <f t="shared" si="105"/>
        <v>ERROR: Ship before order</v>
      </c>
      <c r="G574" s="4">
        <f t="shared" si="106"/>
        <v>-23</v>
      </c>
      <c r="H574" t="s">
        <v>1811</v>
      </c>
      <c r="I574" t="s">
        <v>162</v>
      </c>
      <c r="J574" t="s">
        <v>90</v>
      </c>
      <c r="K574" t="s">
        <v>25</v>
      </c>
      <c r="L574" t="str">
        <f t="shared" si="107"/>
        <v>North</v>
      </c>
      <c r="M574" t="s">
        <v>350</v>
      </c>
      <c r="N574" t="s">
        <v>351</v>
      </c>
      <c r="O574" t="s">
        <v>74</v>
      </c>
      <c r="P574" t="s">
        <v>171</v>
      </c>
      <c r="Q574" t="s">
        <v>1812</v>
      </c>
      <c r="R574" t="s">
        <v>59</v>
      </c>
      <c r="S574" t="str">
        <f t="shared" si="108"/>
        <v>Standard Class</v>
      </c>
      <c r="T574">
        <v>3</v>
      </c>
      <c r="U574">
        <v>739.56</v>
      </c>
      <c r="V574">
        <v>0.2</v>
      </c>
      <c r="W574">
        <f t="shared" si="109"/>
        <v>0.2</v>
      </c>
      <c r="X574" t="str">
        <f t="shared" si="110"/>
        <v/>
      </c>
      <c r="Y574">
        <v>1774.94</v>
      </c>
      <c r="Z574">
        <f t="shared" si="111"/>
        <v>1774.944</v>
      </c>
      <c r="AA574">
        <v>1007.4</v>
      </c>
      <c r="AB574">
        <v>767.54</v>
      </c>
      <c r="AC574">
        <f t="shared" si="112"/>
        <v>1035.384</v>
      </c>
      <c r="AD574" s="6">
        <f t="shared" si="113"/>
        <v>0.58333333333333337</v>
      </c>
      <c r="AE574" t="s">
        <v>32</v>
      </c>
      <c r="AF574" t="s">
        <v>33</v>
      </c>
      <c r="AG574">
        <f t="shared" si="114"/>
        <v>2</v>
      </c>
      <c r="AH574">
        <f t="shared" si="115"/>
        <v>2024</v>
      </c>
      <c r="AI574" t="str">
        <f t="shared" si="116"/>
        <v>INVALID</v>
      </c>
    </row>
    <row r="575" spans="1:35">
      <c r="A575" t="s">
        <v>1813</v>
      </c>
      <c r="B575">
        <f t="shared" si="104"/>
        <v>1</v>
      </c>
      <c r="C575" t="str">
        <f>IF(COUNTIF($A$2:A575, A575)&gt;1, "DUPLICATE_FLAGGED_FOR_REVIEW", "")</f>
        <v/>
      </c>
      <c r="D575" s="3">
        <v>45922</v>
      </c>
      <c r="E575" s="2">
        <v>45926</v>
      </c>
      <c r="F575" s="2" t="str">
        <f t="shared" si="105"/>
        <v>OK</v>
      </c>
      <c r="G575" s="4">
        <f t="shared" si="106"/>
        <v>4</v>
      </c>
      <c r="H575" t="s">
        <v>1814</v>
      </c>
      <c r="I575" t="s">
        <v>47</v>
      </c>
      <c r="J575" t="s">
        <v>24</v>
      </c>
      <c r="K575" t="s">
        <v>54</v>
      </c>
      <c r="L575" t="str">
        <f t="shared" si="107"/>
        <v>South</v>
      </c>
      <c r="M575" t="s">
        <v>84</v>
      </c>
      <c r="N575" t="s">
        <v>85</v>
      </c>
      <c r="O575" t="s">
        <v>74</v>
      </c>
      <c r="P575" t="s">
        <v>171</v>
      </c>
      <c r="Q575" t="s">
        <v>1815</v>
      </c>
      <c r="R575" t="s">
        <v>59</v>
      </c>
      <c r="S575" t="str">
        <f t="shared" si="108"/>
        <v>Standard Class</v>
      </c>
      <c r="T575">
        <v>1</v>
      </c>
      <c r="U575">
        <v>573.65</v>
      </c>
      <c r="V575">
        <v>0</v>
      </c>
      <c r="W575">
        <f t="shared" si="109"/>
        <v>0</v>
      </c>
      <c r="X575" t="str">
        <f t="shared" si="110"/>
        <v/>
      </c>
      <c r="Y575">
        <v>573.65</v>
      </c>
      <c r="Z575">
        <f t="shared" si="111"/>
        <v>573.65</v>
      </c>
      <c r="AA575">
        <v>322.67</v>
      </c>
      <c r="AB575">
        <v>250.98</v>
      </c>
      <c r="AC575">
        <f t="shared" si="112"/>
        <v>0</v>
      </c>
      <c r="AD575" s="6">
        <f t="shared" si="113"/>
        <v>0</v>
      </c>
      <c r="AE575" t="s">
        <v>32</v>
      </c>
      <c r="AF575" t="s">
        <v>33</v>
      </c>
      <c r="AG575">
        <f t="shared" si="114"/>
        <v>9</v>
      </c>
      <c r="AH575">
        <f t="shared" si="115"/>
        <v>2025</v>
      </c>
      <c r="AI575" t="str">
        <f t="shared" si="116"/>
        <v>CLEAN</v>
      </c>
    </row>
    <row r="576" spans="1:35">
      <c r="A576" t="s">
        <v>1816</v>
      </c>
      <c r="B576">
        <f t="shared" si="104"/>
        <v>1</v>
      </c>
      <c r="C576" t="str">
        <f>IF(COUNTIF($A$2:A576, A576)&gt;1, "DUPLICATE_FLAGGED_FOR_REVIEW", "")</f>
        <v/>
      </c>
      <c r="D576" s="3">
        <v>45342</v>
      </c>
      <c r="E576" s="2">
        <v>45347</v>
      </c>
      <c r="F576" s="2" t="str">
        <f t="shared" si="105"/>
        <v>OK</v>
      </c>
      <c r="G576" s="4">
        <f t="shared" si="106"/>
        <v>5</v>
      </c>
      <c r="H576" t="s">
        <v>800</v>
      </c>
      <c r="I576" t="s">
        <v>162</v>
      </c>
      <c r="J576" t="s">
        <v>95</v>
      </c>
      <c r="K576" t="s">
        <v>25</v>
      </c>
      <c r="L576" t="str">
        <f t="shared" si="107"/>
        <v>North</v>
      </c>
      <c r="M576" t="s">
        <v>122</v>
      </c>
      <c r="N576" t="s">
        <v>123</v>
      </c>
      <c r="O576" t="s">
        <v>74</v>
      </c>
      <c r="P576" t="s">
        <v>274</v>
      </c>
      <c r="Q576" t="s">
        <v>1817</v>
      </c>
      <c r="R576" t="s">
        <v>59</v>
      </c>
      <c r="S576" t="str">
        <f t="shared" si="108"/>
        <v>Standard Class</v>
      </c>
      <c r="T576">
        <v>4</v>
      </c>
      <c r="U576">
        <v>1355.8</v>
      </c>
      <c r="V576">
        <v>0</v>
      </c>
      <c r="W576">
        <f t="shared" si="109"/>
        <v>0</v>
      </c>
      <c r="X576" t="str">
        <f t="shared" si="110"/>
        <v/>
      </c>
      <c r="Y576">
        <v>5423.2</v>
      </c>
      <c r="Z576">
        <f t="shared" si="111"/>
        <v>5423.2</v>
      </c>
      <c r="AA576">
        <v>4072.44</v>
      </c>
      <c r="AB576">
        <v>1350.76</v>
      </c>
      <c r="AC576">
        <f t="shared" si="112"/>
        <v>4067.3999999999996</v>
      </c>
      <c r="AD576" s="6">
        <f t="shared" si="113"/>
        <v>0.75</v>
      </c>
      <c r="AE576" t="s">
        <v>32</v>
      </c>
      <c r="AF576" t="s">
        <v>33</v>
      </c>
      <c r="AG576">
        <f t="shared" si="114"/>
        <v>2</v>
      </c>
      <c r="AH576">
        <f t="shared" si="115"/>
        <v>2024</v>
      </c>
      <c r="AI576" t="str">
        <f t="shared" si="116"/>
        <v>CLEAN</v>
      </c>
    </row>
    <row r="577" spans="1:35">
      <c r="A577" t="s">
        <v>1818</v>
      </c>
      <c r="B577">
        <f t="shared" si="104"/>
        <v>1</v>
      </c>
      <c r="C577" t="str">
        <f>IF(COUNTIF($A$2:A577, A577)&gt;1, "DUPLICATE_FLAGGED_FOR_REVIEW", "")</f>
        <v/>
      </c>
      <c r="D577" s="3">
        <v>45727</v>
      </c>
      <c r="E577" s="2">
        <v>45730</v>
      </c>
      <c r="F577" s="2" t="str">
        <f t="shared" si="105"/>
        <v>OK</v>
      </c>
      <c r="G577" s="4">
        <f t="shared" si="106"/>
        <v>3</v>
      </c>
      <c r="H577" t="s">
        <v>1819</v>
      </c>
      <c r="I577" t="s">
        <v>132</v>
      </c>
      <c r="J577" t="s">
        <v>95</v>
      </c>
      <c r="K577" t="s">
        <v>54</v>
      </c>
      <c r="L577" t="str">
        <f t="shared" si="107"/>
        <v>South</v>
      </c>
      <c r="M577" t="s">
        <v>185</v>
      </c>
      <c r="N577" t="s">
        <v>186</v>
      </c>
      <c r="O577" t="s">
        <v>41</v>
      </c>
      <c r="P577" t="s">
        <v>57</v>
      </c>
      <c r="Q577" t="s">
        <v>1820</v>
      </c>
      <c r="R577" t="s">
        <v>44</v>
      </c>
      <c r="S577" t="str">
        <f t="shared" si="108"/>
        <v>Same Day</v>
      </c>
      <c r="T577">
        <v>4</v>
      </c>
      <c r="U577">
        <v>1244.82</v>
      </c>
      <c r="V577">
        <v>0.2</v>
      </c>
      <c r="W577">
        <f t="shared" si="109"/>
        <v>0.2</v>
      </c>
      <c r="X577" t="str">
        <f t="shared" si="110"/>
        <v/>
      </c>
      <c r="Y577">
        <v>3983.42</v>
      </c>
      <c r="Z577">
        <f t="shared" si="111"/>
        <v>3983.424</v>
      </c>
      <c r="AA577">
        <v>3174.91</v>
      </c>
      <c r="AB577">
        <v>808.51</v>
      </c>
      <c r="AC577">
        <f t="shared" si="112"/>
        <v>2738.6040000000003</v>
      </c>
      <c r="AD577" s="6">
        <f t="shared" si="113"/>
        <v>0.68750000000000011</v>
      </c>
      <c r="AE577" t="s">
        <v>155</v>
      </c>
      <c r="AF577" t="s">
        <v>103</v>
      </c>
      <c r="AG577">
        <f t="shared" si="114"/>
        <v>3</v>
      </c>
      <c r="AH577">
        <f t="shared" si="115"/>
        <v>2025</v>
      </c>
      <c r="AI577" t="str">
        <f t="shared" si="116"/>
        <v>CLEAN</v>
      </c>
    </row>
    <row r="578" spans="1:35">
      <c r="A578" t="s">
        <v>1821</v>
      </c>
      <c r="B578">
        <f t="shared" si="104"/>
        <v>1</v>
      </c>
      <c r="C578" t="str">
        <f>IF(COUNTIF($A$2:A578, A578)&gt;1, "DUPLICATE_FLAGGED_FOR_REVIEW", "")</f>
        <v/>
      </c>
      <c r="D578" s="3">
        <v>45339</v>
      </c>
      <c r="E578" s="2">
        <v>45345</v>
      </c>
      <c r="F578" s="2" t="str">
        <f t="shared" si="105"/>
        <v>OK</v>
      </c>
      <c r="G578" s="4">
        <f t="shared" si="106"/>
        <v>6</v>
      </c>
      <c r="H578" t="s">
        <v>1822</v>
      </c>
      <c r="I578" t="s">
        <v>141</v>
      </c>
      <c r="J578" t="s">
        <v>95</v>
      </c>
      <c r="K578" t="s">
        <v>2760</v>
      </c>
      <c r="L578" t="str">
        <f t="shared" si="107"/>
        <v>Unknown</v>
      </c>
      <c r="M578" t="s">
        <v>145</v>
      </c>
      <c r="N578" t="s">
        <v>146</v>
      </c>
      <c r="O578" t="s">
        <v>28</v>
      </c>
      <c r="P578" t="s">
        <v>153</v>
      </c>
      <c r="Q578" t="s">
        <v>1823</v>
      </c>
      <c r="R578" t="s">
        <v>59</v>
      </c>
      <c r="S578" t="str">
        <f t="shared" si="108"/>
        <v>Standard Class</v>
      </c>
      <c r="T578">
        <v>9</v>
      </c>
      <c r="U578">
        <v>2614.46</v>
      </c>
      <c r="V578">
        <v>0</v>
      </c>
      <c r="W578">
        <f t="shared" si="109"/>
        <v>0</v>
      </c>
      <c r="X578" t="str">
        <f t="shared" si="110"/>
        <v/>
      </c>
      <c r="Y578">
        <v>23530.14</v>
      </c>
      <c r="Z578">
        <f t="shared" si="111"/>
        <v>23530.14</v>
      </c>
      <c r="AA578">
        <v>19537.79</v>
      </c>
      <c r="AB578">
        <v>3992.35</v>
      </c>
      <c r="AC578">
        <f t="shared" si="112"/>
        <v>20915.68</v>
      </c>
      <c r="AD578" s="6">
        <f t="shared" si="113"/>
        <v>0.88888888888888895</v>
      </c>
      <c r="AE578" t="s">
        <v>102</v>
      </c>
      <c r="AF578" t="s">
        <v>103</v>
      </c>
      <c r="AG578">
        <f t="shared" si="114"/>
        <v>2</v>
      </c>
      <c r="AH578">
        <f t="shared" si="115"/>
        <v>2024</v>
      </c>
      <c r="AI578" t="str">
        <f t="shared" si="116"/>
        <v>WARNING</v>
      </c>
    </row>
    <row r="579" spans="1:35">
      <c r="A579" t="s">
        <v>1824</v>
      </c>
      <c r="B579">
        <f t="shared" ref="B579:B642" si="117">COUNTIF($A$2:$A$932, A579)</f>
        <v>1</v>
      </c>
      <c r="C579" t="str">
        <f>IF(COUNTIF($A$2:A579, A579)&gt;1, "DUPLICATE_FLAGGED_FOR_REVIEW", "")</f>
        <v/>
      </c>
      <c r="D579" s="3">
        <v>45897</v>
      </c>
      <c r="E579" s="2">
        <v>45903</v>
      </c>
      <c r="F579" s="2" t="str">
        <f t="shared" ref="F579:F642" si="118">IF(E579&lt;D579, "ERROR: Ship before order", "OK")</f>
        <v>OK</v>
      </c>
      <c r="G579" s="4">
        <f t="shared" ref="G579:G642" si="119">IF(AND(ISNUMBER(E579),ISNUMBER(D579)), E579-D579, "")</f>
        <v>6</v>
      </c>
      <c r="H579" t="s">
        <v>1825</v>
      </c>
      <c r="I579" t="s">
        <v>114</v>
      </c>
      <c r="J579" t="s">
        <v>90</v>
      </c>
      <c r="K579" t="s">
        <v>63</v>
      </c>
      <c r="L579" t="str">
        <f t="shared" ref="L579:L642" si="120">IF(OR(K579="",ISBLANK(K579)), "Unknown", K579)</f>
        <v>West</v>
      </c>
      <c r="M579" t="s">
        <v>72</v>
      </c>
      <c r="N579" t="s">
        <v>73</v>
      </c>
      <c r="O579" t="s">
        <v>41</v>
      </c>
      <c r="P579" t="s">
        <v>57</v>
      </c>
      <c r="Q579" t="s">
        <v>1826</v>
      </c>
      <c r="R579" t="s">
        <v>59</v>
      </c>
      <c r="S579" t="str">
        <f t="shared" ref="S579:S642" si="121">IF(OR(R579="",ISBLANK(R579)), "Unknown", R579)</f>
        <v>Standard Class</v>
      </c>
      <c r="T579">
        <v>7</v>
      </c>
      <c r="U579">
        <v>268.45</v>
      </c>
      <c r="V579">
        <v>0</v>
      </c>
      <c r="W579">
        <f t="shared" ref="W579:W642" si="122">IF(ISBLANK(V579), IF(AND(ISNUMBER(T579), ISNUMBER(U579)), 0, ""), IF(V579&lt;0, V579, IF(V579&gt;0.5, V579, V579)))</f>
        <v>0</v>
      </c>
      <c r="X579" t="str">
        <f t="shared" ref="X579:X642" si="123">IF(V579&lt;0,"INVALID_NEGATIVE_DISCOUNT",IF(V579&gt;0.5,"INVALID_DISCOUNT_ABOVE_50PCT",IF(AND(ISBLANK(V579), ISNUMBER(T579), ISNUMBER(U579)),"DISCOUNT_MISSING_SET_TO_0","")))</f>
        <v/>
      </c>
      <c r="Y579">
        <v>1879.15</v>
      </c>
      <c r="Z579">
        <f t="shared" ref="Z579:Z642" si="124">T579 * U579 * (1 - W579)</f>
        <v>1879.1499999999999</v>
      </c>
      <c r="AA579">
        <v>1134.9000000000001</v>
      </c>
      <c r="AB579">
        <v>744.25</v>
      </c>
      <c r="AC579">
        <f t="shared" ref="AC579:AC642" si="125">Z579-U579</f>
        <v>1610.6999999999998</v>
      </c>
      <c r="AD579" s="6">
        <f t="shared" ref="AD579:AD642" si="126">IF(Z579&lt;&gt;0, AC579 / Z579, 0)</f>
        <v>0.8571428571428571</v>
      </c>
      <c r="AE579" t="s">
        <v>32</v>
      </c>
      <c r="AF579" t="s">
        <v>33</v>
      </c>
      <c r="AG579">
        <f t="shared" ref="AG579:AG642" si="127">MONTH(D579)</f>
        <v>8</v>
      </c>
      <c r="AH579">
        <f t="shared" ref="AH579:AH642" si="128">YEAR(D579)</f>
        <v>2025</v>
      </c>
      <c r="AI579" t="str">
        <f t="shared" ref="AI579:AI642" si="129">IF(OR(X579="INVALID_NEGATIVE_DISCOUNT",X579="INVALID_DISCOUNT_ABOVE_50PCT",F579="ERROR: Ship before order"),"INVALID",IF(OR(L579="Unknown",S579="Unknown",X579="DISCOUNT_MISSING_SET_TO_0"),"WARNING","CLEAN"))</f>
        <v>CLEAN</v>
      </c>
    </row>
    <row r="580" spans="1:35">
      <c r="A580" t="s">
        <v>1827</v>
      </c>
      <c r="B580">
        <f t="shared" si="117"/>
        <v>1</v>
      </c>
      <c r="C580" t="str">
        <f>IF(COUNTIF($A$2:A580, A580)&gt;1, "DUPLICATE_FLAGGED_FOR_REVIEW", "")</f>
        <v/>
      </c>
      <c r="D580" s="3">
        <v>45343</v>
      </c>
      <c r="E580" s="2">
        <v>45345</v>
      </c>
      <c r="F580" s="2" t="str">
        <f t="shared" si="118"/>
        <v>OK</v>
      </c>
      <c r="G580" s="4">
        <f t="shared" si="119"/>
        <v>2</v>
      </c>
      <c r="H580" t="s">
        <v>295</v>
      </c>
      <c r="I580" t="s">
        <v>79</v>
      </c>
      <c r="J580" t="s">
        <v>37</v>
      </c>
      <c r="K580" t="s">
        <v>63</v>
      </c>
      <c r="L580" t="str">
        <f t="shared" si="120"/>
        <v>West</v>
      </c>
      <c r="M580" t="s">
        <v>180</v>
      </c>
      <c r="N580" t="s">
        <v>181</v>
      </c>
      <c r="O580" t="s">
        <v>74</v>
      </c>
      <c r="P580" t="s">
        <v>80</v>
      </c>
      <c r="Q580" t="s">
        <v>1828</v>
      </c>
      <c r="R580" t="s">
        <v>50</v>
      </c>
      <c r="S580" t="str">
        <f t="shared" si="121"/>
        <v>First Class</v>
      </c>
      <c r="T580">
        <v>6</v>
      </c>
      <c r="U580">
        <v>2633.65</v>
      </c>
      <c r="V580">
        <v>0.05</v>
      </c>
      <c r="W580">
        <f t="shared" si="122"/>
        <v>0.05</v>
      </c>
      <c r="X580" t="str">
        <f t="shared" si="123"/>
        <v/>
      </c>
      <c r="Y580">
        <v>15011.81</v>
      </c>
      <c r="Z580">
        <f t="shared" si="124"/>
        <v>15011.805</v>
      </c>
      <c r="AA580">
        <v>9660.36</v>
      </c>
      <c r="AB580">
        <v>5351.45</v>
      </c>
      <c r="AC580">
        <f t="shared" si="125"/>
        <v>12378.155000000001</v>
      </c>
      <c r="AD580" s="6">
        <f t="shared" si="126"/>
        <v>0.82456140350877194</v>
      </c>
      <c r="AE580" t="s">
        <v>32</v>
      </c>
      <c r="AF580" t="s">
        <v>33</v>
      </c>
      <c r="AG580">
        <f t="shared" si="127"/>
        <v>2</v>
      </c>
      <c r="AH580">
        <f t="shared" si="128"/>
        <v>2024</v>
      </c>
      <c r="AI580" t="str">
        <f t="shared" si="129"/>
        <v>CLEAN</v>
      </c>
    </row>
    <row r="581" spans="1:35">
      <c r="A581" t="s">
        <v>1829</v>
      </c>
      <c r="B581">
        <f t="shared" si="117"/>
        <v>1</v>
      </c>
      <c r="C581" t="str">
        <f>IF(COUNTIF($A$2:A581, A581)&gt;1, "DUPLICATE_FLAGGED_FOR_REVIEW", "")</f>
        <v/>
      </c>
      <c r="D581" s="3">
        <v>45462</v>
      </c>
      <c r="E581" s="2">
        <v>45467</v>
      </c>
      <c r="F581" s="2" t="str">
        <f t="shared" si="118"/>
        <v>OK</v>
      </c>
      <c r="G581" s="4">
        <f t="shared" si="119"/>
        <v>5</v>
      </c>
      <c r="H581" t="s">
        <v>1830</v>
      </c>
      <c r="I581" t="s">
        <v>128</v>
      </c>
      <c r="J581" t="s">
        <v>37</v>
      </c>
      <c r="K581" t="s">
        <v>54</v>
      </c>
      <c r="L581" t="str">
        <f t="shared" si="120"/>
        <v>South</v>
      </c>
      <c r="M581" t="s">
        <v>247</v>
      </c>
      <c r="N581" t="s">
        <v>248</v>
      </c>
      <c r="O581" t="s">
        <v>28</v>
      </c>
      <c r="P581" t="s">
        <v>124</v>
      </c>
      <c r="Q581" t="s">
        <v>1831</v>
      </c>
      <c r="R581" t="s">
        <v>44</v>
      </c>
      <c r="S581" t="str">
        <f t="shared" si="121"/>
        <v>Same Day</v>
      </c>
      <c r="T581">
        <v>1</v>
      </c>
      <c r="U581">
        <v>3202.41</v>
      </c>
      <c r="V581">
        <v>0</v>
      </c>
      <c r="W581">
        <f t="shared" si="122"/>
        <v>0</v>
      </c>
      <c r="X581" t="str">
        <f t="shared" si="123"/>
        <v/>
      </c>
      <c r="Y581">
        <v>3202.41</v>
      </c>
      <c r="Z581">
        <f t="shared" si="124"/>
        <v>3202.41</v>
      </c>
      <c r="AA581">
        <v>2608.44</v>
      </c>
      <c r="AB581">
        <v>593.97</v>
      </c>
      <c r="AC581">
        <f t="shared" si="125"/>
        <v>0</v>
      </c>
      <c r="AD581" s="6">
        <f t="shared" si="126"/>
        <v>0</v>
      </c>
      <c r="AE581" t="s">
        <v>32</v>
      </c>
      <c r="AF581" t="s">
        <v>33</v>
      </c>
      <c r="AG581">
        <f t="shared" si="127"/>
        <v>6</v>
      </c>
      <c r="AH581">
        <f t="shared" si="128"/>
        <v>2024</v>
      </c>
      <c r="AI581" t="str">
        <f t="shared" si="129"/>
        <v>CLEAN</v>
      </c>
    </row>
    <row r="582" spans="1:35">
      <c r="A582" t="s">
        <v>1832</v>
      </c>
      <c r="B582">
        <f t="shared" si="117"/>
        <v>1</v>
      </c>
      <c r="C582" t="str">
        <f>IF(COUNTIF($A$2:A582, A582)&gt;1, "DUPLICATE_FLAGGED_FOR_REVIEW", "")</f>
        <v/>
      </c>
      <c r="D582" s="3">
        <v>45722</v>
      </c>
      <c r="E582" s="2">
        <v>45729</v>
      </c>
      <c r="F582" s="2" t="str">
        <f t="shared" si="118"/>
        <v>OK</v>
      </c>
      <c r="G582" s="4">
        <f t="shared" si="119"/>
        <v>7</v>
      </c>
      <c r="H582" t="s">
        <v>1833</v>
      </c>
      <c r="I582" t="s">
        <v>264</v>
      </c>
      <c r="J582" t="s">
        <v>24</v>
      </c>
      <c r="K582" t="s">
        <v>54</v>
      </c>
      <c r="L582" t="str">
        <f t="shared" si="120"/>
        <v>South</v>
      </c>
      <c r="M582" t="s">
        <v>185</v>
      </c>
      <c r="N582" t="s">
        <v>186</v>
      </c>
      <c r="O582" t="s">
        <v>41</v>
      </c>
      <c r="P582" t="s">
        <v>66</v>
      </c>
      <c r="Q582" t="s">
        <v>1834</v>
      </c>
      <c r="R582" t="s">
        <v>59</v>
      </c>
      <c r="S582" t="str">
        <f t="shared" si="121"/>
        <v>Standard Class</v>
      </c>
      <c r="T582">
        <v>3</v>
      </c>
      <c r="U582">
        <v>163.72</v>
      </c>
      <c r="V582">
        <v>0.15</v>
      </c>
      <c r="W582">
        <f t="shared" si="122"/>
        <v>0.15</v>
      </c>
      <c r="X582" t="str">
        <f t="shared" si="123"/>
        <v/>
      </c>
      <c r="Y582">
        <v>417.49</v>
      </c>
      <c r="Z582">
        <f t="shared" si="124"/>
        <v>417.48599999999999</v>
      </c>
      <c r="AA582">
        <v>261.67</v>
      </c>
      <c r="AB582">
        <v>155.82</v>
      </c>
      <c r="AC582">
        <f t="shared" si="125"/>
        <v>253.76599999999999</v>
      </c>
      <c r="AD582" s="6">
        <f t="shared" si="126"/>
        <v>0.60784313725490191</v>
      </c>
      <c r="AE582" t="s">
        <v>155</v>
      </c>
      <c r="AF582" t="s">
        <v>103</v>
      </c>
      <c r="AG582">
        <f t="shared" si="127"/>
        <v>3</v>
      </c>
      <c r="AH582">
        <f t="shared" si="128"/>
        <v>2025</v>
      </c>
      <c r="AI582" t="str">
        <f t="shared" si="129"/>
        <v>CLEAN</v>
      </c>
    </row>
    <row r="583" spans="1:35">
      <c r="A583" t="s">
        <v>1835</v>
      </c>
      <c r="B583">
        <f t="shared" si="117"/>
        <v>1</v>
      </c>
      <c r="C583" t="str">
        <f>IF(COUNTIF($A$2:A583, A583)&gt;1, "DUPLICATE_FLAGGED_FOR_REVIEW", "")</f>
        <v/>
      </c>
      <c r="D583" s="3">
        <v>45878</v>
      </c>
      <c r="E583" s="2">
        <v>45938</v>
      </c>
      <c r="F583" s="2" t="str">
        <f t="shared" si="118"/>
        <v>OK</v>
      </c>
      <c r="G583" s="4">
        <f t="shared" si="119"/>
        <v>60</v>
      </c>
      <c r="H583" t="s">
        <v>1836</v>
      </c>
      <c r="I583" t="s">
        <v>79</v>
      </c>
      <c r="J583" t="s">
        <v>24</v>
      </c>
      <c r="K583" t="s">
        <v>25</v>
      </c>
      <c r="L583" t="str">
        <f t="shared" si="120"/>
        <v>North</v>
      </c>
      <c r="M583" t="s">
        <v>350</v>
      </c>
      <c r="N583" t="s">
        <v>351</v>
      </c>
      <c r="O583" t="s">
        <v>28</v>
      </c>
      <c r="P583" t="s">
        <v>48</v>
      </c>
      <c r="Q583" t="s">
        <v>1837</v>
      </c>
      <c r="R583" t="s">
        <v>31</v>
      </c>
      <c r="S583" t="str">
        <f t="shared" si="121"/>
        <v>Second Class</v>
      </c>
      <c r="T583">
        <v>4</v>
      </c>
      <c r="U583">
        <v>4080.95</v>
      </c>
      <c r="V583">
        <v>0</v>
      </c>
      <c r="W583">
        <f t="shared" si="122"/>
        <v>0</v>
      </c>
      <c r="X583" t="str">
        <f t="shared" si="123"/>
        <v/>
      </c>
      <c r="Y583">
        <v>16323.8</v>
      </c>
      <c r="Z583">
        <f t="shared" si="124"/>
        <v>16323.8</v>
      </c>
      <c r="AA583">
        <v>9965.7900000000009</v>
      </c>
      <c r="AB583">
        <v>6358.01</v>
      </c>
      <c r="AC583">
        <f t="shared" si="125"/>
        <v>12242.849999999999</v>
      </c>
      <c r="AD583" s="6">
        <f t="shared" si="126"/>
        <v>0.74999999999999989</v>
      </c>
      <c r="AE583" t="s">
        <v>102</v>
      </c>
      <c r="AF583" t="s">
        <v>103</v>
      </c>
      <c r="AG583">
        <f t="shared" si="127"/>
        <v>8</v>
      </c>
      <c r="AH583">
        <f t="shared" si="128"/>
        <v>2025</v>
      </c>
      <c r="AI583" t="str">
        <f t="shared" si="129"/>
        <v>CLEAN</v>
      </c>
    </row>
    <row r="584" spans="1:35">
      <c r="A584" t="s">
        <v>1838</v>
      </c>
      <c r="B584">
        <f t="shared" si="117"/>
        <v>1</v>
      </c>
      <c r="C584" t="str">
        <f>IF(COUNTIF($A$2:A584, A584)&gt;1, "DUPLICATE_FLAGGED_FOR_REVIEW", "")</f>
        <v/>
      </c>
      <c r="D584" s="3">
        <v>45580</v>
      </c>
      <c r="E584" s="2">
        <v>45585</v>
      </c>
      <c r="F584" s="2" t="str">
        <f t="shared" si="118"/>
        <v>OK</v>
      </c>
      <c r="G584" s="4">
        <f t="shared" si="119"/>
        <v>5</v>
      </c>
      <c r="H584" t="s">
        <v>1839</v>
      </c>
      <c r="I584" t="s">
        <v>62</v>
      </c>
      <c r="J584" t="s">
        <v>24</v>
      </c>
      <c r="K584" t="s">
        <v>38</v>
      </c>
      <c r="L584" t="str">
        <f t="shared" si="120"/>
        <v>East</v>
      </c>
      <c r="M584" t="s">
        <v>39</v>
      </c>
      <c r="N584" t="s">
        <v>40</v>
      </c>
      <c r="O584" t="s">
        <v>28</v>
      </c>
      <c r="P584" t="s">
        <v>48</v>
      </c>
      <c r="Q584" t="s">
        <v>1840</v>
      </c>
      <c r="R584" t="s">
        <v>50</v>
      </c>
      <c r="S584" t="str">
        <f t="shared" si="121"/>
        <v>First Class</v>
      </c>
      <c r="T584">
        <v>5</v>
      </c>
      <c r="U584">
        <v>671.24</v>
      </c>
      <c r="V584">
        <v>0</v>
      </c>
      <c r="W584">
        <f t="shared" si="122"/>
        <v>0</v>
      </c>
      <c r="X584" t="str">
        <f t="shared" si="123"/>
        <v/>
      </c>
      <c r="Y584">
        <v>3356.2</v>
      </c>
      <c r="Z584">
        <f t="shared" si="124"/>
        <v>3356.2</v>
      </c>
      <c r="AA584">
        <v>2205.7199999999998</v>
      </c>
      <c r="AB584">
        <v>1150.48</v>
      </c>
      <c r="AC584">
        <f t="shared" si="125"/>
        <v>2684.96</v>
      </c>
      <c r="AD584" s="6">
        <f t="shared" si="126"/>
        <v>0.8</v>
      </c>
      <c r="AE584" t="s">
        <v>111</v>
      </c>
      <c r="AF584" t="s">
        <v>103</v>
      </c>
      <c r="AG584">
        <f t="shared" si="127"/>
        <v>10</v>
      </c>
      <c r="AH584">
        <f t="shared" si="128"/>
        <v>2024</v>
      </c>
      <c r="AI584" t="str">
        <f t="shared" si="129"/>
        <v>CLEAN</v>
      </c>
    </row>
    <row r="585" spans="1:35">
      <c r="A585" t="s">
        <v>1841</v>
      </c>
      <c r="B585">
        <f t="shared" si="117"/>
        <v>1</v>
      </c>
      <c r="C585" t="str">
        <f>IF(COUNTIF($A$2:A585, A585)&gt;1, "DUPLICATE_FLAGGED_FOR_REVIEW", "")</f>
        <v/>
      </c>
      <c r="D585" s="3">
        <v>45350</v>
      </c>
      <c r="E585" s="2">
        <v>45350</v>
      </c>
      <c r="F585" s="2" t="str">
        <f t="shared" si="118"/>
        <v>OK</v>
      </c>
      <c r="G585" s="4">
        <f t="shared" si="119"/>
        <v>0</v>
      </c>
      <c r="H585" t="s">
        <v>1842</v>
      </c>
      <c r="I585" t="s">
        <v>141</v>
      </c>
      <c r="J585" t="s">
        <v>37</v>
      </c>
      <c r="K585" t="s">
        <v>38</v>
      </c>
      <c r="L585" t="str">
        <f t="shared" si="120"/>
        <v>East</v>
      </c>
      <c r="M585" t="s">
        <v>99</v>
      </c>
      <c r="N585" t="s">
        <v>100</v>
      </c>
      <c r="O585" t="s">
        <v>28</v>
      </c>
      <c r="P585" t="s">
        <v>124</v>
      </c>
      <c r="Q585" t="s">
        <v>1843</v>
      </c>
      <c r="R585" t="s">
        <v>50</v>
      </c>
      <c r="S585" t="str">
        <f t="shared" si="121"/>
        <v>First Class</v>
      </c>
      <c r="T585">
        <v>1</v>
      </c>
      <c r="U585">
        <v>2626.84</v>
      </c>
      <c r="V585">
        <v>0.2</v>
      </c>
      <c r="W585">
        <f t="shared" si="122"/>
        <v>0.2</v>
      </c>
      <c r="X585" t="str">
        <f t="shared" si="123"/>
        <v/>
      </c>
      <c r="Y585">
        <v>2101.4699999999998</v>
      </c>
      <c r="Z585">
        <f t="shared" si="124"/>
        <v>2101.4720000000002</v>
      </c>
      <c r="AA585">
        <v>1217.83</v>
      </c>
      <c r="AB585">
        <v>883.64</v>
      </c>
      <c r="AC585">
        <f t="shared" si="125"/>
        <v>-525.36799999999994</v>
      </c>
      <c r="AD585" s="6">
        <f t="shared" si="126"/>
        <v>-0.24999999999999994</v>
      </c>
      <c r="AE585" t="s">
        <v>155</v>
      </c>
      <c r="AF585" t="s">
        <v>103</v>
      </c>
      <c r="AG585">
        <f t="shared" si="127"/>
        <v>2</v>
      </c>
      <c r="AH585">
        <f t="shared" si="128"/>
        <v>2024</v>
      </c>
      <c r="AI585" t="str">
        <f t="shared" si="129"/>
        <v>CLEAN</v>
      </c>
    </row>
    <row r="586" spans="1:35">
      <c r="A586" t="s">
        <v>1844</v>
      </c>
      <c r="B586">
        <f t="shared" si="117"/>
        <v>1</v>
      </c>
      <c r="C586" t="str">
        <f>IF(COUNTIF($A$2:A586, A586)&gt;1, "DUPLICATE_FLAGGED_FOR_REVIEW", "")</f>
        <v/>
      </c>
      <c r="D586" s="3">
        <v>45390</v>
      </c>
      <c r="E586" s="2">
        <v>45514</v>
      </c>
      <c r="F586" s="2" t="str">
        <f t="shared" si="118"/>
        <v>OK</v>
      </c>
      <c r="G586" s="4">
        <f t="shared" si="119"/>
        <v>124</v>
      </c>
      <c r="H586" t="s">
        <v>1845</v>
      </c>
      <c r="I586" t="s">
        <v>71</v>
      </c>
      <c r="J586" t="s">
        <v>24</v>
      </c>
      <c r="K586" t="s">
        <v>38</v>
      </c>
      <c r="L586" t="str">
        <f t="shared" si="120"/>
        <v>East</v>
      </c>
      <c r="M586" t="s">
        <v>145</v>
      </c>
      <c r="N586" t="s">
        <v>146</v>
      </c>
      <c r="O586" t="s">
        <v>28</v>
      </c>
      <c r="P586" t="s">
        <v>48</v>
      </c>
      <c r="Q586" t="s">
        <v>1846</v>
      </c>
      <c r="R586" t="s">
        <v>44</v>
      </c>
      <c r="S586" t="str">
        <f t="shared" si="121"/>
        <v>Same Day</v>
      </c>
      <c r="T586">
        <v>1</v>
      </c>
      <c r="U586">
        <v>984.93</v>
      </c>
      <c r="V586">
        <v>0.15</v>
      </c>
      <c r="W586">
        <f t="shared" si="122"/>
        <v>0.15</v>
      </c>
      <c r="X586" t="str">
        <f t="shared" si="123"/>
        <v/>
      </c>
      <c r="Y586">
        <v>837.19</v>
      </c>
      <c r="Z586">
        <f t="shared" si="124"/>
        <v>837.19049999999993</v>
      </c>
      <c r="AA586">
        <v>583.79</v>
      </c>
      <c r="AB586">
        <v>253.4</v>
      </c>
      <c r="AC586">
        <f t="shared" si="125"/>
        <v>-147.73950000000002</v>
      </c>
      <c r="AD586" s="6">
        <f t="shared" si="126"/>
        <v>-0.17647058823529416</v>
      </c>
      <c r="AE586" t="s">
        <v>111</v>
      </c>
      <c r="AF586" t="s">
        <v>103</v>
      </c>
      <c r="AG586">
        <f t="shared" si="127"/>
        <v>4</v>
      </c>
      <c r="AH586">
        <f t="shared" si="128"/>
        <v>2024</v>
      </c>
      <c r="AI586" t="str">
        <f t="shared" si="129"/>
        <v>CLEAN</v>
      </c>
    </row>
    <row r="587" spans="1:35">
      <c r="A587" t="s">
        <v>1847</v>
      </c>
      <c r="B587">
        <f t="shared" si="117"/>
        <v>1</v>
      </c>
      <c r="C587" t="str">
        <f>IF(COUNTIF($A$2:A587, A587)&gt;1, "DUPLICATE_FLAGGED_FOR_REVIEW", "")</f>
        <v/>
      </c>
      <c r="D587" s="3">
        <v>45830</v>
      </c>
      <c r="E587" s="2">
        <v>45833</v>
      </c>
      <c r="F587" s="2" t="str">
        <f t="shared" si="118"/>
        <v>OK</v>
      </c>
      <c r="G587" s="4">
        <f t="shared" si="119"/>
        <v>3</v>
      </c>
      <c r="H587" t="s">
        <v>1848</v>
      </c>
      <c r="I587" t="s">
        <v>162</v>
      </c>
      <c r="J587" t="s">
        <v>37</v>
      </c>
      <c r="K587" t="s">
        <v>63</v>
      </c>
      <c r="L587" t="str">
        <f t="shared" si="120"/>
        <v>West</v>
      </c>
      <c r="M587" t="s">
        <v>64</v>
      </c>
      <c r="N587" t="s">
        <v>65</v>
      </c>
      <c r="O587" t="s">
        <v>74</v>
      </c>
      <c r="P587" t="s">
        <v>171</v>
      </c>
      <c r="Q587" t="s">
        <v>1849</v>
      </c>
      <c r="R587" t="s">
        <v>50</v>
      </c>
      <c r="S587" t="str">
        <f t="shared" si="121"/>
        <v>First Class</v>
      </c>
      <c r="T587">
        <v>8</v>
      </c>
      <c r="U587">
        <v>3453.66</v>
      </c>
      <c r="V587">
        <v>0</v>
      </c>
      <c r="W587">
        <f t="shared" si="122"/>
        <v>0</v>
      </c>
      <c r="X587" t="str">
        <f t="shared" si="123"/>
        <v/>
      </c>
      <c r="Y587">
        <v>27629.279999999999</v>
      </c>
      <c r="Z587">
        <f t="shared" si="124"/>
        <v>27629.279999999999</v>
      </c>
      <c r="AA587">
        <v>22026.48</v>
      </c>
      <c r="AB587">
        <v>5602.8</v>
      </c>
      <c r="AC587">
        <f t="shared" si="125"/>
        <v>24175.62</v>
      </c>
      <c r="AD587" s="6">
        <f t="shared" si="126"/>
        <v>0.875</v>
      </c>
      <c r="AE587" t="s">
        <v>32</v>
      </c>
      <c r="AF587" t="s">
        <v>33</v>
      </c>
      <c r="AG587">
        <f t="shared" si="127"/>
        <v>6</v>
      </c>
      <c r="AH587">
        <f t="shared" si="128"/>
        <v>2025</v>
      </c>
      <c r="AI587" t="str">
        <f t="shared" si="129"/>
        <v>CLEAN</v>
      </c>
    </row>
    <row r="588" spans="1:35">
      <c r="A588" t="s">
        <v>1850</v>
      </c>
      <c r="B588">
        <f t="shared" si="117"/>
        <v>1</v>
      </c>
      <c r="C588" t="str">
        <f>IF(COUNTIF($A$2:A588, A588)&gt;1, "DUPLICATE_FLAGGED_FOR_REVIEW", "")</f>
        <v/>
      </c>
      <c r="D588" s="3">
        <v>45759</v>
      </c>
      <c r="E588" s="2">
        <v>45759</v>
      </c>
      <c r="F588" s="2" t="str">
        <f t="shared" si="118"/>
        <v>OK</v>
      </c>
      <c r="G588" s="4">
        <f t="shared" si="119"/>
        <v>0</v>
      </c>
      <c r="H588" t="s">
        <v>1851</v>
      </c>
      <c r="I588" t="s">
        <v>36</v>
      </c>
      <c r="J588" t="s">
        <v>95</v>
      </c>
      <c r="K588" t="s">
        <v>25</v>
      </c>
      <c r="L588" t="str">
        <f t="shared" si="120"/>
        <v>North</v>
      </c>
      <c r="M588" t="s">
        <v>122</v>
      </c>
      <c r="N588" t="s">
        <v>123</v>
      </c>
      <c r="O588" t="s">
        <v>28</v>
      </c>
      <c r="P588" t="s">
        <v>153</v>
      </c>
      <c r="Q588" t="s">
        <v>1852</v>
      </c>
      <c r="R588" t="s">
        <v>31</v>
      </c>
      <c r="S588" t="str">
        <f t="shared" si="121"/>
        <v>Second Class</v>
      </c>
      <c r="T588">
        <v>7</v>
      </c>
      <c r="U588">
        <v>1334.2</v>
      </c>
      <c r="V588">
        <v>0.2</v>
      </c>
      <c r="W588">
        <f t="shared" si="122"/>
        <v>0.2</v>
      </c>
      <c r="X588" t="str">
        <f t="shared" si="123"/>
        <v/>
      </c>
      <c r="Y588">
        <v>7471.52</v>
      </c>
      <c r="Z588">
        <f t="shared" si="124"/>
        <v>7471.52</v>
      </c>
      <c r="AA588">
        <v>6184.32</v>
      </c>
      <c r="AB588">
        <v>1287.2</v>
      </c>
      <c r="AC588">
        <f t="shared" si="125"/>
        <v>6137.3200000000006</v>
      </c>
      <c r="AD588" s="6">
        <f t="shared" si="126"/>
        <v>0.82142857142857151</v>
      </c>
      <c r="AE588" t="s">
        <v>32</v>
      </c>
      <c r="AF588" t="s">
        <v>33</v>
      </c>
      <c r="AG588">
        <f t="shared" si="127"/>
        <v>4</v>
      </c>
      <c r="AH588">
        <f t="shared" si="128"/>
        <v>2025</v>
      </c>
      <c r="AI588" t="str">
        <f t="shared" si="129"/>
        <v>CLEAN</v>
      </c>
    </row>
    <row r="589" spans="1:35">
      <c r="A589" t="s">
        <v>1853</v>
      </c>
      <c r="B589">
        <f t="shared" si="117"/>
        <v>1</v>
      </c>
      <c r="C589" t="str">
        <f>IF(COUNTIF($A$2:A589, A589)&gt;1, "DUPLICATE_FLAGGED_FOR_REVIEW", "")</f>
        <v/>
      </c>
      <c r="D589" s="3">
        <v>45861</v>
      </c>
      <c r="E589" s="2">
        <v>45869</v>
      </c>
      <c r="F589" s="2" t="str">
        <f t="shared" si="118"/>
        <v>OK</v>
      </c>
      <c r="G589" s="4">
        <f t="shared" si="119"/>
        <v>8</v>
      </c>
      <c r="H589" t="s">
        <v>1854</v>
      </c>
      <c r="I589" t="s">
        <v>264</v>
      </c>
      <c r="J589" t="s">
        <v>95</v>
      </c>
      <c r="K589" t="s">
        <v>63</v>
      </c>
      <c r="L589" t="str">
        <f t="shared" si="120"/>
        <v>West</v>
      </c>
      <c r="M589" t="s">
        <v>72</v>
      </c>
      <c r="N589" t="s">
        <v>73</v>
      </c>
      <c r="O589" t="s">
        <v>74</v>
      </c>
      <c r="P589" t="s">
        <v>75</v>
      </c>
      <c r="Q589" t="s">
        <v>1855</v>
      </c>
      <c r="R589" t="s">
        <v>50</v>
      </c>
      <c r="S589" t="str">
        <f t="shared" si="121"/>
        <v>First Class</v>
      </c>
      <c r="T589">
        <v>1</v>
      </c>
      <c r="U589">
        <v>4253.84</v>
      </c>
      <c r="V589">
        <v>0.15</v>
      </c>
      <c r="W589">
        <f t="shared" si="122"/>
        <v>0.15</v>
      </c>
      <c r="X589" t="str">
        <f t="shared" si="123"/>
        <v/>
      </c>
      <c r="Y589">
        <v>3615.76</v>
      </c>
      <c r="Z589">
        <f t="shared" si="124"/>
        <v>3615.7640000000001</v>
      </c>
      <c r="AA589">
        <v>2951.52</v>
      </c>
      <c r="AB589">
        <v>664.24</v>
      </c>
      <c r="AC589">
        <f t="shared" si="125"/>
        <v>-638.07600000000002</v>
      </c>
      <c r="AD589" s="6">
        <f t="shared" si="126"/>
        <v>-0.17647058823529413</v>
      </c>
      <c r="AE589" t="s">
        <v>102</v>
      </c>
      <c r="AF589" t="s">
        <v>68</v>
      </c>
      <c r="AG589">
        <f t="shared" si="127"/>
        <v>7</v>
      </c>
      <c r="AH589">
        <f t="shared" si="128"/>
        <v>2025</v>
      </c>
      <c r="AI589" t="str">
        <f t="shared" si="129"/>
        <v>CLEAN</v>
      </c>
    </row>
    <row r="590" spans="1:35">
      <c r="A590" t="s">
        <v>1856</v>
      </c>
      <c r="B590">
        <f t="shared" si="117"/>
        <v>1</v>
      </c>
      <c r="C590" t="str">
        <f>IF(COUNTIF($A$2:A590, A590)&gt;1, "DUPLICATE_FLAGGED_FOR_REVIEW", "")</f>
        <v/>
      </c>
      <c r="D590" s="3">
        <v>45727</v>
      </c>
      <c r="E590" s="2">
        <v>45731</v>
      </c>
      <c r="F590" s="2" t="str">
        <f t="shared" si="118"/>
        <v>OK</v>
      </c>
      <c r="G590" s="4">
        <f t="shared" si="119"/>
        <v>4</v>
      </c>
      <c r="H590" t="s">
        <v>1857</v>
      </c>
      <c r="I590" t="s">
        <v>128</v>
      </c>
      <c r="J590" t="s">
        <v>95</v>
      </c>
      <c r="K590" t="s">
        <v>54</v>
      </c>
      <c r="L590" t="str">
        <f t="shared" si="120"/>
        <v>South</v>
      </c>
      <c r="M590" t="s">
        <v>175</v>
      </c>
      <c r="N590" t="s">
        <v>176</v>
      </c>
      <c r="O590" t="s">
        <v>74</v>
      </c>
      <c r="P590" t="s">
        <v>75</v>
      </c>
      <c r="Q590" t="s">
        <v>1858</v>
      </c>
      <c r="R590" t="s">
        <v>31</v>
      </c>
      <c r="S590" t="str">
        <f t="shared" si="121"/>
        <v>Second Class</v>
      </c>
      <c r="T590">
        <v>8</v>
      </c>
      <c r="U590">
        <v>4446.3599999999997</v>
      </c>
      <c r="V590">
        <v>0.1</v>
      </c>
      <c r="W590">
        <f t="shared" si="122"/>
        <v>0.1</v>
      </c>
      <c r="X590" t="str">
        <f t="shared" si="123"/>
        <v/>
      </c>
      <c r="Y590">
        <v>32013.79</v>
      </c>
      <c r="Z590">
        <f t="shared" si="124"/>
        <v>32013.791999999998</v>
      </c>
      <c r="AA590">
        <v>20896.88</v>
      </c>
      <c r="AB590">
        <v>11116.91</v>
      </c>
      <c r="AC590">
        <f t="shared" si="125"/>
        <v>27567.431999999997</v>
      </c>
      <c r="AD590" s="6">
        <f t="shared" si="126"/>
        <v>0.86111111111111105</v>
      </c>
      <c r="AE590" t="s">
        <v>102</v>
      </c>
      <c r="AF590" t="s">
        <v>68</v>
      </c>
      <c r="AG590">
        <f t="shared" si="127"/>
        <v>3</v>
      </c>
      <c r="AH590">
        <f t="shared" si="128"/>
        <v>2025</v>
      </c>
      <c r="AI590" t="str">
        <f t="shared" si="129"/>
        <v>CLEAN</v>
      </c>
    </row>
    <row r="591" spans="1:35">
      <c r="A591" t="s">
        <v>1859</v>
      </c>
      <c r="B591">
        <f t="shared" si="117"/>
        <v>1</v>
      </c>
      <c r="C591" t="str">
        <f>IF(COUNTIF($A$2:A591, A591)&gt;1, "DUPLICATE_FLAGGED_FOR_REVIEW", "")</f>
        <v/>
      </c>
      <c r="D591" s="3">
        <v>45632</v>
      </c>
      <c r="E591" s="2">
        <v>45638</v>
      </c>
      <c r="F591" s="2" t="str">
        <f t="shared" si="118"/>
        <v>OK</v>
      </c>
      <c r="G591" s="4">
        <f t="shared" si="119"/>
        <v>6</v>
      </c>
      <c r="H591" t="s">
        <v>1860</v>
      </c>
      <c r="I591" t="s">
        <v>141</v>
      </c>
      <c r="J591" t="s">
        <v>90</v>
      </c>
      <c r="K591" t="s">
        <v>25</v>
      </c>
      <c r="L591" t="str">
        <f t="shared" si="120"/>
        <v>North</v>
      </c>
      <c r="M591" t="s">
        <v>136</v>
      </c>
      <c r="N591" t="s">
        <v>137</v>
      </c>
      <c r="O591" t="s">
        <v>74</v>
      </c>
      <c r="P591" t="s">
        <v>171</v>
      </c>
      <c r="Q591" t="s">
        <v>1861</v>
      </c>
      <c r="R591" t="s">
        <v>50</v>
      </c>
      <c r="S591" t="str">
        <f t="shared" si="121"/>
        <v>First Class</v>
      </c>
      <c r="T591">
        <v>3</v>
      </c>
      <c r="U591">
        <v>524.75</v>
      </c>
      <c r="V591">
        <v>0</v>
      </c>
      <c r="W591">
        <f t="shared" si="122"/>
        <v>0</v>
      </c>
      <c r="X591" t="str">
        <f t="shared" si="123"/>
        <v/>
      </c>
      <c r="Y591">
        <v>1574.25</v>
      </c>
      <c r="Z591">
        <f t="shared" si="124"/>
        <v>1574.25</v>
      </c>
      <c r="AA591">
        <v>1326.12</v>
      </c>
      <c r="AB591">
        <v>248.13</v>
      </c>
      <c r="AC591">
        <f t="shared" si="125"/>
        <v>1049.5</v>
      </c>
      <c r="AD591" s="6">
        <f t="shared" si="126"/>
        <v>0.66666666666666663</v>
      </c>
      <c r="AE591" t="s">
        <v>32</v>
      </c>
      <c r="AF591" t="s">
        <v>33</v>
      </c>
      <c r="AG591">
        <f t="shared" si="127"/>
        <v>12</v>
      </c>
      <c r="AH591">
        <f t="shared" si="128"/>
        <v>2024</v>
      </c>
      <c r="AI591" t="str">
        <f t="shared" si="129"/>
        <v>CLEAN</v>
      </c>
    </row>
    <row r="592" spans="1:35">
      <c r="A592" t="s">
        <v>1862</v>
      </c>
      <c r="B592">
        <f t="shared" si="117"/>
        <v>1</v>
      </c>
      <c r="C592" t="str">
        <f>IF(COUNTIF($A$2:A592, A592)&gt;1, "DUPLICATE_FLAGGED_FOR_REVIEW", "")</f>
        <v/>
      </c>
      <c r="D592" s="3">
        <v>45441</v>
      </c>
      <c r="E592" s="2">
        <v>45441</v>
      </c>
      <c r="F592" s="2" t="str">
        <f t="shared" si="118"/>
        <v>OK</v>
      </c>
      <c r="G592" s="4">
        <f t="shared" si="119"/>
        <v>0</v>
      </c>
      <c r="H592" t="s">
        <v>1863</v>
      </c>
      <c r="I592" t="s">
        <v>128</v>
      </c>
      <c r="J592" t="s">
        <v>95</v>
      </c>
      <c r="K592" t="s">
        <v>25</v>
      </c>
      <c r="L592" t="str">
        <f t="shared" si="120"/>
        <v>North</v>
      </c>
      <c r="M592" t="s">
        <v>350</v>
      </c>
      <c r="N592" t="s">
        <v>351</v>
      </c>
      <c r="O592" t="s">
        <v>41</v>
      </c>
      <c r="P592" t="s">
        <v>66</v>
      </c>
      <c r="Q592" t="s">
        <v>1864</v>
      </c>
      <c r="R592" t="s">
        <v>44</v>
      </c>
      <c r="S592" t="str">
        <f t="shared" si="121"/>
        <v>Same Day</v>
      </c>
      <c r="T592">
        <v>6</v>
      </c>
      <c r="U592">
        <v>3430.35</v>
      </c>
      <c r="V592">
        <v>0</v>
      </c>
      <c r="W592">
        <f t="shared" si="122"/>
        <v>0</v>
      </c>
      <c r="X592" t="str">
        <f t="shared" si="123"/>
        <v/>
      </c>
      <c r="Y592">
        <v>20582.099999999999</v>
      </c>
      <c r="Z592">
        <f t="shared" si="124"/>
        <v>20582.099999999999</v>
      </c>
      <c r="AA592">
        <v>15897.65</v>
      </c>
      <c r="AB592">
        <v>4684.45</v>
      </c>
      <c r="AC592">
        <f t="shared" si="125"/>
        <v>17151.75</v>
      </c>
      <c r="AD592" s="6">
        <f t="shared" si="126"/>
        <v>0.83333333333333337</v>
      </c>
      <c r="AE592" t="s">
        <v>111</v>
      </c>
      <c r="AF592" t="s">
        <v>68</v>
      </c>
      <c r="AG592">
        <f t="shared" si="127"/>
        <v>5</v>
      </c>
      <c r="AH592">
        <f t="shared" si="128"/>
        <v>2024</v>
      </c>
      <c r="AI592" t="str">
        <f t="shared" si="129"/>
        <v>CLEAN</v>
      </c>
    </row>
    <row r="593" spans="1:35">
      <c r="A593" t="s">
        <v>1865</v>
      </c>
      <c r="B593">
        <f t="shared" si="117"/>
        <v>1</v>
      </c>
      <c r="C593" t="str">
        <f>IF(COUNTIF($A$2:A593, A593)&gt;1, "DUPLICATE_FLAGGED_FOR_REVIEW", "")</f>
        <v/>
      </c>
      <c r="D593" s="3">
        <v>45344</v>
      </c>
      <c r="E593" s="2">
        <v>45346</v>
      </c>
      <c r="F593" s="2" t="str">
        <f t="shared" si="118"/>
        <v>OK</v>
      </c>
      <c r="G593" s="4">
        <f t="shared" si="119"/>
        <v>2</v>
      </c>
      <c r="H593" t="s">
        <v>1866</v>
      </c>
      <c r="I593" t="s">
        <v>132</v>
      </c>
      <c r="J593" t="s">
        <v>24</v>
      </c>
      <c r="K593" t="s">
        <v>54</v>
      </c>
      <c r="L593" t="str">
        <f t="shared" si="120"/>
        <v>South</v>
      </c>
      <c r="M593" t="s">
        <v>175</v>
      </c>
      <c r="N593" t="s">
        <v>176</v>
      </c>
      <c r="O593" t="s">
        <v>74</v>
      </c>
      <c r="P593" t="s">
        <v>80</v>
      </c>
      <c r="Q593" t="s">
        <v>1867</v>
      </c>
      <c r="R593" t="s">
        <v>50</v>
      </c>
      <c r="S593" t="str">
        <f t="shared" si="121"/>
        <v>First Class</v>
      </c>
      <c r="T593">
        <v>3</v>
      </c>
      <c r="U593">
        <v>3545.08</v>
      </c>
      <c r="V593">
        <v>0</v>
      </c>
      <c r="W593">
        <f t="shared" si="122"/>
        <v>0</v>
      </c>
      <c r="X593" t="str">
        <f t="shared" si="123"/>
        <v/>
      </c>
      <c r="Y593">
        <v>10635.24</v>
      </c>
      <c r="Z593">
        <f t="shared" si="124"/>
        <v>10635.24</v>
      </c>
      <c r="AA593">
        <v>6031.88</v>
      </c>
      <c r="AB593">
        <v>4603.3599999999997</v>
      </c>
      <c r="AC593">
        <f t="shared" si="125"/>
        <v>7090.16</v>
      </c>
      <c r="AD593" s="6">
        <f t="shared" si="126"/>
        <v>0.66666666666666663</v>
      </c>
      <c r="AE593" t="s">
        <v>155</v>
      </c>
      <c r="AF593" t="s">
        <v>103</v>
      </c>
      <c r="AG593">
        <f t="shared" si="127"/>
        <v>2</v>
      </c>
      <c r="AH593">
        <f t="shared" si="128"/>
        <v>2024</v>
      </c>
      <c r="AI593" t="str">
        <f t="shared" si="129"/>
        <v>CLEAN</v>
      </c>
    </row>
    <row r="594" spans="1:35">
      <c r="A594" t="s">
        <v>1868</v>
      </c>
      <c r="B594">
        <f t="shared" si="117"/>
        <v>1</v>
      </c>
      <c r="C594" t="str">
        <f>IF(COUNTIF($A$2:A594, A594)&gt;1, "DUPLICATE_FLAGGED_FOR_REVIEW", "")</f>
        <v/>
      </c>
      <c r="D594" s="3">
        <v>45355</v>
      </c>
      <c r="E594" s="2">
        <v>45360</v>
      </c>
      <c r="F594" s="2" t="str">
        <f t="shared" si="118"/>
        <v>OK</v>
      </c>
      <c r="G594" s="4">
        <f t="shared" si="119"/>
        <v>5</v>
      </c>
      <c r="H594" t="s">
        <v>1869</v>
      </c>
      <c r="I594" t="s">
        <v>36</v>
      </c>
      <c r="J594" t="s">
        <v>24</v>
      </c>
      <c r="K594" t="s">
        <v>38</v>
      </c>
      <c r="L594" t="str">
        <f t="shared" si="120"/>
        <v>East</v>
      </c>
      <c r="M594" t="s">
        <v>99</v>
      </c>
      <c r="N594" t="s">
        <v>100</v>
      </c>
      <c r="O594" t="s">
        <v>74</v>
      </c>
      <c r="P594" t="s">
        <v>75</v>
      </c>
      <c r="Q594" t="s">
        <v>1870</v>
      </c>
      <c r="R594" t="s">
        <v>44</v>
      </c>
      <c r="S594" t="str">
        <f t="shared" si="121"/>
        <v>Same Day</v>
      </c>
      <c r="T594">
        <v>8</v>
      </c>
      <c r="U594">
        <v>4401.41</v>
      </c>
      <c r="V594">
        <v>0.15</v>
      </c>
      <c r="W594">
        <f t="shared" si="122"/>
        <v>0.15</v>
      </c>
      <c r="X594" t="str">
        <f t="shared" si="123"/>
        <v/>
      </c>
      <c r="Y594">
        <v>29929.59</v>
      </c>
      <c r="Z594">
        <f t="shared" si="124"/>
        <v>29929.588</v>
      </c>
      <c r="AA594">
        <v>22436.03</v>
      </c>
      <c r="AB594">
        <v>7493.56</v>
      </c>
      <c r="AC594">
        <f t="shared" si="125"/>
        <v>25528.178</v>
      </c>
      <c r="AD594" s="6">
        <f t="shared" si="126"/>
        <v>0.8529411764705882</v>
      </c>
      <c r="AE594" t="s">
        <v>32</v>
      </c>
      <c r="AF594" t="s">
        <v>33</v>
      </c>
      <c r="AG594">
        <f t="shared" si="127"/>
        <v>3</v>
      </c>
      <c r="AH594">
        <f t="shared" si="128"/>
        <v>2024</v>
      </c>
      <c r="AI594" t="str">
        <f t="shared" si="129"/>
        <v>CLEAN</v>
      </c>
    </row>
    <row r="595" spans="1:35">
      <c r="A595" t="s">
        <v>1871</v>
      </c>
      <c r="B595">
        <f t="shared" si="117"/>
        <v>1</v>
      </c>
      <c r="C595" t="str">
        <f>IF(COUNTIF($A$2:A595, A595)&gt;1, "DUPLICATE_FLAGGED_FOR_REVIEW", "")</f>
        <v/>
      </c>
      <c r="D595" s="3">
        <v>45927</v>
      </c>
      <c r="E595" s="2">
        <v>45929</v>
      </c>
      <c r="F595" s="2" t="str">
        <f t="shared" si="118"/>
        <v>OK</v>
      </c>
      <c r="G595" s="4">
        <f t="shared" si="119"/>
        <v>2</v>
      </c>
      <c r="H595" t="s">
        <v>1663</v>
      </c>
      <c r="I595" t="s">
        <v>53</v>
      </c>
      <c r="J595" t="s">
        <v>95</v>
      </c>
      <c r="K595" t="s">
        <v>25</v>
      </c>
      <c r="L595" t="str">
        <f t="shared" si="120"/>
        <v>North</v>
      </c>
      <c r="M595" t="s">
        <v>136</v>
      </c>
      <c r="N595" t="s">
        <v>137</v>
      </c>
      <c r="O595" t="s">
        <v>41</v>
      </c>
      <c r="P595" t="s">
        <v>42</v>
      </c>
      <c r="Q595" t="s">
        <v>1872</v>
      </c>
      <c r="R595" t="s">
        <v>31</v>
      </c>
      <c r="S595" t="str">
        <f t="shared" si="121"/>
        <v>Second Class</v>
      </c>
      <c r="T595">
        <v>9</v>
      </c>
      <c r="U595">
        <v>4100.1099999999997</v>
      </c>
      <c r="V595">
        <v>0.25</v>
      </c>
      <c r="W595">
        <f t="shared" si="122"/>
        <v>0.25</v>
      </c>
      <c r="X595" t="str">
        <f t="shared" si="123"/>
        <v/>
      </c>
      <c r="Y595">
        <v>27675.74</v>
      </c>
      <c r="Z595">
        <f t="shared" si="124"/>
        <v>27675.7425</v>
      </c>
      <c r="AA595">
        <v>15571.08</v>
      </c>
      <c r="AB595">
        <v>12104.66</v>
      </c>
      <c r="AC595">
        <f t="shared" si="125"/>
        <v>23575.6325</v>
      </c>
      <c r="AD595" s="6">
        <f t="shared" si="126"/>
        <v>0.85185185185185186</v>
      </c>
      <c r="AE595" t="s">
        <v>32</v>
      </c>
      <c r="AF595" t="s">
        <v>33</v>
      </c>
      <c r="AG595">
        <f t="shared" si="127"/>
        <v>9</v>
      </c>
      <c r="AH595">
        <f t="shared" si="128"/>
        <v>2025</v>
      </c>
      <c r="AI595" t="str">
        <f t="shared" si="129"/>
        <v>CLEAN</v>
      </c>
    </row>
    <row r="596" spans="1:35">
      <c r="A596" t="s">
        <v>1873</v>
      </c>
      <c r="B596">
        <f t="shared" si="117"/>
        <v>1</v>
      </c>
      <c r="C596" t="str">
        <f>IF(COUNTIF($A$2:A596, A596)&gt;1, "DUPLICATE_FLAGGED_FOR_REVIEW", "")</f>
        <v/>
      </c>
      <c r="D596" s="3">
        <v>45554</v>
      </c>
      <c r="E596" s="2">
        <v>45556</v>
      </c>
      <c r="F596" s="2" t="str">
        <f t="shared" si="118"/>
        <v>OK</v>
      </c>
      <c r="G596" s="4">
        <f t="shared" si="119"/>
        <v>2</v>
      </c>
      <c r="H596" t="s">
        <v>1874</v>
      </c>
      <c r="I596" t="s">
        <v>23</v>
      </c>
      <c r="J596" t="s">
        <v>37</v>
      </c>
      <c r="K596" t="s">
        <v>38</v>
      </c>
      <c r="L596" t="str">
        <f t="shared" si="120"/>
        <v>East</v>
      </c>
      <c r="M596" t="s">
        <v>99</v>
      </c>
      <c r="N596" t="s">
        <v>100</v>
      </c>
      <c r="O596" t="s">
        <v>41</v>
      </c>
      <c r="P596" t="s">
        <v>66</v>
      </c>
      <c r="Q596" t="s">
        <v>1875</v>
      </c>
      <c r="R596" t="s">
        <v>50</v>
      </c>
      <c r="S596" t="str">
        <f t="shared" si="121"/>
        <v>First Class</v>
      </c>
      <c r="T596">
        <v>3</v>
      </c>
      <c r="U596">
        <v>3981.76</v>
      </c>
      <c r="V596">
        <v>0</v>
      </c>
      <c r="W596">
        <f t="shared" si="122"/>
        <v>0</v>
      </c>
      <c r="X596" t="str">
        <f t="shared" si="123"/>
        <v/>
      </c>
      <c r="Y596">
        <v>11945.28</v>
      </c>
      <c r="Z596">
        <f t="shared" si="124"/>
        <v>11945.28</v>
      </c>
      <c r="AA596">
        <v>9700.31</v>
      </c>
      <c r="AB596">
        <v>2244.9699999999998</v>
      </c>
      <c r="AC596">
        <f t="shared" si="125"/>
        <v>7963.52</v>
      </c>
      <c r="AD596" s="6">
        <f t="shared" si="126"/>
        <v>0.66666666666666663</v>
      </c>
      <c r="AE596" t="s">
        <v>32</v>
      </c>
      <c r="AF596" t="s">
        <v>33</v>
      </c>
      <c r="AG596">
        <f t="shared" si="127"/>
        <v>9</v>
      </c>
      <c r="AH596">
        <f t="shared" si="128"/>
        <v>2024</v>
      </c>
      <c r="AI596" t="str">
        <f t="shared" si="129"/>
        <v>CLEAN</v>
      </c>
    </row>
    <row r="597" spans="1:35">
      <c r="A597" t="s">
        <v>1876</v>
      </c>
      <c r="B597">
        <f t="shared" si="117"/>
        <v>1</v>
      </c>
      <c r="C597" t="str">
        <f>IF(COUNTIF($A$2:A597, A597)&gt;1, "DUPLICATE_FLAGGED_FOR_REVIEW", "")</f>
        <v/>
      </c>
      <c r="D597" s="3">
        <v>45963</v>
      </c>
      <c r="E597" s="2">
        <v>45704</v>
      </c>
      <c r="F597" s="2" t="str">
        <f t="shared" si="118"/>
        <v>ERROR: Ship before order</v>
      </c>
      <c r="G597" s="4">
        <f t="shared" si="119"/>
        <v>-259</v>
      </c>
      <c r="H597" t="s">
        <v>1877</v>
      </c>
      <c r="I597" t="s">
        <v>36</v>
      </c>
      <c r="J597" t="s">
        <v>90</v>
      </c>
      <c r="K597" t="s">
        <v>25</v>
      </c>
      <c r="L597" t="str">
        <f t="shared" si="120"/>
        <v>North</v>
      </c>
      <c r="M597" t="s">
        <v>136</v>
      </c>
      <c r="N597" t="s">
        <v>137</v>
      </c>
      <c r="O597" t="s">
        <v>74</v>
      </c>
      <c r="P597" t="s">
        <v>171</v>
      </c>
      <c r="Q597" t="s">
        <v>1878</v>
      </c>
      <c r="R597" t="s">
        <v>50</v>
      </c>
      <c r="S597" t="str">
        <f t="shared" si="121"/>
        <v>First Class</v>
      </c>
      <c r="T597">
        <v>8</v>
      </c>
      <c r="U597">
        <v>1825.56</v>
      </c>
      <c r="V597">
        <v>0.1</v>
      </c>
      <c r="W597">
        <f t="shared" si="122"/>
        <v>0.1</v>
      </c>
      <c r="X597" t="str">
        <f t="shared" si="123"/>
        <v/>
      </c>
      <c r="Y597">
        <v>13144.03</v>
      </c>
      <c r="Z597">
        <f t="shared" si="124"/>
        <v>13144.031999999999</v>
      </c>
      <c r="AA597">
        <v>9764</v>
      </c>
      <c r="AB597">
        <v>3380.03</v>
      </c>
      <c r="AC597">
        <f t="shared" si="125"/>
        <v>11318.472</v>
      </c>
      <c r="AD597" s="6">
        <f t="shared" si="126"/>
        <v>0.86111111111111116</v>
      </c>
      <c r="AE597" t="s">
        <v>32</v>
      </c>
      <c r="AF597" t="s">
        <v>33</v>
      </c>
      <c r="AG597">
        <f t="shared" si="127"/>
        <v>11</v>
      </c>
      <c r="AH597">
        <f t="shared" si="128"/>
        <v>2025</v>
      </c>
      <c r="AI597" t="str">
        <f t="shared" si="129"/>
        <v>INVALID</v>
      </c>
    </row>
    <row r="598" spans="1:35">
      <c r="A598" t="s">
        <v>1879</v>
      </c>
      <c r="B598">
        <f t="shared" si="117"/>
        <v>1</v>
      </c>
      <c r="C598" t="str">
        <f>IF(COUNTIF($A$2:A598, A598)&gt;1, "DUPLICATE_FLAGGED_FOR_REVIEW", "")</f>
        <v/>
      </c>
      <c r="D598" s="3">
        <v>45392</v>
      </c>
      <c r="E598" s="2">
        <v>45398</v>
      </c>
      <c r="F598" s="2" t="str">
        <f t="shared" si="118"/>
        <v>OK</v>
      </c>
      <c r="G598" s="4">
        <f t="shared" si="119"/>
        <v>6</v>
      </c>
      <c r="H598" t="s">
        <v>1880</v>
      </c>
      <c r="I598" t="s">
        <v>89</v>
      </c>
      <c r="J598" t="s">
        <v>24</v>
      </c>
      <c r="K598" t="s">
        <v>54</v>
      </c>
      <c r="L598" t="str">
        <f t="shared" si="120"/>
        <v>South</v>
      </c>
      <c r="M598" t="s">
        <v>185</v>
      </c>
      <c r="N598" t="s">
        <v>186</v>
      </c>
      <c r="O598" t="s">
        <v>41</v>
      </c>
      <c r="P598" t="s">
        <v>66</v>
      </c>
      <c r="Q598" t="s">
        <v>1881</v>
      </c>
      <c r="R598" t="s">
        <v>31</v>
      </c>
      <c r="S598" t="str">
        <f t="shared" si="121"/>
        <v>Second Class</v>
      </c>
      <c r="T598">
        <v>9</v>
      </c>
      <c r="U598">
        <v>2723.26</v>
      </c>
      <c r="V598">
        <v>0.25</v>
      </c>
      <c r="W598">
        <f t="shared" si="122"/>
        <v>0.25</v>
      </c>
      <c r="X598" t="str">
        <f t="shared" si="123"/>
        <v/>
      </c>
      <c r="Y598">
        <v>18382.009999999998</v>
      </c>
      <c r="Z598">
        <f t="shared" si="124"/>
        <v>18382.005000000005</v>
      </c>
      <c r="AA598">
        <v>13108.2</v>
      </c>
      <c r="AB598">
        <v>5273.81</v>
      </c>
      <c r="AC598">
        <f t="shared" si="125"/>
        <v>15658.745000000004</v>
      </c>
      <c r="AD598" s="6">
        <f t="shared" si="126"/>
        <v>0.85185185185185186</v>
      </c>
      <c r="AE598" t="s">
        <v>32</v>
      </c>
      <c r="AF598" t="s">
        <v>33</v>
      </c>
      <c r="AG598">
        <f t="shared" si="127"/>
        <v>4</v>
      </c>
      <c r="AH598">
        <f t="shared" si="128"/>
        <v>2024</v>
      </c>
      <c r="AI598" t="str">
        <f t="shared" si="129"/>
        <v>CLEAN</v>
      </c>
    </row>
    <row r="599" spans="1:35">
      <c r="A599" t="s">
        <v>1882</v>
      </c>
      <c r="B599">
        <f t="shared" si="117"/>
        <v>1</v>
      </c>
      <c r="C599" t="str">
        <f>IF(COUNTIF($A$2:A599, A599)&gt;1, "DUPLICATE_FLAGGED_FOR_REVIEW", "")</f>
        <v/>
      </c>
      <c r="D599" s="3">
        <v>45846</v>
      </c>
      <c r="E599" s="2">
        <v>45876</v>
      </c>
      <c r="F599" s="2" t="str">
        <f t="shared" si="118"/>
        <v>OK</v>
      </c>
      <c r="G599" s="4">
        <f t="shared" si="119"/>
        <v>30</v>
      </c>
      <c r="H599" t="s">
        <v>1883</v>
      </c>
      <c r="I599" t="s">
        <v>89</v>
      </c>
      <c r="J599" t="s">
        <v>24</v>
      </c>
      <c r="K599" t="s">
        <v>54</v>
      </c>
      <c r="L599" t="str">
        <f t="shared" si="120"/>
        <v>South</v>
      </c>
      <c r="M599" t="s">
        <v>55</v>
      </c>
      <c r="N599" t="s">
        <v>56</v>
      </c>
      <c r="O599" t="s">
        <v>74</v>
      </c>
      <c r="P599" t="s">
        <v>80</v>
      </c>
      <c r="Q599" t="s">
        <v>1884</v>
      </c>
      <c r="R599" t="s">
        <v>44</v>
      </c>
      <c r="S599" t="str">
        <f t="shared" si="121"/>
        <v>Same Day</v>
      </c>
      <c r="T599">
        <v>9</v>
      </c>
      <c r="U599">
        <v>274.88</v>
      </c>
      <c r="V599">
        <v>0.25</v>
      </c>
      <c r="W599">
        <f t="shared" si="122"/>
        <v>0.25</v>
      </c>
      <c r="X599" t="str">
        <f t="shared" si="123"/>
        <v/>
      </c>
      <c r="Y599">
        <v>1855.44</v>
      </c>
      <c r="Z599">
        <f t="shared" si="124"/>
        <v>1855.44</v>
      </c>
      <c r="AA599">
        <v>1262.74</v>
      </c>
      <c r="AB599">
        <v>592.70000000000005</v>
      </c>
      <c r="AC599">
        <f t="shared" si="125"/>
        <v>1580.56</v>
      </c>
      <c r="AD599" s="6">
        <f t="shared" si="126"/>
        <v>0.85185185185185175</v>
      </c>
      <c r="AE599" t="s">
        <v>32</v>
      </c>
      <c r="AF599" t="s">
        <v>33</v>
      </c>
      <c r="AG599">
        <f t="shared" si="127"/>
        <v>7</v>
      </c>
      <c r="AH599">
        <f t="shared" si="128"/>
        <v>2025</v>
      </c>
      <c r="AI599" t="str">
        <f t="shared" si="129"/>
        <v>CLEAN</v>
      </c>
    </row>
    <row r="600" spans="1:35">
      <c r="A600" t="s">
        <v>1885</v>
      </c>
      <c r="B600">
        <f t="shared" si="117"/>
        <v>1</v>
      </c>
      <c r="C600" t="str">
        <f>IF(COUNTIF($A$2:A600, A600)&gt;1, "DUPLICATE_FLAGGED_FOR_REVIEW", "")</f>
        <v/>
      </c>
      <c r="D600" s="3">
        <v>45521</v>
      </c>
      <c r="E600" s="2">
        <v>45528</v>
      </c>
      <c r="F600" s="2" t="str">
        <f t="shared" si="118"/>
        <v>OK</v>
      </c>
      <c r="G600" s="4">
        <f t="shared" si="119"/>
        <v>7</v>
      </c>
      <c r="H600" t="s">
        <v>1886</v>
      </c>
      <c r="I600" t="s">
        <v>62</v>
      </c>
      <c r="J600" t="s">
        <v>90</v>
      </c>
      <c r="K600" t="s">
        <v>38</v>
      </c>
      <c r="L600" t="str">
        <f t="shared" si="120"/>
        <v>East</v>
      </c>
      <c r="M600" t="s">
        <v>99</v>
      </c>
      <c r="N600" t="s">
        <v>100</v>
      </c>
      <c r="O600" t="s">
        <v>74</v>
      </c>
      <c r="P600" t="s">
        <v>80</v>
      </c>
      <c r="Q600" t="s">
        <v>1887</v>
      </c>
      <c r="R600" t="s">
        <v>44</v>
      </c>
      <c r="S600" t="str">
        <f t="shared" si="121"/>
        <v>Same Day</v>
      </c>
      <c r="T600">
        <v>3</v>
      </c>
      <c r="U600">
        <v>1490.69</v>
      </c>
      <c r="V600">
        <v>0.25</v>
      </c>
      <c r="W600">
        <f t="shared" si="122"/>
        <v>0.25</v>
      </c>
      <c r="X600" t="str">
        <f t="shared" si="123"/>
        <v/>
      </c>
      <c r="Y600">
        <v>3354.05</v>
      </c>
      <c r="Z600">
        <f t="shared" si="124"/>
        <v>3354.0524999999998</v>
      </c>
      <c r="AA600">
        <v>2672.67</v>
      </c>
      <c r="AB600">
        <v>681.38</v>
      </c>
      <c r="AC600">
        <f t="shared" si="125"/>
        <v>1863.3624999999997</v>
      </c>
      <c r="AD600" s="6">
        <f t="shared" si="126"/>
        <v>0.55555555555555547</v>
      </c>
      <c r="AE600" t="s">
        <v>32</v>
      </c>
      <c r="AF600" t="s">
        <v>33</v>
      </c>
      <c r="AG600">
        <f t="shared" si="127"/>
        <v>8</v>
      </c>
      <c r="AH600">
        <f t="shared" si="128"/>
        <v>2024</v>
      </c>
      <c r="AI600" t="str">
        <f t="shared" si="129"/>
        <v>CLEAN</v>
      </c>
    </row>
    <row r="601" spans="1:35">
      <c r="A601" t="s">
        <v>1888</v>
      </c>
      <c r="B601">
        <f t="shared" si="117"/>
        <v>1</v>
      </c>
      <c r="C601" t="str">
        <f>IF(COUNTIF($A$2:A601, A601)&gt;1, "DUPLICATE_FLAGGED_FOR_REVIEW", "")</f>
        <v/>
      </c>
      <c r="D601" s="3">
        <v>45523</v>
      </c>
      <c r="E601" s="2">
        <v>45525</v>
      </c>
      <c r="F601" s="2" t="str">
        <f t="shared" si="118"/>
        <v>OK</v>
      </c>
      <c r="G601" s="4">
        <f t="shared" si="119"/>
        <v>2</v>
      </c>
      <c r="H601" t="s">
        <v>1889</v>
      </c>
      <c r="I601" t="s">
        <v>53</v>
      </c>
      <c r="J601" t="s">
        <v>24</v>
      </c>
      <c r="K601" t="s">
        <v>25</v>
      </c>
      <c r="L601" t="str">
        <f t="shared" si="120"/>
        <v>North</v>
      </c>
      <c r="M601" t="s">
        <v>122</v>
      </c>
      <c r="N601" t="s">
        <v>123</v>
      </c>
      <c r="O601" t="s">
        <v>74</v>
      </c>
      <c r="P601" t="s">
        <v>171</v>
      </c>
      <c r="Q601" t="s">
        <v>1890</v>
      </c>
      <c r="R601" t="s">
        <v>50</v>
      </c>
      <c r="S601" t="str">
        <f t="shared" si="121"/>
        <v>First Class</v>
      </c>
      <c r="T601">
        <v>3</v>
      </c>
      <c r="U601">
        <v>1103.54</v>
      </c>
      <c r="V601">
        <v>0.25</v>
      </c>
      <c r="W601">
        <f t="shared" si="122"/>
        <v>0.25</v>
      </c>
      <c r="X601" t="str">
        <f t="shared" si="123"/>
        <v/>
      </c>
      <c r="Y601">
        <v>2482.9699999999998</v>
      </c>
      <c r="Z601">
        <f t="shared" si="124"/>
        <v>2482.9650000000001</v>
      </c>
      <c r="AA601">
        <v>1621.72</v>
      </c>
      <c r="AB601">
        <v>861.25</v>
      </c>
      <c r="AC601">
        <f t="shared" si="125"/>
        <v>1379.4250000000002</v>
      </c>
      <c r="AD601" s="6">
        <f t="shared" si="126"/>
        <v>0.55555555555555558</v>
      </c>
      <c r="AE601" t="s">
        <v>32</v>
      </c>
      <c r="AF601" t="s">
        <v>33</v>
      </c>
      <c r="AG601">
        <f t="shared" si="127"/>
        <v>8</v>
      </c>
      <c r="AH601">
        <f t="shared" si="128"/>
        <v>2024</v>
      </c>
      <c r="AI601" t="str">
        <f t="shared" si="129"/>
        <v>CLEAN</v>
      </c>
    </row>
    <row r="602" spans="1:35">
      <c r="A602" t="s">
        <v>1891</v>
      </c>
      <c r="B602">
        <f t="shared" si="117"/>
        <v>1</v>
      </c>
      <c r="C602" t="str">
        <f>IF(COUNTIF($A$2:A602, A602)&gt;1, "DUPLICATE_FLAGGED_FOR_REVIEW", "")</f>
        <v/>
      </c>
      <c r="D602" s="3">
        <v>45721</v>
      </c>
      <c r="E602" s="2">
        <v>45728</v>
      </c>
      <c r="F602" s="2" t="str">
        <f t="shared" si="118"/>
        <v>OK</v>
      </c>
      <c r="G602" s="4">
        <f t="shared" si="119"/>
        <v>7</v>
      </c>
      <c r="H602" t="s">
        <v>1892</v>
      </c>
      <c r="I602" t="s">
        <v>62</v>
      </c>
      <c r="J602" t="s">
        <v>90</v>
      </c>
      <c r="K602" t="s">
        <v>63</v>
      </c>
      <c r="L602" t="str">
        <f t="shared" si="120"/>
        <v>West</v>
      </c>
      <c r="M602" t="s">
        <v>72</v>
      </c>
      <c r="N602" t="s">
        <v>73</v>
      </c>
      <c r="O602" t="s">
        <v>28</v>
      </c>
      <c r="P602" t="s">
        <v>124</v>
      </c>
      <c r="Q602" t="s">
        <v>1893</v>
      </c>
      <c r="R602" t="s">
        <v>44</v>
      </c>
      <c r="S602" t="str">
        <f t="shared" si="121"/>
        <v>Same Day</v>
      </c>
      <c r="T602">
        <v>3</v>
      </c>
      <c r="U602">
        <v>3682.75</v>
      </c>
      <c r="W602">
        <f t="shared" si="122"/>
        <v>0</v>
      </c>
      <c r="X602" t="str">
        <f t="shared" si="123"/>
        <v>DISCOUNT_MISSING_SET_TO_0</v>
      </c>
      <c r="Y602">
        <v>11048.25</v>
      </c>
      <c r="Z602">
        <f t="shared" si="124"/>
        <v>11048.25</v>
      </c>
      <c r="AA602">
        <v>9062.7199999999993</v>
      </c>
      <c r="AB602">
        <v>1985.53</v>
      </c>
      <c r="AC602">
        <f t="shared" si="125"/>
        <v>7365.5</v>
      </c>
      <c r="AD602" s="6">
        <f t="shared" si="126"/>
        <v>0.66666666666666663</v>
      </c>
      <c r="AE602" t="s">
        <v>32</v>
      </c>
      <c r="AF602" t="s">
        <v>33</v>
      </c>
      <c r="AG602">
        <f t="shared" si="127"/>
        <v>3</v>
      </c>
      <c r="AH602">
        <f t="shared" si="128"/>
        <v>2025</v>
      </c>
      <c r="AI602" t="str">
        <f t="shared" si="129"/>
        <v>WARNING</v>
      </c>
    </row>
    <row r="603" spans="1:35">
      <c r="A603" t="s">
        <v>1894</v>
      </c>
      <c r="B603">
        <f t="shared" si="117"/>
        <v>1</v>
      </c>
      <c r="C603" t="str">
        <f>IF(COUNTIF($A$2:A603, A603)&gt;1, "DUPLICATE_FLAGGED_FOR_REVIEW", "")</f>
        <v/>
      </c>
      <c r="D603" s="3">
        <v>45317</v>
      </c>
      <c r="E603" s="2">
        <v>45322</v>
      </c>
      <c r="F603" s="2" t="str">
        <f t="shared" si="118"/>
        <v>OK</v>
      </c>
      <c r="G603" s="4">
        <f t="shared" si="119"/>
        <v>5</v>
      </c>
      <c r="H603" t="s">
        <v>1895</v>
      </c>
      <c r="I603" t="s">
        <v>62</v>
      </c>
      <c r="J603" t="s">
        <v>95</v>
      </c>
      <c r="K603" t="s">
        <v>38</v>
      </c>
      <c r="L603" t="str">
        <f t="shared" si="120"/>
        <v>East</v>
      </c>
      <c r="M603" t="s">
        <v>99</v>
      </c>
      <c r="N603" t="s">
        <v>100</v>
      </c>
      <c r="O603" t="s">
        <v>28</v>
      </c>
      <c r="P603" t="s">
        <v>29</v>
      </c>
      <c r="Q603" t="s">
        <v>1896</v>
      </c>
      <c r="R603" t="s">
        <v>31</v>
      </c>
      <c r="S603" t="str">
        <f t="shared" si="121"/>
        <v>Second Class</v>
      </c>
      <c r="T603">
        <v>5</v>
      </c>
      <c r="U603">
        <v>1615.03</v>
      </c>
      <c r="V603">
        <v>0.2</v>
      </c>
      <c r="W603">
        <f t="shared" si="122"/>
        <v>0.2</v>
      </c>
      <c r="X603" t="str">
        <f t="shared" si="123"/>
        <v/>
      </c>
      <c r="Y603">
        <v>6460.12</v>
      </c>
      <c r="Z603">
        <f t="shared" si="124"/>
        <v>6460.12</v>
      </c>
      <c r="AA603">
        <v>3604.03</v>
      </c>
      <c r="AB603">
        <v>2856.09</v>
      </c>
      <c r="AC603">
        <f t="shared" si="125"/>
        <v>4845.09</v>
      </c>
      <c r="AD603" s="6">
        <f t="shared" si="126"/>
        <v>0.75</v>
      </c>
      <c r="AE603" t="s">
        <v>32</v>
      </c>
      <c r="AF603" t="s">
        <v>33</v>
      </c>
      <c r="AG603">
        <f t="shared" si="127"/>
        <v>1</v>
      </c>
      <c r="AH603">
        <f t="shared" si="128"/>
        <v>2024</v>
      </c>
      <c r="AI603" t="str">
        <f t="shared" si="129"/>
        <v>CLEAN</v>
      </c>
    </row>
    <row r="604" spans="1:35">
      <c r="A604" t="s">
        <v>1897</v>
      </c>
      <c r="B604">
        <f t="shared" si="117"/>
        <v>1</v>
      </c>
      <c r="C604" t="str">
        <f>IF(COUNTIF($A$2:A604, A604)&gt;1, "DUPLICATE_FLAGGED_FOR_REVIEW", "")</f>
        <v/>
      </c>
      <c r="D604" s="3">
        <v>45588</v>
      </c>
      <c r="E604" s="2">
        <v>45595</v>
      </c>
      <c r="F604" s="2" t="str">
        <f t="shared" si="118"/>
        <v>OK</v>
      </c>
      <c r="G604" s="4">
        <f t="shared" si="119"/>
        <v>7</v>
      </c>
      <c r="H604" t="s">
        <v>1898</v>
      </c>
      <c r="I604" t="s">
        <v>128</v>
      </c>
      <c r="J604" t="s">
        <v>24</v>
      </c>
      <c r="K604" t="s">
        <v>38</v>
      </c>
      <c r="L604" t="str">
        <f t="shared" si="120"/>
        <v>East</v>
      </c>
      <c r="M604" t="s">
        <v>228</v>
      </c>
      <c r="N604" t="s">
        <v>229</v>
      </c>
      <c r="O604" t="s">
        <v>74</v>
      </c>
      <c r="P604" t="s">
        <v>80</v>
      </c>
      <c r="Q604" t="s">
        <v>1899</v>
      </c>
      <c r="R604" t="s">
        <v>31</v>
      </c>
      <c r="S604" t="str">
        <f t="shared" si="121"/>
        <v>Second Class</v>
      </c>
      <c r="T604">
        <v>9</v>
      </c>
      <c r="U604">
        <v>3423.82</v>
      </c>
      <c r="V604">
        <v>0.15</v>
      </c>
      <c r="W604">
        <f t="shared" si="122"/>
        <v>0.15</v>
      </c>
      <c r="X604" t="str">
        <f t="shared" si="123"/>
        <v/>
      </c>
      <c r="Y604">
        <v>26192.22</v>
      </c>
      <c r="Z604">
        <f t="shared" si="124"/>
        <v>26192.223000000002</v>
      </c>
      <c r="AA604">
        <v>20795.55</v>
      </c>
      <c r="AB604">
        <v>5396.67</v>
      </c>
      <c r="AC604">
        <f t="shared" si="125"/>
        <v>22768.403000000002</v>
      </c>
      <c r="AD604" s="6">
        <f t="shared" si="126"/>
        <v>0.86928104575163401</v>
      </c>
      <c r="AE604" t="s">
        <v>32</v>
      </c>
      <c r="AF604" t="s">
        <v>33</v>
      </c>
      <c r="AG604">
        <f t="shared" si="127"/>
        <v>10</v>
      </c>
      <c r="AH604">
        <f t="shared" si="128"/>
        <v>2024</v>
      </c>
      <c r="AI604" t="str">
        <f t="shared" si="129"/>
        <v>CLEAN</v>
      </c>
    </row>
    <row r="605" spans="1:35">
      <c r="A605" t="s">
        <v>1900</v>
      </c>
      <c r="B605">
        <f t="shared" si="117"/>
        <v>1</v>
      </c>
      <c r="C605" t="str">
        <f>IF(COUNTIF($A$2:A605, A605)&gt;1, "DUPLICATE_FLAGGED_FOR_REVIEW", "")</f>
        <v/>
      </c>
      <c r="D605" s="3">
        <v>45717</v>
      </c>
      <c r="E605" s="2">
        <v>45668</v>
      </c>
      <c r="F605" s="2" t="str">
        <f t="shared" si="118"/>
        <v>ERROR: Ship before order</v>
      </c>
      <c r="G605" s="4">
        <f t="shared" si="119"/>
        <v>-49</v>
      </c>
      <c r="H605" t="s">
        <v>334</v>
      </c>
      <c r="I605" t="s">
        <v>71</v>
      </c>
      <c r="J605" t="s">
        <v>90</v>
      </c>
      <c r="K605" t="s">
        <v>38</v>
      </c>
      <c r="L605" t="str">
        <f t="shared" si="120"/>
        <v>East</v>
      </c>
      <c r="M605" t="s">
        <v>145</v>
      </c>
      <c r="N605" t="s">
        <v>146</v>
      </c>
      <c r="O605" t="s">
        <v>74</v>
      </c>
      <c r="P605" t="s">
        <v>75</v>
      </c>
      <c r="Q605" t="s">
        <v>1901</v>
      </c>
      <c r="R605" t="s">
        <v>50</v>
      </c>
      <c r="S605" t="str">
        <f t="shared" si="121"/>
        <v>First Class</v>
      </c>
      <c r="T605">
        <v>8</v>
      </c>
      <c r="U605">
        <v>2574.29</v>
      </c>
      <c r="V605">
        <v>0.05</v>
      </c>
      <c r="W605">
        <f t="shared" si="122"/>
        <v>0.05</v>
      </c>
      <c r="X605" t="str">
        <f t="shared" si="123"/>
        <v/>
      </c>
      <c r="Y605">
        <v>19564.599999999999</v>
      </c>
      <c r="Z605">
        <f t="shared" si="124"/>
        <v>19564.603999999999</v>
      </c>
      <c r="AA605">
        <v>11154.59</v>
      </c>
      <c r="AB605">
        <v>8410.01</v>
      </c>
      <c r="AC605">
        <f t="shared" si="125"/>
        <v>16990.313999999998</v>
      </c>
      <c r="AD605" s="6">
        <f t="shared" si="126"/>
        <v>0.86842105263157887</v>
      </c>
      <c r="AE605" t="s">
        <v>111</v>
      </c>
      <c r="AF605" t="s">
        <v>68</v>
      </c>
      <c r="AG605">
        <f t="shared" si="127"/>
        <v>3</v>
      </c>
      <c r="AH605">
        <f t="shared" si="128"/>
        <v>2025</v>
      </c>
      <c r="AI605" t="str">
        <f t="shared" si="129"/>
        <v>INVALID</v>
      </c>
    </row>
    <row r="606" spans="1:35">
      <c r="A606" t="s">
        <v>1902</v>
      </c>
      <c r="B606">
        <f t="shared" si="117"/>
        <v>1</v>
      </c>
      <c r="C606" t="str">
        <f>IF(COUNTIF($A$2:A606, A606)&gt;1, "DUPLICATE_FLAGGED_FOR_REVIEW", "")</f>
        <v/>
      </c>
      <c r="D606" s="3">
        <v>45693</v>
      </c>
      <c r="E606" s="2">
        <v>45810</v>
      </c>
      <c r="F606" s="2" t="str">
        <f t="shared" si="118"/>
        <v>OK</v>
      </c>
      <c r="G606" s="4">
        <f t="shared" si="119"/>
        <v>117</v>
      </c>
      <c r="H606" t="s">
        <v>1903</v>
      </c>
      <c r="I606" t="s">
        <v>62</v>
      </c>
      <c r="J606" t="s">
        <v>24</v>
      </c>
      <c r="K606" t="s">
        <v>63</v>
      </c>
      <c r="L606" t="str">
        <f t="shared" si="120"/>
        <v>West</v>
      </c>
      <c r="M606" t="s">
        <v>72</v>
      </c>
      <c r="N606" t="s">
        <v>73</v>
      </c>
      <c r="O606" t="s">
        <v>28</v>
      </c>
      <c r="P606" t="s">
        <v>153</v>
      </c>
      <c r="Q606" t="s">
        <v>1904</v>
      </c>
      <c r="R606" t="s">
        <v>44</v>
      </c>
      <c r="S606" t="str">
        <f t="shared" si="121"/>
        <v>Same Day</v>
      </c>
      <c r="T606">
        <v>3</v>
      </c>
      <c r="U606">
        <v>1076.3</v>
      </c>
      <c r="V606">
        <v>0</v>
      </c>
      <c r="W606">
        <f t="shared" si="122"/>
        <v>0</v>
      </c>
      <c r="X606" t="str">
        <f t="shared" si="123"/>
        <v/>
      </c>
      <c r="Y606">
        <v>3228.9</v>
      </c>
      <c r="Z606">
        <f t="shared" si="124"/>
        <v>3228.8999999999996</v>
      </c>
      <c r="AA606">
        <v>1853.23</v>
      </c>
      <c r="AB606">
        <v>1375.67</v>
      </c>
      <c r="AC606">
        <f t="shared" si="125"/>
        <v>2152.5999999999995</v>
      </c>
      <c r="AD606" s="6">
        <f t="shared" si="126"/>
        <v>0.66666666666666652</v>
      </c>
      <c r="AE606" t="s">
        <v>32</v>
      </c>
      <c r="AF606" t="s">
        <v>33</v>
      </c>
      <c r="AG606">
        <f t="shared" si="127"/>
        <v>2</v>
      </c>
      <c r="AH606">
        <f t="shared" si="128"/>
        <v>2025</v>
      </c>
      <c r="AI606" t="str">
        <f t="shared" si="129"/>
        <v>CLEAN</v>
      </c>
    </row>
    <row r="607" spans="1:35">
      <c r="A607" t="s">
        <v>1905</v>
      </c>
      <c r="B607">
        <f t="shared" si="117"/>
        <v>1</v>
      </c>
      <c r="C607" t="str">
        <f>IF(COUNTIF($A$2:A607, A607)&gt;1, "DUPLICATE_FLAGGED_FOR_REVIEW", "")</f>
        <v/>
      </c>
      <c r="D607" s="3">
        <v>45847</v>
      </c>
      <c r="E607" s="2">
        <v>45851</v>
      </c>
      <c r="F607" s="2" t="str">
        <f t="shared" si="118"/>
        <v>OK</v>
      </c>
      <c r="G607" s="4">
        <f t="shared" si="119"/>
        <v>4</v>
      </c>
      <c r="H607" t="s">
        <v>1906</v>
      </c>
      <c r="I607" t="s">
        <v>264</v>
      </c>
      <c r="J607" t="s">
        <v>90</v>
      </c>
      <c r="K607" t="s">
        <v>63</v>
      </c>
      <c r="L607" t="str">
        <f t="shared" si="120"/>
        <v>West</v>
      </c>
      <c r="M607" t="s">
        <v>190</v>
      </c>
      <c r="N607" t="s">
        <v>191</v>
      </c>
      <c r="O607" t="s">
        <v>41</v>
      </c>
      <c r="P607" t="s">
        <v>57</v>
      </c>
      <c r="Q607" t="s">
        <v>1907</v>
      </c>
      <c r="R607" t="s">
        <v>31</v>
      </c>
      <c r="S607" t="str">
        <f t="shared" si="121"/>
        <v>Second Class</v>
      </c>
      <c r="T607">
        <v>5</v>
      </c>
      <c r="U607">
        <v>1680.01</v>
      </c>
      <c r="V607">
        <v>0.85</v>
      </c>
      <c r="W607">
        <f t="shared" si="122"/>
        <v>0.85</v>
      </c>
      <c r="X607" t="str">
        <f t="shared" si="123"/>
        <v>INVALID_DISCOUNT_ABOVE_50PCT</v>
      </c>
      <c r="Y607">
        <v>7560.04</v>
      </c>
      <c r="Z607">
        <f t="shared" si="124"/>
        <v>1260.0075000000002</v>
      </c>
      <c r="AA607">
        <v>6448.05</v>
      </c>
      <c r="AB607">
        <v>1111.99</v>
      </c>
      <c r="AC607">
        <f t="shared" si="125"/>
        <v>-420.00249999999983</v>
      </c>
      <c r="AD607" s="6">
        <f t="shared" si="126"/>
        <v>-0.33333333333333315</v>
      </c>
      <c r="AE607" t="s">
        <v>32</v>
      </c>
      <c r="AF607" t="s">
        <v>68</v>
      </c>
      <c r="AG607">
        <f t="shared" si="127"/>
        <v>7</v>
      </c>
      <c r="AH607">
        <f t="shared" si="128"/>
        <v>2025</v>
      </c>
      <c r="AI607" t="str">
        <f t="shared" si="129"/>
        <v>INVALID</v>
      </c>
    </row>
    <row r="608" spans="1:35">
      <c r="A608" t="s">
        <v>1908</v>
      </c>
      <c r="B608">
        <f t="shared" si="117"/>
        <v>1</v>
      </c>
      <c r="C608" t="str">
        <f>IF(COUNTIF($A$2:A608, A608)&gt;1, "DUPLICATE_FLAGGED_FOR_REVIEW", "")</f>
        <v/>
      </c>
      <c r="D608" s="3">
        <v>45710</v>
      </c>
      <c r="E608" s="2">
        <v>45716</v>
      </c>
      <c r="F608" s="2" t="str">
        <f t="shared" si="118"/>
        <v>OK</v>
      </c>
      <c r="G608" s="4">
        <f t="shared" si="119"/>
        <v>6</v>
      </c>
      <c r="H608" t="s">
        <v>1909</v>
      </c>
      <c r="I608" t="s">
        <v>118</v>
      </c>
      <c r="J608" t="s">
        <v>95</v>
      </c>
      <c r="K608" t="s">
        <v>63</v>
      </c>
      <c r="L608" t="str">
        <f t="shared" si="120"/>
        <v>West</v>
      </c>
      <c r="M608" t="s">
        <v>72</v>
      </c>
      <c r="N608" t="s">
        <v>73</v>
      </c>
      <c r="O608" t="s">
        <v>74</v>
      </c>
      <c r="P608" t="s">
        <v>80</v>
      </c>
      <c r="Q608" t="s">
        <v>1910</v>
      </c>
      <c r="R608" t="s">
        <v>44</v>
      </c>
      <c r="S608" t="str">
        <f t="shared" si="121"/>
        <v>Same Day</v>
      </c>
      <c r="T608">
        <v>3</v>
      </c>
      <c r="U608">
        <v>3890.81</v>
      </c>
      <c r="V608">
        <v>0.25</v>
      </c>
      <c r="W608">
        <f t="shared" si="122"/>
        <v>0.25</v>
      </c>
      <c r="X608" t="str">
        <f t="shared" si="123"/>
        <v/>
      </c>
      <c r="Y608">
        <v>8754.32</v>
      </c>
      <c r="Z608">
        <f t="shared" si="124"/>
        <v>8754.3225000000002</v>
      </c>
      <c r="AA608">
        <v>6238.9</v>
      </c>
      <c r="AB608">
        <v>2515.42</v>
      </c>
      <c r="AC608">
        <f t="shared" si="125"/>
        <v>4863.5125000000007</v>
      </c>
      <c r="AD608" s="6">
        <f t="shared" si="126"/>
        <v>0.55555555555555558</v>
      </c>
      <c r="AE608" t="s">
        <v>32</v>
      </c>
      <c r="AF608" t="s">
        <v>33</v>
      </c>
      <c r="AG608">
        <f t="shared" si="127"/>
        <v>2</v>
      </c>
      <c r="AH608">
        <f t="shared" si="128"/>
        <v>2025</v>
      </c>
      <c r="AI608" t="str">
        <f t="shared" si="129"/>
        <v>CLEAN</v>
      </c>
    </row>
    <row r="609" spans="1:35">
      <c r="A609" t="s">
        <v>1911</v>
      </c>
      <c r="B609">
        <f t="shared" si="117"/>
        <v>1</v>
      </c>
      <c r="C609" t="str">
        <f>IF(COUNTIF($A$2:A609, A609)&gt;1, "DUPLICATE_FLAGGED_FOR_REVIEW", "")</f>
        <v/>
      </c>
      <c r="D609" s="3">
        <v>45704</v>
      </c>
      <c r="E609" s="2">
        <v>45710</v>
      </c>
      <c r="F609" s="2" t="str">
        <f t="shared" si="118"/>
        <v>OK</v>
      </c>
      <c r="G609" s="4">
        <f t="shared" si="119"/>
        <v>6</v>
      </c>
      <c r="H609" t="s">
        <v>1912</v>
      </c>
      <c r="I609" t="s">
        <v>132</v>
      </c>
      <c r="J609" t="s">
        <v>95</v>
      </c>
      <c r="K609" t="s">
        <v>38</v>
      </c>
      <c r="L609" t="str">
        <f t="shared" si="120"/>
        <v>East</v>
      </c>
      <c r="M609" t="s">
        <v>145</v>
      </c>
      <c r="N609" t="s">
        <v>146</v>
      </c>
      <c r="O609" t="s">
        <v>28</v>
      </c>
      <c r="P609" t="s">
        <v>124</v>
      </c>
      <c r="Q609" t="s">
        <v>1913</v>
      </c>
      <c r="R609" t="s">
        <v>44</v>
      </c>
      <c r="S609" t="str">
        <f t="shared" si="121"/>
        <v>Same Day</v>
      </c>
      <c r="T609">
        <v>5</v>
      </c>
      <c r="U609">
        <v>954.67</v>
      </c>
      <c r="V609">
        <v>0.15</v>
      </c>
      <c r="W609">
        <f t="shared" si="122"/>
        <v>0.15</v>
      </c>
      <c r="X609" t="str">
        <f t="shared" si="123"/>
        <v/>
      </c>
      <c r="Y609">
        <v>4057.35</v>
      </c>
      <c r="Z609">
        <f t="shared" si="124"/>
        <v>4057.3474999999994</v>
      </c>
      <c r="AA609">
        <v>2862.03</v>
      </c>
      <c r="AB609">
        <v>1195.32</v>
      </c>
      <c r="AC609">
        <f t="shared" si="125"/>
        <v>3102.6774999999993</v>
      </c>
      <c r="AD609" s="6">
        <f t="shared" si="126"/>
        <v>0.76470588235294112</v>
      </c>
      <c r="AE609" t="s">
        <v>32</v>
      </c>
      <c r="AF609" t="s">
        <v>33</v>
      </c>
      <c r="AG609">
        <f t="shared" si="127"/>
        <v>2</v>
      </c>
      <c r="AH609">
        <f t="shared" si="128"/>
        <v>2025</v>
      </c>
      <c r="AI609" t="str">
        <f t="shared" si="129"/>
        <v>CLEAN</v>
      </c>
    </row>
    <row r="610" spans="1:35">
      <c r="A610" t="s">
        <v>1914</v>
      </c>
      <c r="B610">
        <f t="shared" si="117"/>
        <v>1</v>
      </c>
      <c r="C610" t="str">
        <f>IF(COUNTIF($A$2:A610, A610)&gt;1, "DUPLICATE_FLAGGED_FOR_REVIEW", "")</f>
        <v/>
      </c>
      <c r="D610" s="3">
        <v>45464</v>
      </c>
      <c r="E610" s="2">
        <v>45466</v>
      </c>
      <c r="F610" s="2" t="str">
        <f t="shared" si="118"/>
        <v>OK</v>
      </c>
      <c r="G610" s="4">
        <f t="shared" si="119"/>
        <v>2</v>
      </c>
      <c r="H610" t="s">
        <v>1692</v>
      </c>
      <c r="I610" t="s">
        <v>23</v>
      </c>
      <c r="J610" t="s">
        <v>95</v>
      </c>
      <c r="K610" t="s">
        <v>63</v>
      </c>
      <c r="L610" t="str">
        <f t="shared" si="120"/>
        <v>West</v>
      </c>
      <c r="M610" t="s">
        <v>190</v>
      </c>
      <c r="N610" t="s">
        <v>191</v>
      </c>
      <c r="O610" t="s">
        <v>41</v>
      </c>
      <c r="P610" t="s">
        <v>57</v>
      </c>
      <c r="Q610" t="s">
        <v>1915</v>
      </c>
      <c r="R610" t="s">
        <v>31</v>
      </c>
      <c r="S610" t="str">
        <f t="shared" si="121"/>
        <v>Second Class</v>
      </c>
      <c r="T610">
        <v>9</v>
      </c>
      <c r="U610">
        <v>2153.75</v>
      </c>
      <c r="V610">
        <v>0</v>
      </c>
      <c r="W610">
        <f t="shared" si="122"/>
        <v>0</v>
      </c>
      <c r="X610" t="str">
        <f t="shared" si="123"/>
        <v/>
      </c>
      <c r="Y610">
        <v>19383.75</v>
      </c>
      <c r="Z610">
        <f t="shared" si="124"/>
        <v>19383.75</v>
      </c>
      <c r="AA610">
        <v>11667.43</v>
      </c>
      <c r="AB610">
        <v>7716.32</v>
      </c>
      <c r="AC610">
        <f t="shared" si="125"/>
        <v>17230</v>
      </c>
      <c r="AD610" s="6">
        <f t="shared" si="126"/>
        <v>0.88888888888888884</v>
      </c>
      <c r="AE610" t="s">
        <v>32</v>
      </c>
      <c r="AF610" t="s">
        <v>33</v>
      </c>
      <c r="AG610">
        <f t="shared" si="127"/>
        <v>6</v>
      </c>
      <c r="AH610">
        <f t="shared" si="128"/>
        <v>2024</v>
      </c>
      <c r="AI610" t="str">
        <f t="shared" si="129"/>
        <v>CLEAN</v>
      </c>
    </row>
    <row r="611" spans="1:35">
      <c r="A611" t="s">
        <v>1916</v>
      </c>
      <c r="B611">
        <f t="shared" si="117"/>
        <v>1</v>
      </c>
      <c r="C611" t="str">
        <f>IF(COUNTIF($A$2:A611, A611)&gt;1, "DUPLICATE_FLAGGED_FOR_REVIEW", "")</f>
        <v/>
      </c>
      <c r="D611" s="3">
        <v>45665</v>
      </c>
      <c r="E611" s="2">
        <v>45669</v>
      </c>
      <c r="F611" s="2" t="str">
        <f t="shared" si="118"/>
        <v>OK</v>
      </c>
      <c r="G611" s="4">
        <f t="shared" si="119"/>
        <v>4</v>
      </c>
      <c r="H611" t="s">
        <v>1917</v>
      </c>
      <c r="I611" t="s">
        <v>132</v>
      </c>
      <c r="J611" t="s">
        <v>95</v>
      </c>
      <c r="K611" t="s">
        <v>54</v>
      </c>
      <c r="L611" t="str">
        <f t="shared" si="120"/>
        <v>South</v>
      </c>
      <c r="M611" t="s">
        <v>175</v>
      </c>
      <c r="N611" t="s">
        <v>176</v>
      </c>
      <c r="O611" t="s">
        <v>41</v>
      </c>
      <c r="P611" t="s">
        <v>66</v>
      </c>
      <c r="Q611" t="s">
        <v>1918</v>
      </c>
      <c r="R611" t="s">
        <v>59</v>
      </c>
      <c r="S611" t="str">
        <f t="shared" si="121"/>
        <v>Standard Class</v>
      </c>
      <c r="T611">
        <v>7</v>
      </c>
      <c r="U611">
        <v>4337.4799999999996</v>
      </c>
      <c r="V611">
        <v>0</v>
      </c>
      <c r="W611">
        <f t="shared" si="122"/>
        <v>0</v>
      </c>
      <c r="X611" t="str">
        <f t="shared" si="123"/>
        <v/>
      </c>
      <c r="Y611">
        <v>30362.36</v>
      </c>
      <c r="Z611">
        <f t="shared" si="124"/>
        <v>30362.359999999997</v>
      </c>
      <c r="AA611">
        <v>25065.4</v>
      </c>
      <c r="AB611">
        <v>5296.96</v>
      </c>
      <c r="AC611">
        <f t="shared" si="125"/>
        <v>26024.879999999997</v>
      </c>
      <c r="AD611" s="6">
        <f t="shared" si="126"/>
        <v>0.8571428571428571</v>
      </c>
      <c r="AE611" t="s">
        <v>32</v>
      </c>
      <c r="AF611" t="s">
        <v>33</v>
      </c>
      <c r="AG611">
        <f t="shared" si="127"/>
        <v>1</v>
      </c>
      <c r="AH611">
        <f t="shared" si="128"/>
        <v>2025</v>
      </c>
      <c r="AI611" t="str">
        <f t="shared" si="129"/>
        <v>CLEAN</v>
      </c>
    </row>
    <row r="612" spans="1:35">
      <c r="A612" t="s">
        <v>1919</v>
      </c>
      <c r="B612">
        <f t="shared" si="117"/>
        <v>1</v>
      </c>
      <c r="C612" t="str">
        <f>IF(COUNTIF($A$2:A612, A612)&gt;1, "DUPLICATE_FLAGGED_FOR_REVIEW", "")</f>
        <v/>
      </c>
      <c r="D612" s="3">
        <v>45432</v>
      </c>
      <c r="E612" s="2">
        <v>45432</v>
      </c>
      <c r="F612" s="2" t="str">
        <f t="shared" si="118"/>
        <v>OK</v>
      </c>
      <c r="G612" s="4">
        <f t="shared" si="119"/>
        <v>0</v>
      </c>
      <c r="H612" t="s">
        <v>1364</v>
      </c>
      <c r="I612" t="s">
        <v>23</v>
      </c>
      <c r="J612" t="s">
        <v>95</v>
      </c>
      <c r="K612" t="s">
        <v>63</v>
      </c>
      <c r="L612" t="str">
        <f t="shared" si="120"/>
        <v>West</v>
      </c>
      <c r="M612" t="s">
        <v>72</v>
      </c>
      <c r="N612" t="s">
        <v>73</v>
      </c>
      <c r="O612" t="s">
        <v>41</v>
      </c>
      <c r="P612" t="s">
        <v>66</v>
      </c>
      <c r="Q612" t="s">
        <v>1920</v>
      </c>
      <c r="R612" t="s">
        <v>59</v>
      </c>
      <c r="S612" t="str">
        <f t="shared" si="121"/>
        <v>Standard Class</v>
      </c>
      <c r="T612">
        <v>1</v>
      </c>
      <c r="U612">
        <v>3032.95</v>
      </c>
      <c r="V612">
        <v>0.1</v>
      </c>
      <c r="W612">
        <f t="shared" si="122"/>
        <v>0.1</v>
      </c>
      <c r="X612" t="str">
        <f t="shared" si="123"/>
        <v/>
      </c>
      <c r="Y612">
        <v>2729.65</v>
      </c>
      <c r="Z612">
        <f t="shared" si="124"/>
        <v>2729.6549999999997</v>
      </c>
      <c r="AA612">
        <v>1715.36</v>
      </c>
      <c r="AB612">
        <v>1014.29</v>
      </c>
      <c r="AC612">
        <f t="shared" si="125"/>
        <v>-303.29500000000007</v>
      </c>
      <c r="AD612" s="6">
        <f t="shared" si="126"/>
        <v>-0.11111111111111115</v>
      </c>
      <c r="AE612" t="s">
        <v>32</v>
      </c>
      <c r="AF612" t="s">
        <v>33</v>
      </c>
      <c r="AG612">
        <f t="shared" si="127"/>
        <v>5</v>
      </c>
      <c r="AH612">
        <f t="shared" si="128"/>
        <v>2024</v>
      </c>
      <c r="AI612" t="str">
        <f t="shared" si="129"/>
        <v>CLEAN</v>
      </c>
    </row>
    <row r="613" spans="1:35">
      <c r="A613" t="s">
        <v>1921</v>
      </c>
      <c r="B613">
        <f t="shared" si="117"/>
        <v>1</v>
      </c>
      <c r="C613" t="str">
        <f>IF(COUNTIF($A$2:A613, A613)&gt;1, "DUPLICATE_FLAGGED_FOR_REVIEW", "")</f>
        <v/>
      </c>
      <c r="D613" s="3">
        <v>45846</v>
      </c>
      <c r="E613" s="2">
        <v>45853</v>
      </c>
      <c r="F613" s="2" t="str">
        <f t="shared" si="118"/>
        <v>OK</v>
      </c>
      <c r="G613" s="4">
        <f t="shared" si="119"/>
        <v>7</v>
      </c>
      <c r="H613" t="s">
        <v>1922</v>
      </c>
      <c r="I613" t="s">
        <v>62</v>
      </c>
      <c r="J613" t="s">
        <v>37</v>
      </c>
      <c r="K613" t="s">
        <v>25</v>
      </c>
      <c r="L613" t="str">
        <f t="shared" si="120"/>
        <v>North</v>
      </c>
      <c r="M613" t="s">
        <v>26</v>
      </c>
      <c r="N613" t="s">
        <v>27</v>
      </c>
      <c r="O613" t="s">
        <v>28</v>
      </c>
      <c r="P613" t="s">
        <v>153</v>
      </c>
      <c r="Q613" t="s">
        <v>1923</v>
      </c>
      <c r="R613" t="s">
        <v>44</v>
      </c>
      <c r="S613" t="str">
        <f t="shared" si="121"/>
        <v>Same Day</v>
      </c>
      <c r="T613">
        <v>8</v>
      </c>
      <c r="U613">
        <v>655.28</v>
      </c>
      <c r="V613">
        <v>0.1</v>
      </c>
      <c r="W613">
        <f t="shared" si="122"/>
        <v>0.1</v>
      </c>
      <c r="X613" t="str">
        <f t="shared" si="123"/>
        <v/>
      </c>
      <c r="Y613">
        <v>4718.0200000000004</v>
      </c>
      <c r="Z613">
        <f t="shared" si="124"/>
        <v>4718.0159999999996</v>
      </c>
      <c r="AA613">
        <v>3908.23</v>
      </c>
      <c r="AB613">
        <v>809.79</v>
      </c>
      <c r="AC613">
        <f t="shared" si="125"/>
        <v>4062.7359999999999</v>
      </c>
      <c r="AD613" s="6">
        <f t="shared" si="126"/>
        <v>0.86111111111111116</v>
      </c>
      <c r="AE613" t="s">
        <v>32</v>
      </c>
      <c r="AF613" t="s">
        <v>33</v>
      </c>
      <c r="AG613">
        <f t="shared" si="127"/>
        <v>7</v>
      </c>
      <c r="AH613">
        <f t="shared" si="128"/>
        <v>2025</v>
      </c>
      <c r="AI613" t="str">
        <f t="shared" si="129"/>
        <v>CLEAN</v>
      </c>
    </row>
    <row r="614" spans="1:35">
      <c r="A614" t="s">
        <v>1924</v>
      </c>
      <c r="B614">
        <f t="shared" si="117"/>
        <v>1</v>
      </c>
      <c r="C614" t="str">
        <f>IF(COUNTIF($A$2:A614, A614)&gt;1, "DUPLICATE_FLAGGED_FOR_REVIEW", "")</f>
        <v/>
      </c>
      <c r="D614" s="3">
        <v>45753</v>
      </c>
      <c r="E614" s="2">
        <v>45760</v>
      </c>
      <c r="F614" s="2" t="str">
        <f t="shared" si="118"/>
        <v>OK</v>
      </c>
      <c r="G614" s="4">
        <f t="shared" si="119"/>
        <v>7</v>
      </c>
      <c r="H614" t="s">
        <v>1925</v>
      </c>
      <c r="I614" t="s">
        <v>89</v>
      </c>
      <c r="J614" t="s">
        <v>24</v>
      </c>
      <c r="K614" t="s">
        <v>2760</v>
      </c>
      <c r="L614" t="str">
        <f t="shared" si="120"/>
        <v>Unknown</v>
      </c>
      <c r="M614" t="s">
        <v>39</v>
      </c>
      <c r="N614" t="s">
        <v>40</v>
      </c>
      <c r="O614" t="s">
        <v>74</v>
      </c>
      <c r="P614" t="s">
        <v>171</v>
      </c>
      <c r="Q614" t="s">
        <v>1926</v>
      </c>
      <c r="R614" t="s">
        <v>59</v>
      </c>
      <c r="S614" t="str">
        <f t="shared" si="121"/>
        <v>Standard Class</v>
      </c>
      <c r="T614">
        <v>1</v>
      </c>
      <c r="U614">
        <v>3844.01</v>
      </c>
      <c r="V614">
        <v>0</v>
      </c>
      <c r="W614">
        <f t="shared" si="122"/>
        <v>0</v>
      </c>
      <c r="X614" t="str">
        <f t="shared" si="123"/>
        <v/>
      </c>
      <c r="Y614">
        <v>3844.01</v>
      </c>
      <c r="Z614">
        <f t="shared" si="124"/>
        <v>3844.01</v>
      </c>
      <c r="AA614">
        <v>2195.79</v>
      </c>
      <c r="AB614">
        <v>1648.22</v>
      </c>
      <c r="AC614">
        <f t="shared" si="125"/>
        <v>0</v>
      </c>
      <c r="AD614" s="6">
        <f t="shared" si="126"/>
        <v>0</v>
      </c>
      <c r="AE614" t="s">
        <v>32</v>
      </c>
      <c r="AF614" t="s">
        <v>33</v>
      </c>
      <c r="AG614">
        <f t="shared" si="127"/>
        <v>4</v>
      </c>
      <c r="AH614">
        <f t="shared" si="128"/>
        <v>2025</v>
      </c>
      <c r="AI614" t="str">
        <f t="shared" si="129"/>
        <v>WARNING</v>
      </c>
    </row>
    <row r="615" spans="1:35">
      <c r="A615" t="s">
        <v>1927</v>
      </c>
      <c r="B615">
        <f t="shared" si="117"/>
        <v>1</v>
      </c>
      <c r="C615" t="str">
        <f>IF(COUNTIF($A$2:A615, A615)&gt;1, "DUPLICATE_FLAGGED_FOR_REVIEW", "")</f>
        <v/>
      </c>
      <c r="D615" s="3">
        <v>45570</v>
      </c>
      <c r="E615" s="2">
        <v>45575</v>
      </c>
      <c r="F615" s="2" t="str">
        <f t="shared" si="118"/>
        <v>OK</v>
      </c>
      <c r="G615" s="4">
        <f t="shared" si="119"/>
        <v>5</v>
      </c>
      <c r="H615" t="s">
        <v>1928</v>
      </c>
      <c r="I615" t="s">
        <v>162</v>
      </c>
      <c r="J615" t="s">
        <v>95</v>
      </c>
      <c r="K615" t="s">
        <v>63</v>
      </c>
      <c r="L615" t="str">
        <f t="shared" si="120"/>
        <v>West</v>
      </c>
      <c r="M615" t="s">
        <v>180</v>
      </c>
      <c r="N615" t="s">
        <v>181</v>
      </c>
      <c r="O615" t="s">
        <v>74</v>
      </c>
      <c r="P615" t="s">
        <v>274</v>
      </c>
      <c r="Q615" t="s">
        <v>1929</v>
      </c>
      <c r="R615" t="s">
        <v>44</v>
      </c>
      <c r="S615" t="str">
        <f t="shared" si="121"/>
        <v>Same Day</v>
      </c>
      <c r="T615">
        <v>9</v>
      </c>
      <c r="U615">
        <v>3361.3</v>
      </c>
      <c r="V615">
        <v>0.25</v>
      </c>
      <c r="W615">
        <f t="shared" si="122"/>
        <v>0.25</v>
      </c>
      <c r="X615" t="str">
        <f t="shared" si="123"/>
        <v/>
      </c>
      <c r="Y615">
        <v>22688.78</v>
      </c>
      <c r="Z615">
        <f t="shared" si="124"/>
        <v>22688.775000000001</v>
      </c>
      <c r="AA615">
        <v>14672.41</v>
      </c>
      <c r="AB615">
        <v>8016.37</v>
      </c>
      <c r="AC615">
        <f t="shared" si="125"/>
        <v>19327.475000000002</v>
      </c>
      <c r="AD615" s="6">
        <f t="shared" si="126"/>
        <v>0.85185185185185186</v>
      </c>
      <c r="AE615" t="s">
        <v>32</v>
      </c>
      <c r="AF615" t="s">
        <v>33</v>
      </c>
      <c r="AG615">
        <f t="shared" si="127"/>
        <v>10</v>
      </c>
      <c r="AH615">
        <f t="shared" si="128"/>
        <v>2024</v>
      </c>
      <c r="AI615" t="str">
        <f t="shared" si="129"/>
        <v>CLEAN</v>
      </c>
    </row>
    <row r="616" spans="1:35">
      <c r="A616" t="s">
        <v>1930</v>
      </c>
      <c r="B616">
        <f t="shared" si="117"/>
        <v>1</v>
      </c>
      <c r="C616" t="str">
        <f>IF(COUNTIF($A$2:A616, A616)&gt;1, "DUPLICATE_FLAGGED_FOR_REVIEW", "")</f>
        <v/>
      </c>
      <c r="D616" s="3">
        <v>45333</v>
      </c>
      <c r="E616" s="2">
        <v>45341</v>
      </c>
      <c r="F616" s="2" t="str">
        <f t="shared" si="118"/>
        <v>OK</v>
      </c>
      <c r="G616" s="4">
        <f t="shared" si="119"/>
        <v>8</v>
      </c>
      <c r="H616" t="s">
        <v>1931</v>
      </c>
      <c r="I616" t="s">
        <v>62</v>
      </c>
      <c r="J616" t="s">
        <v>95</v>
      </c>
      <c r="K616" t="s">
        <v>54</v>
      </c>
      <c r="L616" t="str">
        <f t="shared" si="120"/>
        <v>South</v>
      </c>
      <c r="M616" t="s">
        <v>55</v>
      </c>
      <c r="N616" t="s">
        <v>56</v>
      </c>
      <c r="O616" t="s">
        <v>41</v>
      </c>
      <c r="P616" t="s">
        <v>66</v>
      </c>
      <c r="Q616" t="s">
        <v>1932</v>
      </c>
      <c r="R616" t="s">
        <v>59</v>
      </c>
      <c r="S616" t="str">
        <f t="shared" si="121"/>
        <v>Standard Class</v>
      </c>
      <c r="T616">
        <v>8</v>
      </c>
      <c r="U616">
        <v>3398.32</v>
      </c>
      <c r="V616">
        <v>0.25</v>
      </c>
      <c r="W616">
        <f t="shared" si="122"/>
        <v>0.25</v>
      </c>
      <c r="X616" t="str">
        <f t="shared" si="123"/>
        <v/>
      </c>
      <c r="Y616">
        <v>20389.919999999998</v>
      </c>
      <c r="Z616">
        <f t="shared" si="124"/>
        <v>20389.920000000002</v>
      </c>
      <c r="AA616">
        <v>16661.080000000002</v>
      </c>
      <c r="AB616">
        <v>3728.84</v>
      </c>
      <c r="AC616">
        <f t="shared" si="125"/>
        <v>16991.600000000002</v>
      </c>
      <c r="AD616" s="6">
        <f t="shared" si="126"/>
        <v>0.83333333333333337</v>
      </c>
      <c r="AE616" t="s">
        <v>102</v>
      </c>
      <c r="AF616" t="s">
        <v>68</v>
      </c>
      <c r="AG616">
        <f t="shared" si="127"/>
        <v>2</v>
      </c>
      <c r="AH616">
        <f t="shared" si="128"/>
        <v>2024</v>
      </c>
      <c r="AI616" t="str">
        <f t="shared" si="129"/>
        <v>CLEAN</v>
      </c>
    </row>
    <row r="617" spans="1:35">
      <c r="A617" t="s">
        <v>1933</v>
      </c>
      <c r="B617">
        <f t="shared" si="117"/>
        <v>1</v>
      </c>
      <c r="C617" t="str">
        <f>IF(COUNTIF($A$2:A617, A617)&gt;1, "DUPLICATE_FLAGGED_FOR_REVIEW", "")</f>
        <v/>
      </c>
      <c r="D617" s="3">
        <v>45569</v>
      </c>
      <c r="E617" s="2">
        <v>45483</v>
      </c>
      <c r="F617" s="2" t="str">
        <f t="shared" si="118"/>
        <v>ERROR: Ship before order</v>
      </c>
      <c r="G617" s="4">
        <f t="shared" si="119"/>
        <v>-86</v>
      </c>
      <c r="H617" t="s">
        <v>1934</v>
      </c>
      <c r="I617" t="s">
        <v>118</v>
      </c>
      <c r="J617" t="s">
        <v>90</v>
      </c>
      <c r="K617" t="s">
        <v>54</v>
      </c>
      <c r="L617" t="str">
        <f t="shared" si="120"/>
        <v>South</v>
      </c>
      <c r="M617" t="s">
        <v>185</v>
      </c>
      <c r="N617" t="s">
        <v>186</v>
      </c>
      <c r="O617" t="s">
        <v>28</v>
      </c>
      <c r="P617" t="s">
        <v>48</v>
      </c>
      <c r="Q617" t="s">
        <v>1935</v>
      </c>
      <c r="R617" t="s">
        <v>31</v>
      </c>
      <c r="S617" t="str">
        <f t="shared" si="121"/>
        <v>Second Class</v>
      </c>
      <c r="T617">
        <v>2</v>
      </c>
      <c r="U617">
        <v>3144.38</v>
      </c>
      <c r="V617">
        <v>0.1</v>
      </c>
      <c r="W617">
        <f t="shared" si="122"/>
        <v>0.1</v>
      </c>
      <c r="X617" t="str">
        <f t="shared" si="123"/>
        <v/>
      </c>
      <c r="Y617">
        <v>5904.57</v>
      </c>
      <c r="Z617">
        <f t="shared" si="124"/>
        <v>5659.884</v>
      </c>
      <c r="AA617">
        <v>4337.79</v>
      </c>
      <c r="AB617">
        <v>1322.09</v>
      </c>
      <c r="AC617">
        <f t="shared" si="125"/>
        <v>2515.5039999999999</v>
      </c>
      <c r="AD617" s="6">
        <f t="shared" si="126"/>
        <v>0.44444444444444442</v>
      </c>
      <c r="AE617" t="s">
        <v>32</v>
      </c>
      <c r="AF617" t="s">
        <v>33</v>
      </c>
      <c r="AG617">
        <f t="shared" si="127"/>
        <v>10</v>
      </c>
      <c r="AH617">
        <f t="shared" si="128"/>
        <v>2024</v>
      </c>
      <c r="AI617" t="str">
        <f t="shared" si="129"/>
        <v>INVALID</v>
      </c>
    </row>
    <row r="618" spans="1:35">
      <c r="A618" t="s">
        <v>1936</v>
      </c>
      <c r="B618">
        <f t="shared" si="117"/>
        <v>1</v>
      </c>
      <c r="C618" t="str">
        <f>IF(COUNTIF($A$2:A618, A618)&gt;1, "DUPLICATE_FLAGGED_FOR_REVIEW", "")</f>
        <v/>
      </c>
      <c r="D618" s="3">
        <v>45520</v>
      </c>
      <c r="E618" s="2">
        <v>45523</v>
      </c>
      <c r="F618" s="2" t="str">
        <f t="shared" si="118"/>
        <v>OK</v>
      </c>
      <c r="G618" s="4">
        <f t="shared" si="119"/>
        <v>3</v>
      </c>
      <c r="H618" t="s">
        <v>1937</v>
      </c>
      <c r="I618" t="s">
        <v>264</v>
      </c>
      <c r="J618" t="s">
        <v>24</v>
      </c>
      <c r="K618" t="s">
        <v>54</v>
      </c>
      <c r="L618" t="str">
        <f t="shared" si="120"/>
        <v>South</v>
      </c>
      <c r="M618" t="s">
        <v>55</v>
      </c>
      <c r="N618" t="s">
        <v>56</v>
      </c>
      <c r="O618" t="s">
        <v>28</v>
      </c>
      <c r="P618" t="s">
        <v>29</v>
      </c>
      <c r="Q618" t="s">
        <v>1938</v>
      </c>
      <c r="R618" t="s">
        <v>59</v>
      </c>
      <c r="S618" t="str">
        <f t="shared" si="121"/>
        <v>Standard Class</v>
      </c>
      <c r="T618">
        <v>6</v>
      </c>
      <c r="U618">
        <v>3925.55</v>
      </c>
      <c r="V618">
        <v>0.2</v>
      </c>
      <c r="W618">
        <f t="shared" si="122"/>
        <v>0.2</v>
      </c>
      <c r="X618" t="str">
        <f t="shared" si="123"/>
        <v/>
      </c>
      <c r="Y618">
        <v>18842.64</v>
      </c>
      <c r="Z618">
        <f t="shared" si="124"/>
        <v>18842.640000000003</v>
      </c>
      <c r="AA618">
        <v>11840.58</v>
      </c>
      <c r="AB618">
        <v>7002.06</v>
      </c>
      <c r="AC618">
        <f t="shared" si="125"/>
        <v>14917.090000000004</v>
      </c>
      <c r="AD618" s="6">
        <f t="shared" si="126"/>
        <v>0.79166666666666674</v>
      </c>
      <c r="AE618" t="s">
        <v>32</v>
      </c>
      <c r="AF618" t="s">
        <v>33</v>
      </c>
      <c r="AG618">
        <f t="shared" si="127"/>
        <v>8</v>
      </c>
      <c r="AH618">
        <f t="shared" si="128"/>
        <v>2024</v>
      </c>
      <c r="AI618" t="str">
        <f t="shared" si="129"/>
        <v>CLEAN</v>
      </c>
    </row>
    <row r="619" spans="1:35">
      <c r="A619" t="s">
        <v>1939</v>
      </c>
      <c r="B619">
        <f t="shared" si="117"/>
        <v>1</v>
      </c>
      <c r="C619" t="str">
        <f>IF(COUNTIF($A$2:A619, A619)&gt;1, "DUPLICATE_FLAGGED_FOR_REVIEW", "")</f>
        <v/>
      </c>
      <c r="D619" s="3">
        <v>45564</v>
      </c>
      <c r="E619" s="2">
        <v>45565</v>
      </c>
      <c r="F619" s="2" t="str">
        <f t="shared" si="118"/>
        <v>OK</v>
      </c>
      <c r="G619" s="4">
        <f t="shared" si="119"/>
        <v>1</v>
      </c>
      <c r="H619" t="s">
        <v>1940</v>
      </c>
      <c r="I619" t="s">
        <v>36</v>
      </c>
      <c r="J619" t="s">
        <v>95</v>
      </c>
      <c r="K619" t="s">
        <v>54</v>
      </c>
      <c r="L619" t="str">
        <f t="shared" si="120"/>
        <v>South</v>
      </c>
      <c r="M619" t="s">
        <v>55</v>
      </c>
      <c r="N619" t="s">
        <v>56</v>
      </c>
      <c r="O619" t="s">
        <v>74</v>
      </c>
      <c r="P619" t="s">
        <v>171</v>
      </c>
      <c r="Q619" t="s">
        <v>1941</v>
      </c>
      <c r="R619" t="s">
        <v>59</v>
      </c>
      <c r="S619" t="str">
        <f t="shared" si="121"/>
        <v>Standard Class</v>
      </c>
      <c r="T619">
        <v>9</v>
      </c>
      <c r="U619">
        <v>2741.91</v>
      </c>
      <c r="V619">
        <v>0</v>
      </c>
      <c r="W619">
        <f t="shared" si="122"/>
        <v>0</v>
      </c>
      <c r="X619" t="str">
        <f t="shared" si="123"/>
        <v/>
      </c>
      <c r="Y619">
        <v>24677.19</v>
      </c>
      <c r="Z619">
        <f t="shared" si="124"/>
        <v>24677.19</v>
      </c>
      <c r="AA619">
        <v>20350.849999999999</v>
      </c>
      <c r="AB619">
        <v>4326.34</v>
      </c>
      <c r="AC619">
        <f t="shared" si="125"/>
        <v>21935.279999999999</v>
      </c>
      <c r="AD619" s="6">
        <f t="shared" si="126"/>
        <v>0.88888888888888884</v>
      </c>
      <c r="AE619" t="s">
        <v>32</v>
      </c>
      <c r="AF619" t="s">
        <v>33</v>
      </c>
      <c r="AG619">
        <f t="shared" si="127"/>
        <v>9</v>
      </c>
      <c r="AH619">
        <f t="shared" si="128"/>
        <v>2024</v>
      </c>
      <c r="AI619" t="str">
        <f t="shared" si="129"/>
        <v>CLEAN</v>
      </c>
    </row>
    <row r="620" spans="1:35">
      <c r="A620" t="s">
        <v>1942</v>
      </c>
      <c r="B620">
        <f t="shared" si="117"/>
        <v>1</v>
      </c>
      <c r="C620" t="str">
        <f>IF(COUNTIF($A$2:A620, A620)&gt;1, "DUPLICATE_FLAGGED_FOR_REVIEW", "")</f>
        <v/>
      </c>
      <c r="D620" s="3">
        <v>45496</v>
      </c>
      <c r="E620" s="2">
        <v>45503</v>
      </c>
      <c r="F620" s="2" t="str">
        <f t="shared" si="118"/>
        <v>OK</v>
      </c>
      <c r="G620" s="4">
        <f t="shared" si="119"/>
        <v>7</v>
      </c>
      <c r="H620" t="s">
        <v>1943</v>
      </c>
      <c r="I620" t="s">
        <v>264</v>
      </c>
      <c r="J620" t="s">
        <v>90</v>
      </c>
      <c r="K620" t="s">
        <v>25</v>
      </c>
      <c r="L620" t="str">
        <f t="shared" si="120"/>
        <v>North</v>
      </c>
      <c r="M620" t="s">
        <v>26</v>
      </c>
      <c r="N620" t="s">
        <v>27</v>
      </c>
      <c r="O620" t="s">
        <v>41</v>
      </c>
      <c r="P620" t="s">
        <v>42</v>
      </c>
      <c r="Q620" t="s">
        <v>1944</v>
      </c>
      <c r="R620" t="s">
        <v>44</v>
      </c>
      <c r="S620" t="str">
        <f t="shared" si="121"/>
        <v>Same Day</v>
      </c>
      <c r="T620">
        <v>9</v>
      </c>
      <c r="U620">
        <v>1870.11</v>
      </c>
      <c r="V620">
        <v>0.25</v>
      </c>
      <c r="W620">
        <f t="shared" si="122"/>
        <v>0.25</v>
      </c>
      <c r="X620" t="str">
        <f t="shared" si="123"/>
        <v/>
      </c>
      <c r="Y620">
        <v>12623.24</v>
      </c>
      <c r="Z620">
        <f t="shared" si="124"/>
        <v>12623.242499999998</v>
      </c>
      <c r="AA620">
        <v>10540.8</v>
      </c>
      <c r="AB620">
        <v>2082.44</v>
      </c>
      <c r="AC620">
        <f t="shared" si="125"/>
        <v>10753.132499999998</v>
      </c>
      <c r="AD620" s="6">
        <f t="shared" si="126"/>
        <v>0.85185185185185175</v>
      </c>
      <c r="AE620" t="s">
        <v>155</v>
      </c>
      <c r="AF620" t="s">
        <v>68</v>
      </c>
      <c r="AG620">
        <f t="shared" si="127"/>
        <v>7</v>
      </c>
      <c r="AH620">
        <f t="shared" si="128"/>
        <v>2024</v>
      </c>
      <c r="AI620" t="str">
        <f t="shared" si="129"/>
        <v>CLEAN</v>
      </c>
    </row>
    <row r="621" spans="1:35">
      <c r="A621" t="s">
        <v>1945</v>
      </c>
      <c r="B621">
        <f t="shared" si="117"/>
        <v>1</v>
      </c>
      <c r="C621" t="str">
        <f>IF(COUNTIF($A$2:A621, A621)&gt;1, "DUPLICATE_FLAGGED_FOR_REVIEW", "")</f>
        <v/>
      </c>
      <c r="D621" s="3">
        <v>45618</v>
      </c>
      <c r="E621" s="2">
        <v>45623</v>
      </c>
      <c r="F621" s="2" t="str">
        <f t="shared" si="118"/>
        <v>OK</v>
      </c>
      <c r="G621" s="4">
        <f t="shared" si="119"/>
        <v>5</v>
      </c>
      <c r="H621" t="s">
        <v>1946</v>
      </c>
      <c r="I621" t="s">
        <v>114</v>
      </c>
      <c r="J621" t="s">
        <v>90</v>
      </c>
      <c r="K621" t="s">
        <v>54</v>
      </c>
      <c r="L621" t="str">
        <f t="shared" si="120"/>
        <v>South</v>
      </c>
      <c r="M621" t="s">
        <v>247</v>
      </c>
      <c r="N621" t="s">
        <v>248</v>
      </c>
      <c r="O621" t="s">
        <v>28</v>
      </c>
      <c r="P621" t="s">
        <v>153</v>
      </c>
      <c r="Q621" t="s">
        <v>1947</v>
      </c>
      <c r="R621" t="s">
        <v>50</v>
      </c>
      <c r="S621" t="str">
        <f t="shared" si="121"/>
        <v>First Class</v>
      </c>
      <c r="T621">
        <v>1</v>
      </c>
      <c r="U621">
        <v>4251.26</v>
      </c>
      <c r="V621">
        <v>0.2</v>
      </c>
      <c r="W621">
        <f t="shared" si="122"/>
        <v>0.2</v>
      </c>
      <c r="X621" t="str">
        <f t="shared" si="123"/>
        <v/>
      </c>
      <c r="Y621">
        <v>3401.01</v>
      </c>
      <c r="Z621">
        <f t="shared" si="124"/>
        <v>3401.0080000000003</v>
      </c>
      <c r="AA621">
        <v>2917.54</v>
      </c>
      <c r="AB621">
        <v>483.47</v>
      </c>
      <c r="AC621">
        <f t="shared" si="125"/>
        <v>-850.25199999999995</v>
      </c>
      <c r="AD621" s="6">
        <f t="shared" si="126"/>
        <v>-0.24999999999999997</v>
      </c>
      <c r="AE621" t="s">
        <v>102</v>
      </c>
      <c r="AF621" t="s">
        <v>103</v>
      </c>
      <c r="AG621">
        <f t="shared" si="127"/>
        <v>11</v>
      </c>
      <c r="AH621">
        <f t="shared" si="128"/>
        <v>2024</v>
      </c>
      <c r="AI621" t="str">
        <f t="shared" si="129"/>
        <v>CLEAN</v>
      </c>
    </row>
    <row r="622" spans="1:35">
      <c r="A622" t="s">
        <v>1948</v>
      </c>
      <c r="B622">
        <f t="shared" si="117"/>
        <v>1</v>
      </c>
      <c r="C622" t="str">
        <f>IF(COUNTIF($A$2:A622, A622)&gt;1, "DUPLICATE_FLAGGED_FOR_REVIEW", "")</f>
        <v/>
      </c>
      <c r="D622" s="3">
        <v>45522</v>
      </c>
      <c r="E622" s="2">
        <v>45525</v>
      </c>
      <c r="F622" s="2" t="str">
        <f t="shared" si="118"/>
        <v>OK</v>
      </c>
      <c r="G622" s="4">
        <f t="shared" si="119"/>
        <v>3</v>
      </c>
      <c r="H622" t="s">
        <v>1949</v>
      </c>
      <c r="I622" t="s">
        <v>71</v>
      </c>
      <c r="J622" t="s">
        <v>24</v>
      </c>
      <c r="K622" t="s">
        <v>25</v>
      </c>
      <c r="L622" t="str">
        <f t="shared" si="120"/>
        <v>North</v>
      </c>
      <c r="M622" t="s">
        <v>136</v>
      </c>
      <c r="N622" t="s">
        <v>137</v>
      </c>
      <c r="O622" t="s">
        <v>74</v>
      </c>
      <c r="P622" t="s">
        <v>274</v>
      </c>
      <c r="Q622" t="s">
        <v>1950</v>
      </c>
      <c r="R622" t="s">
        <v>59</v>
      </c>
      <c r="S622" t="str">
        <f t="shared" si="121"/>
        <v>Standard Class</v>
      </c>
      <c r="T622">
        <v>9</v>
      </c>
      <c r="U622">
        <v>734.34</v>
      </c>
      <c r="V622">
        <v>0</v>
      </c>
      <c r="W622">
        <f t="shared" si="122"/>
        <v>0</v>
      </c>
      <c r="X622" t="str">
        <f t="shared" si="123"/>
        <v/>
      </c>
      <c r="Y622">
        <v>6609.06</v>
      </c>
      <c r="Z622">
        <f t="shared" si="124"/>
        <v>6609.06</v>
      </c>
      <c r="AA622">
        <v>4946.78</v>
      </c>
      <c r="AB622">
        <v>1662.28</v>
      </c>
      <c r="AC622">
        <f t="shared" si="125"/>
        <v>5874.72</v>
      </c>
      <c r="AD622" s="6">
        <f t="shared" si="126"/>
        <v>0.88888888888888884</v>
      </c>
      <c r="AE622" t="s">
        <v>32</v>
      </c>
      <c r="AF622" t="s">
        <v>33</v>
      </c>
      <c r="AG622">
        <f t="shared" si="127"/>
        <v>8</v>
      </c>
      <c r="AH622">
        <f t="shared" si="128"/>
        <v>2024</v>
      </c>
      <c r="AI622" t="str">
        <f t="shared" si="129"/>
        <v>CLEAN</v>
      </c>
    </row>
    <row r="623" spans="1:35">
      <c r="A623" t="s">
        <v>1951</v>
      </c>
      <c r="B623">
        <f t="shared" si="117"/>
        <v>1</v>
      </c>
      <c r="C623" t="str">
        <f>IF(COUNTIF($A$2:A623, A623)&gt;1, "DUPLICATE_FLAGGED_FOR_REVIEW", "")</f>
        <v/>
      </c>
      <c r="D623" s="3">
        <v>45624</v>
      </c>
      <c r="E623" s="2">
        <v>45632</v>
      </c>
      <c r="F623" s="2" t="str">
        <f t="shared" si="118"/>
        <v>OK</v>
      </c>
      <c r="G623" s="4">
        <f t="shared" si="119"/>
        <v>8</v>
      </c>
      <c r="H623" t="s">
        <v>1952</v>
      </c>
      <c r="I623" t="s">
        <v>89</v>
      </c>
      <c r="J623" t="s">
        <v>24</v>
      </c>
      <c r="K623" t="s">
        <v>63</v>
      </c>
      <c r="L623" t="str">
        <f t="shared" si="120"/>
        <v>West</v>
      </c>
      <c r="M623" t="s">
        <v>64</v>
      </c>
      <c r="N623" t="s">
        <v>65</v>
      </c>
      <c r="O623" t="s">
        <v>41</v>
      </c>
      <c r="P623" t="s">
        <v>66</v>
      </c>
      <c r="Q623" t="s">
        <v>1953</v>
      </c>
      <c r="R623" t="s">
        <v>44</v>
      </c>
      <c r="S623" t="str">
        <f t="shared" si="121"/>
        <v>Same Day</v>
      </c>
      <c r="T623">
        <v>5</v>
      </c>
      <c r="U623">
        <v>1092.8399999999999</v>
      </c>
      <c r="W623">
        <f t="shared" si="122"/>
        <v>0</v>
      </c>
      <c r="X623" t="str">
        <f t="shared" si="123"/>
        <v>DISCOUNT_MISSING_SET_TO_0</v>
      </c>
      <c r="Y623">
        <v>5464.2</v>
      </c>
      <c r="Z623">
        <f t="shared" si="124"/>
        <v>5464.2</v>
      </c>
      <c r="AA623">
        <v>3318.09</v>
      </c>
      <c r="AB623">
        <v>2146.11</v>
      </c>
      <c r="AC623">
        <f t="shared" si="125"/>
        <v>4371.3599999999997</v>
      </c>
      <c r="AD623" s="6">
        <f t="shared" si="126"/>
        <v>0.79999999999999993</v>
      </c>
      <c r="AE623" t="s">
        <v>32</v>
      </c>
      <c r="AF623" t="s">
        <v>33</v>
      </c>
      <c r="AG623">
        <f t="shared" si="127"/>
        <v>11</v>
      </c>
      <c r="AH623">
        <f t="shared" si="128"/>
        <v>2024</v>
      </c>
      <c r="AI623" t="str">
        <f t="shared" si="129"/>
        <v>WARNING</v>
      </c>
    </row>
    <row r="624" spans="1:35">
      <c r="A624" t="s">
        <v>1954</v>
      </c>
      <c r="B624">
        <f t="shared" si="117"/>
        <v>1</v>
      </c>
      <c r="C624" t="str">
        <f>IF(COUNTIF($A$2:A624, A624)&gt;1, "DUPLICATE_FLAGGED_FOR_REVIEW", "")</f>
        <v/>
      </c>
      <c r="D624" s="3">
        <v>45686</v>
      </c>
      <c r="E624" s="2">
        <v>45694</v>
      </c>
      <c r="F624" s="2" t="str">
        <f t="shared" si="118"/>
        <v>OK</v>
      </c>
      <c r="G624" s="4">
        <f t="shared" si="119"/>
        <v>8</v>
      </c>
      <c r="H624" t="s">
        <v>1955</v>
      </c>
      <c r="I624" t="s">
        <v>71</v>
      </c>
      <c r="J624" t="s">
        <v>24</v>
      </c>
      <c r="K624" t="s">
        <v>38</v>
      </c>
      <c r="L624" t="str">
        <f t="shared" si="120"/>
        <v>East</v>
      </c>
      <c r="M624" t="s">
        <v>145</v>
      </c>
      <c r="N624" t="s">
        <v>146</v>
      </c>
      <c r="O624" t="s">
        <v>28</v>
      </c>
      <c r="P624" t="s">
        <v>124</v>
      </c>
      <c r="Q624" t="s">
        <v>1956</v>
      </c>
      <c r="R624" t="s">
        <v>59</v>
      </c>
      <c r="S624" t="str">
        <f t="shared" si="121"/>
        <v>Standard Class</v>
      </c>
      <c r="T624">
        <v>4</v>
      </c>
      <c r="U624">
        <v>2759.01</v>
      </c>
      <c r="V624">
        <v>0.05</v>
      </c>
      <c r="W624">
        <f t="shared" si="122"/>
        <v>0.05</v>
      </c>
      <c r="X624" t="str">
        <f t="shared" si="123"/>
        <v/>
      </c>
      <c r="Y624">
        <v>10484.24</v>
      </c>
      <c r="Z624">
        <f t="shared" si="124"/>
        <v>10484.238000000001</v>
      </c>
      <c r="AA624">
        <v>6680.15</v>
      </c>
      <c r="AB624">
        <v>3804.09</v>
      </c>
      <c r="AC624">
        <f t="shared" si="125"/>
        <v>7725.228000000001</v>
      </c>
      <c r="AD624" s="6">
        <f t="shared" si="126"/>
        <v>0.73684210526315785</v>
      </c>
      <c r="AE624" t="s">
        <v>32</v>
      </c>
      <c r="AF624" t="s">
        <v>33</v>
      </c>
      <c r="AG624">
        <f t="shared" si="127"/>
        <v>1</v>
      </c>
      <c r="AH624">
        <f t="shared" si="128"/>
        <v>2025</v>
      </c>
      <c r="AI624" t="str">
        <f t="shared" si="129"/>
        <v>CLEAN</v>
      </c>
    </row>
    <row r="625" spans="1:35">
      <c r="A625" t="s">
        <v>1957</v>
      </c>
      <c r="B625">
        <f t="shared" si="117"/>
        <v>1</v>
      </c>
      <c r="C625" t="str">
        <f>IF(COUNTIF($A$2:A625, A625)&gt;1, "DUPLICATE_FLAGGED_FOR_REVIEW", "")</f>
        <v/>
      </c>
      <c r="D625" s="3">
        <v>45512</v>
      </c>
      <c r="E625" s="2">
        <v>45518</v>
      </c>
      <c r="F625" s="2" t="str">
        <f t="shared" si="118"/>
        <v>OK</v>
      </c>
      <c r="G625" s="4">
        <f t="shared" si="119"/>
        <v>6</v>
      </c>
      <c r="H625" t="s">
        <v>1958</v>
      </c>
      <c r="I625" t="s">
        <v>71</v>
      </c>
      <c r="J625" t="s">
        <v>95</v>
      </c>
      <c r="K625" t="s">
        <v>25</v>
      </c>
      <c r="L625" t="str">
        <f t="shared" si="120"/>
        <v>North</v>
      </c>
      <c r="M625" t="s">
        <v>122</v>
      </c>
      <c r="N625" t="s">
        <v>123</v>
      </c>
      <c r="O625" t="s">
        <v>28</v>
      </c>
      <c r="P625" t="s">
        <v>124</v>
      </c>
      <c r="Q625" t="s">
        <v>1959</v>
      </c>
      <c r="R625" t="s">
        <v>31</v>
      </c>
      <c r="S625" t="str">
        <f t="shared" si="121"/>
        <v>Second Class</v>
      </c>
      <c r="T625">
        <v>8</v>
      </c>
      <c r="U625">
        <v>1359.19</v>
      </c>
      <c r="V625">
        <v>0.05</v>
      </c>
      <c r="W625">
        <f t="shared" si="122"/>
        <v>0.05</v>
      </c>
      <c r="X625" t="str">
        <f t="shared" si="123"/>
        <v/>
      </c>
      <c r="Y625">
        <v>10329.84</v>
      </c>
      <c r="Z625">
        <f t="shared" si="124"/>
        <v>10329.843999999999</v>
      </c>
      <c r="AA625">
        <v>7512.22</v>
      </c>
      <c r="AB625">
        <v>2817.62</v>
      </c>
      <c r="AC625">
        <f t="shared" si="125"/>
        <v>8970.6539999999986</v>
      </c>
      <c r="AD625" s="6">
        <f t="shared" si="126"/>
        <v>0.86842105263157887</v>
      </c>
      <c r="AE625" t="s">
        <v>32</v>
      </c>
      <c r="AF625" t="s">
        <v>33</v>
      </c>
      <c r="AG625">
        <f t="shared" si="127"/>
        <v>8</v>
      </c>
      <c r="AH625">
        <f t="shared" si="128"/>
        <v>2024</v>
      </c>
      <c r="AI625" t="str">
        <f t="shared" si="129"/>
        <v>CLEAN</v>
      </c>
    </row>
    <row r="626" spans="1:35">
      <c r="A626" t="s">
        <v>1960</v>
      </c>
      <c r="B626">
        <f t="shared" si="117"/>
        <v>1</v>
      </c>
      <c r="C626" t="str">
        <f>IF(COUNTIF($A$2:A626, A626)&gt;1, "DUPLICATE_FLAGGED_FOR_REVIEW", "")</f>
        <v/>
      </c>
      <c r="D626" s="3">
        <v>45321</v>
      </c>
      <c r="E626" s="2">
        <v>45323</v>
      </c>
      <c r="F626" s="2" t="str">
        <f t="shared" si="118"/>
        <v>OK</v>
      </c>
      <c r="G626" s="4">
        <f t="shared" si="119"/>
        <v>2</v>
      </c>
      <c r="H626" t="s">
        <v>1961</v>
      </c>
      <c r="I626" t="s">
        <v>79</v>
      </c>
      <c r="J626" t="s">
        <v>95</v>
      </c>
      <c r="K626" t="s">
        <v>38</v>
      </c>
      <c r="L626" t="str">
        <f t="shared" si="120"/>
        <v>East</v>
      </c>
      <c r="M626" t="s">
        <v>166</v>
      </c>
      <c r="N626" t="s">
        <v>167</v>
      </c>
      <c r="O626" t="s">
        <v>41</v>
      </c>
      <c r="P626" t="s">
        <v>66</v>
      </c>
      <c r="Q626" t="s">
        <v>1962</v>
      </c>
      <c r="R626" t="s">
        <v>50</v>
      </c>
      <c r="S626" t="str">
        <f t="shared" si="121"/>
        <v>First Class</v>
      </c>
      <c r="T626">
        <v>2</v>
      </c>
      <c r="U626">
        <v>4451.03</v>
      </c>
      <c r="V626">
        <v>0.05</v>
      </c>
      <c r="W626">
        <f t="shared" si="122"/>
        <v>0.05</v>
      </c>
      <c r="X626" t="str">
        <f t="shared" si="123"/>
        <v/>
      </c>
      <c r="Y626">
        <v>8456.9599999999991</v>
      </c>
      <c r="Z626">
        <f t="shared" si="124"/>
        <v>8456.9569999999985</v>
      </c>
      <c r="AA626">
        <v>5462.85</v>
      </c>
      <c r="AB626">
        <v>2994.11</v>
      </c>
      <c r="AC626">
        <f t="shared" si="125"/>
        <v>4005.9269999999988</v>
      </c>
      <c r="AD626" s="6">
        <f t="shared" si="126"/>
        <v>0.47368421052631571</v>
      </c>
      <c r="AE626" t="s">
        <v>32</v>
      </c>
      <c r="AF626" t="s">
        <v>33</v>
      </c>
      <c r="AG626">
        <f t="shared" si="127"/>
        <v>1</v>
      </c>
      <c r="AH626">
        <f t="shared" si="128"/>
        <v>2024</v>
      </c>
      <c r="AI626" t="str">
        <f t="shared" si="129"/>
        <v>CLEAN</v>
      </c>
    </row>
    <row r="627" spans="1:35">
      <c r="A627" t="s">
        <v>1963</v>
      </c>
      <c r="B627">
        <f t="shared" si="117"/>
        <v>1</v>
      </c>
      <c r="C627" t="str">
        <f>IF(COUNTIF($A$2:A627, A627)&gt;1, "DUPLICATE_FLAGGED_FOR_REVIEW", "")</f>
        <v/>
      </c>
      <c r="D627" s="3">
        <v>45641</v>
      </c>
      <c r="E627" s="2">
        <v>45647</v>
      </c>
      <c r="F627" s="2" t="str">
        <f t="shared" si="118"/>
        <v>OK</v>
      </c>
      <c r="G627" s="4">
        <f t="shared" si="119"/>
        <v>6</v>
      </c>
      <c r="H627" t="s">
        <v>1964</v>
      </c>
      <c r="I627" t="s">
        <v>162</v>
      </c>
      <c r="J627" t="s">
        <v>90</v>
      </c>
      <c r="K627" t="s">
        <v>63</v>
      </c>
      <c r="L627" t="str">
        <f t="shared" si="120"/>
        <v>West</v>
      </c>
      <c r="M627" t="s">
        <v>26</v>
      </c>
      <c r="N627" t="s">
        <v>109</v>
      </c>
      <c r="O627" t="s">
        <v>41</v>
      </c>
      <c r="P627" t="s">
        <v>66</v>
      </c>
      <c r="Q627" t="s">
        <v>1965</v>
      </c>
      <c r="R627" t="s">
        <v>44</v>
      </c>
      <c r="S627" t="str">
        <f t="shared" si="121"/>
        <v>Same Day</v>
      </c>
      <c r="T627">
        <v>3</v>
      </c>
      <c r="U627">
        <v>527.66999999999996</v>
      </c>
      <c r="V627">
        <v>0.2</v>
      </c>
      <c r="W627">
        <f t="shared" si="122"/>
        <v>0.2</v>
      </c>
      <c r="X627" t="str">
        <f t="shared" si="123"/>
        <v/>
      </c>
      <c r="Y627">
        <v>1266.4100000000001</v>
      </c>
      <c r="Z627">
        <f t="shared" si="124"/>
        <v>1266.4079999999999</v>
      </c>
      <c r="AA627">
        <v>983.92</v>
      </c>
      <c r="AB627">
        <v>282.49</v>
      </c>
      <c r="AC627">
        <f t="shared" si="125"/>
        <v>738.73799999999994</v>
      </c>
      <c r="AD627" s="6">
        <f t="shared" si="126"/>
        <v>0.58333333333333337</v>
      </c>
      <c r="AE627" t="s">
        <v>32</v>
      </c>
      <c r="AF627" t="s">
        <v>33</v>
      </c>
      <c r="AG627">
        <f t="shared" si="127"/>
        <v>12</v>
      </c>
      <c r="AH627">
        <f t="shared" si="128"/>
        <v>2024</v>
      </c>
      <c r="AI627" t="str">
        <f t="shared" si="129"/>
        <v>CLEAN</v>
      </c>
    </row>
    <row r="628" spans="1:35">
      <c r="A628" t="s">
        <v>1966</v>
      </c>
      <c r="B628">
        <f t="shared" si="117"/>
        <v>1</v>
      </c>
      <c r="C628" t="str">
        <f>IF(COUNTIF($A$2:A628, A628)&gt;1, "DUPLICATE_FLAGGED_FOR_REVIEW", "")</f>
        <v/>
      </c>
      <c r="D628" s="3">
        <v>45812</v>
      </c>
      <c r="E628" s="2">
        <v>45844</v>
      </c>
      <c r="F628" s="2" t="str">
        <f t="shared" si="118"/>
        <v>OK</v>
      </c>
      <c r="G628" s="4">
        <f t="shared" si="119"/>
        <v>32</v>
      </c>
      <c r="H628" t="s">
        <v>1967</v>
      </c>
      <c r="I628" t="s">
        <v>132</v>
      </c>
      <c r="J628" t="s">
        <v>95</v>
      </c>
      <c r="K628" t="s">
        <v>38</v>
      </c>
      <c r="L628" t="str">
        <f t="shared" si="120"/>
        <v>East</v>
      </c>
      <c r="M628" t="s">
        <v>166</v>
      </c>
      <c r="N628" t="s">
        <v>167</v>
      </c>
      <c r="O628" t="s">
        <v>74</v>
      </c>
      <c r="P628" t="s">
        <v>274</v>
      </c>
      <c r="Q628" t="s">
        <v>1968</v>
      </c>
      <c r="R628" t="s">
        <v>59</v>
      </c>
      <c r="S628" t="str">
        <f t="shared" si="121"/>
        <v>Standard Class</v>
      </c>
      <c r="T628">
        <v>8</v>
      </c>
      <c r="U628">
        <v>1434.13</v>
      </c>
      <c r="V628">
        <v>0</v>
      </c>
      <c r="W628">
        <f t="shared" si="122"/>
        <v>0</v>
      </c>
      <c r="X628" t="str">
        <f t="shared" si="123"/>
        <v/>
      </c>
      <c r="Y628">
        <v>11473.04</v>
      </c>
      <c r="Z628">
        <f t="shared" si="124"/>
        <v>11473.04</v>
      </c>
      <c r="AA628">
        <v>8931.33</v>
      </c>
      <c r="AB628">
        <v>2541.71</v>
      </c>
      <c r="AC628">
        <f t="shared" si="125"/>
        <v>10038.91</v>
      </c>
      <c r="AD628" s="6">
        <f t="shared" si="126"/>
        <v>0.87499999999999989</v>
      </c>
      <c r="AE628" t="s">
        <v>111</v>
      </c>
      <c r="AF628" t="s">
        <v>103</v>
      </c>
      <c r="AG628">
        <f t="shared" si="127"/>
        <v>6</v>
      </c>
      <c r="AH628">
        <f t="shared" si="128"/>
        <v>2025</v>
      </c>
      <c r="AI628" t="str">
        <f t="shared" si="129"/>
        <v>CLEAN</v>
      </c>
    </row>
    <row r="629" spans="1:35">
      <c r="A629" t="s">
        <v>1969</v>
      </c>
      <c r="B629">
        <f t="shared" si="117"/>
        <v>1</v>
      </c>
      <c r="C629" t="str">
        <f>IF(COUNTIF($A$2:A629, A629)&gt;1, "DUPLICATE_FLAGGED_FOR_REVIEW", "")</f>
        <v/>
      </c>
      <c r="D629" s="3">
        <v>45701</v>
      </c>
      <c r="E629" s="2">
        <v>45709</v>
      </c>
      <c r="F629" s="2" t="str">
        <f t="shared" si="118"/>
        <v>OK</v>
      </c>
      <c r="G629" s="4">
        <f t="shared" si="119"/>
        <v>8</v>
      </c>
      <c r="H629" t="s">
        <v>1970</v>
      </c>
      <c r="I629" t="s">
        <v>23</v>
      </c>
      <c r="J629" t="s">
        <v>37</v>
      </c>
      <c r="K629" t="s">
        <v>54</v>
      </c>
      <c r="L629" t="str">
        <f t="shared" si="120"/>
        <v>South</v>
      </c>
      <c r="M629" t="s">
        <v>185</v>
      </c>
      <c r="N629" t="s">
        <v>186</v>
      </c>
      <c r="O629" t="s">
        <v>74</v>
      </c>
      <c r="P629" t="s">
        <v>171</v>
      </c>
      <c r="Q629" t="s">
        <v>1971</v>
      </c>
      <c r="R629" t="s">
        <v>31</v>
      </c>
      <c r="S629" t="str">
        <f t="shared" si="121"/>
        <v>Second Class</v>
      </c>
      <c r="T629">
        <v>2</v>
      </c>
      <c r="U629">
        <v>2360.02</v>
      </c>
      <c r="V629">
        <v>0.15</v>
      </c>
      <c r="W629">
        <f t="shared" si="122"/>
        <v>0.15</v>
      </c>
      <c r="X629" t="str">
        <f t="shared" si="123"/>
        <v/>
      </c>
      <c r="Y629">
        <v>4012.03</v>
      </c>
      <c r="Z629">
        <f t="shared" si="124"/>
        <v>4012.0339999999997</v>
      </c>
      <c r="AA629">
        <v>3142.92</v>
      </c>
      <c r="AB629">
        <v>869.11</v>
      </c>
      <c r="AC629">
        <f t="shared" si="125"/>
        <v>1652.0139999999997</v>
      </c>
      <c r="AD629" s="6">
        <f t="shared" si="126"/>
        <v>0.41176470588235292</v>
      </c>
      <c r="AE629" t="s">
        <v>111</v>
      </c>
      <c r="AF629" t="s">
        <v>68</v>
      </c>
      <c r="AG629">
        <f t="shared" si="127"/>
        <v>2</v>
      </c>
      <c r="AH629">
        <f t="shared" si="128"/>
        <v>2025</v>
      </c>
      <c r="AI629" t="str">
        <f t="shared" si="129"/>
        <v>CLEAN</v>
      </c>
    </row>
    <row r="630" spans="1:35">
      <c r="A630" t="s">
        <v>1972</v>
      </c>
      <c r="B630">
        <f t="shared" si="117"/>
        <v>1</v>
      </c>
      <c r="C630" t="str">
        <f>IF(COUNTIF($A$2:A630, A630)&gt;1, "DUPLICATE_FLAGGED_FOR_REVIEW", "")</f>
        <v/>
      </c>
      <c r="D630" s="3">
        <v>45935</v>
      </c>
      <c r="E630" s="2">
        <v>45942</v>
      </c>
      <c r="F630" s="2" t="str">
        <f t="shared" si="118"/>
        <v>OK</v>
      </c>
      <c r="G630" s="4">
        <f t="shared" si="119"/>
        <v>7</v>
      </c>
      <c r="H630" t="s">
        <v>1973</v>
      </c>
      <c r="I630" t="s">
        <v>62</v>
      </c>
      <c r="J630" t="s">
        <v>95</v>
      </c>
      <c r="K630" t="s">
        <v>38</v>
      </c>
      <c r="L630" t="str">
        <f t="shared" si="120"/>
        <v>East</v>
      </c>
      <c r="M630" t="s">
        <v>228</v>
      </c>
      <c r="N630" t="s">
        <v>229</v>
      </c>
      <c r="O630" t="s">
        <v>74</v>
      </c>
      <c r="P630" t="s">
        <v>75</v>
      </c>
      <c r="Q630" t="s">
        <v>1974</v>
      </c>
      <c r="R630" t="s">
        <v>44</v>
      </c>
      <c r="S630" t="str">
        <f t="shared" si="121"/>
        <v>Same Day</v>
      </c>
      <c r="T630">
        <v>7</v>
      </c>
      <c r="U630">
        <v>806.67</v>
      </c>
      <c r="V630">
        <v>0.05</v>
      </c>
      <c r="W630">
        <f t="shared" si="122"/>
        <v>0.05</v>
      </c>
      <c r="X630" t="str">
        <f t="shared" si="123"/>
        <v/>
      </c>
      <c r="Y630">
        <v>5364.36</v>
      </c>
      <c r="Z630">
        <f t="shared" si="124"/>
        <v>5364.3554999999997</v>
      </c>
      <c r="AA630">
        <v>4391.29</v>
      </c>
      <c r="AB630">
        <v>973.07</v>
      </c>
      <c r="AC630">
        <f t="shared" si="125"/>
        <v>4557.6854999999996</v>
      </c>
      <c r="AD630" s="6">
        <f t="shared" si="126"/>
        <v>0.84962406015037595</v>
      </c>
      <c r="AE630" t="s">
        <v>32</v>
      </c>
      <c r="AF630" t="s">
        <v>33</v>
      </c>
      <c r="AG630">
        <f t="shared" si="127"/>
        <v>10</v>
      </c>
      <c r="AH630">
        <f t="shared" si="128"/>
        <v>2025</v>
      </c>
      <c r="AI630" t="str">
        <f t="shared" si="129"/>
        <v>CLEAN</v>
      </c>
    </row>
    <row r="631" spans="1:35">
      <c r="A631" t="s">
        <v>1975</v>
      </c>
      <c r="B631">
        <f t="shared" si="117"/>
        <v>1</v>
      </c>
      <c r="C631" t="str">
        <f>IF(COUNTIF($A$2:A631, A631)&gt;1, "DUPLICATE_FLAGGED_FOR_REVIEW", "")</f>
        <v/>
      </c>
      <c r="D631" s="3">
        <v>45939</v>
      </c>
      <c r="E631" s="2">
        <v>45914</v>
      </c>
      <c r="F631" s="2" t="str">
        <f t="shared" si="118"/>
        <v>ERROR: Ship before order</v>
      </c>
      <c r="G631" s="4">
        <f t="shared" si="119"/>
        <v>-25</v>
      </c>
      <c r="H631" t="s">
        <v>1976</v>
      </c>
      <c r="I631" t="s">
        <v>53</v>
      </c>
      <c r="J631" t="s">
        <v>95</v>
      </c>
      <c r="K631" t="s">
        <v>63</v>
      </c>
      <c r="L631" t="str">
        <f t="shared" si="120"/>
        <v>West</v>
      </c>
      <c r="M631" t="s">
        <v>180</v>
      </c>
      <c r="N631" t="s">
        <v>181</v>
      </c>
      <c r="O631" t="s">
        <v>41</v>
      </c>
      <c r="P631" t="s">
        <v>42</v>
      </c>
      <c r="Q631" t="s">
        <v>1977</v>
      </c>
      <c r="R631" t="s">
        <v>44</v>
      </c>
      <c r="S631" t="str">
        <f t="shared" si="121"/>
        <v>Same Day</v>
      </c>
      <c r="T631">
        <v>3</v>
      </c>
      <c r="U631">
        <v>4198.46</v>
      </c>
      <c r="V631">
        <v>0.15</v>
      </c>
      <c r="W631">
        <f t="shared" si="122"/>
        <v>0.15</v>
      </c>
      <c r="X631" t="str">
        <f t="shared" si="123"/>
        <v/>
      </c>
      <c r="Y631">
        <v>10706.07</v>
      </c>
      <c r="Z631">
        <f t="shared" si="124"/>
        <v>10706.073</v>
      </c>
      <c r="AA631">
        <v>5927.1</v>
      </c>
      <c r="AB631">
        <v>4778.97</v>
      </c>
      <c r="AC631">
        <f t="shared" si="125"/>
        <v>6507.6130000000003</v>
      </c>
      <c r="AD631" s="6">
        <f t="shared" si="126"/>
        <v>0.60784313725490202</v>
      </c>
      <c r="AE631" t="s">
        <v>32</v>
      </c>
      <c r="AF631" t="s">
        <v>33</v>
      </c>
      <c r="AG631">
        <f t="shared" si="127"/>
        <v>10</v>
      </c>
      <c r="AH631">
        <f t="shared" si="128"/>
        <v>2025</v>
      </c>
      <c r="AI631" t="str">
        <f t="shared" si="129"/>
        <v>INVALID</v>
      </c>
    </row>
    <row r="632" spans="1:35">
      <c r="A632" t="s">
        <v>1978</v>
      </c>
      <c r="B632">
        <f t="shared" si="117"/>
        <v>1</v>
      </c>
      <c r="C632" t="str">
        <f>IF(COUNTIF($A$2:A632, A632)&gt;1, "DUPLICATE_FLAGGED_FOR_REVIEW", "")</f>
        <v/>
      </c>
      <c r="D632" s="3">
        <v>45391</v>
      </c>
      <c r="E632" s="2">
        <v>45392</v>
      </c>
      <c r="F632" s="2" t="str">
        <f t="shared" si="118"/>
        <v>OK</v>
      </c>
      <c r="G632" s="4">
        <f t="shared" si="119"/>
        <v>1</v>
      </c>
      <c r="H632" t="s">
        <v>1979</v>
      </c>
      <c r="I632" t="s">
        <v>114</v>
      </c>
      <c r="J632" t="s">
        <v>90</v>
      </c>
      <c r="K632" t="s">
        <v>38</v>
      </c>
      <c r="L632" t="str">
        <f t="shared" si="120"/>
        <v>East</v>
      </c>
      <c r="M632" t="s">
        <v>166</v>
      </c>
      <c r="N632" t="s">
        <v>167</v>
      </c>
      <c r="O632" t="s">
        <v>28</v>
      </c>
      <c r="P632" t="s">
        <v>29</v>
      </c>
      <c r="Q632" t="s">
        <v>1980</v>
      </c>
      <c r="R632" t="s">
        <v>59</v>
      </c>
      <c r="S632" t="str">
        <f t="shared" si="121"/>
        <v>Standard Class</v>
      </c>
      <c r="T632">
        <v>4</v>
      </c>
      <c r="U632">
        <v>3047.05</v>
      </c>
      <c r="V632">
        <v>0.1</v>
      </c>
      <c r="W632">
        <f t="shared" si="122"/>
        <v>0.1</v>
      </c>
      <c r="X632" t="str">
        <f t="shared" si="123"/>
        <v/>
      </c>
      <c r="Y632">
        <v>10969.38</v>
      </c>
      <c r="Z632">
        <f t="shared" si="124"/>
        <v>10969.380000000001</v>
      </c>
      <c r="AA632">
        <v>9254.4599999999991</v>
      </c>
      <c r="AB632">
        <v>1714.92</v>
      </c>
      <c r="AC632">
        <f t="shared" si="125"/>
        <v>7922.3300000000008</v>
      </c>
      <c r="AD632" s="6">
        <f t="shared" si="126"/>
        <v>0.72222222222222221</v>
      </c>
      <c r="AE632" t="s">
        <v>32</v>
      </c>
      <c r="AF632" t="s">
        <v>33</v>
      </c>
      <c r="AG632">
        <f t="shared" si="127"/>
        <v>4</v>
      </c>
      <c r="AH632">
        <f t="shared" si="128"/>
        <v>2024</v>
      </c>
      <c r="AI632" t="str">
        <f t="shared" si="129"/>
        <v>CLEAN</v>
      </c>
    </row>
    <row r="633" spans="1:35">
      <c r="A633" t="s">
        <v>1981</v>
      </c>
      <c r="B633">
        <f t="shared" si="117"/>
        <v>1</v>
      </c>
      <c r="C633" t="str">
        <f>IF(COUNTIF($A$2:A633, A633)&gt;1, "DUPLICATE_FLAGGED_FOR_REVIEW", "")</f>
        <v/>
      </c>
      <c r="D633" s="3">
        <v>45392</v>
      </c>
      <c r="E633" s="2">
        <v>45397</v>
      </c>
      <c r="F633" s="2" t="str">
        <f t="shared" si="118"/>
        <v>OK</v>
      </c>
      <c r="G633" s="4">
        <f t="shared" si="119"/>
        <v>5</v>
      </c>
      <c r="H633" t="s">
        <v>1982</v>
      </c>
      <c r="I633" t="s">
        <v>128</v>
      </c>
      <c r="J633" t="s">
        <v>95</v>
      </c>
      <c r="K633" t="s">
        <v>63</v>
      </c>
      <c r="L633" t="str">
        <f t="shared" si="120"/>
        <v>West</v>
      </c>
      <c r="M633" t="s">
        <v>26</v>
      </c>
      <c r="N633" t="s">
        <v>109</v>
      </c>
      <c r="O633" t="s">
        <v>41</v>
      </c>
      <c r="P633" t="s">
        <v>66</v>
      </c>
      <c r="Q633" t="s">
        <v>1983</v>
      </c>
      <c r="R633" t="s">
        <v>59</v>
      </c>
      <c r="S633" t="str">
        <f t="shared" si="121"/>
        <v>Standard Class</v>
      </c>
      <c r="T633">
        <v>8</v>
      </c>
      <c r="U633">
        <v>4362.4799999999996</v>
      </c>
      <c r="V633">
        <v>0.1</v>
      </c>
      <c r="W633">
        <f t="shared" si="122"/>
        <v>0.1</v>
      </c>
      <c r="X633" t="str">
        <f t="shared" si="123"/>
        <v/>
      </c>
      <c r="Y633">
        <v>31409.86</v>
      </c>
      <c r="Z633">
        <f t="shared" si="124"/>
        <v>31409.855999999996</v>
      </c>
      <c r="AA633">
        <v>22523.54</v>
      </c>
      <c r="AB633">
        <v>8886.32</v>
      </c>
      <c r="AC633">
        <f t="shared" si="125"/>
        <v>27047.375999999997</v>
      </c>
      <c r="AD633" s="6">
        <f t="shared" si="126"/>
        <v>0.86111111111111116</v>
      </c>
      <c r="AE633" t="s">
        <v>32</v>
      </c>
      <c r="AF633" t="s">
        <v>33</v>
      </c>
      <c r="AG633">
        <f t="shared" si="127"/>
        <v>4</v>
      </c>
      <c r="AH633">
        <f t="shared" si="128"/>
        <v>2024</v>
      </c>
      <c r="AI633" t="str">
        <f t="shared" si="129"/>
        <v>CLEAN</v>
      </c>
    </row>
    <row r="634" spans="1:35">
      <c r="A634" t="s">
        <v>1984</v>
      </c>
      <c r="B634">
        <f t="shared" si="117"/>
        <v>1</v>
      </c>
      <c r="C634" t="str">
        <f>IF(COUNTIF($A$2:A634, A634)&gt;1, "DUPLICATE_FLAGGED_FOR_REVIEW", "")</f>
        <v/>
      </c>
      <c r="D634" s="3">
        <v>45762</v>
      </c>
      <c r="E634" s="2">
        <v>45763</v>
      </c>
      <c r="F634" s="2" t="str">
        <f t="shared" si="118"/>
        <v>OK</v>
      </c>
      <c r="G634" s="4">
        <f t="shared" si="119"/>
        <v>1</v>
      </c>
      <c r="H634" t="s">
        <v>1985</v>
      </c>
      <c r="I634" t="s">
        <v>132</v>
      </c>
      <c r="J634" t="s">
        <v>37</v>
      </c>
      <c r="K634" t="s">
        <v>54</v>
      </c>
      <c r="L634" t="str">
        <f t="shared" si="120"/>
        <v>South</v>
      </c>
      <c r="M634" t="s">
        <v>175</v>
      </c>
      <c r="N634" t="s">
        <v>176</v>
      </c>
      <c r="O634" t="s">
        <v>41</v>
      </c>
      <c r="P634" t="s">
        <v>57</v>
      </c>
      <c r="Q634" t="s">
        <v>1986</v>
      </c>
      <c r="R634" t="s">
        <v>50</v>
      </c>
      <c r="S634" t="str">
        <f t="shared" si="121"/>
        <v>First Class</v>
      </c>
      <c r="T634">
        <v>5</v>
      </c>
      <c r="U634">
        <v>2850.53</v>
      </c>
      <c r="V634">
        <v>0</v>
      </c>
      <c r="W634">
        <f t="shared" si="122"/>
        <v>0</v>
      </c>
      <c r="X634" t="str">
        <f t="shared" si="123"/>
        <v/>
      </c>
      <c r="Y634">
        <v>14252.65</v>
      </c>
      <c r="Z634">
        <f t="shared" si="124"/>
        <v>14252.650000000001</v>
      </c>
      <c r="AA634">
        <v>11558.31</v>
      </c>
      <c r="AB634">
        <v>2694.34</v>
      </c>
      <c r="AC634">
        <f t="shared" si="125"/>
        <v>11402.12</v>
      </c>
      <c r="AD634" s="6">
        <f t="shared" si="126"/>
        <v>0.79999999999999993</v>
      </c>
      <c r="AE634" t="s">
        <v>32</v>
      </c>
      <c r="AF634" t="s">
        <v>33</v>
      </c>
      <c r="AG634">
        <f t="shared" si="127"/>
        <v>4</v>
      </c>
      <c r="AH634">
        <f t="shared" si="128"/>
        <v>2025</v>
      </c>
      <c r="AI634" t="str">
        <f t="shared" si="129"/>
        <v>CLEAN</v>
      </c>
    </row>
    <row r="635" spans="1:35">
      <c r="A635" t="s">
        <v>1987</v>
      </c>
      <c r="B635">
        <f t="shared" si="117"/>
        <v>1</v>
      </c>
      <c r="C635" t="str">
        <f>IF(COUNTIF($A$2:A635, A635)&gt;1, "DUPLICATE_FLAGGED_FOR_REVIEW", "")</f>
        <v/>
      </c>
      <c r="D635" s="3">
        <v>45765</v>
      </c>
      <c r="E635" s="2">
        <v>45767</v>
      </c>
      <c r="F635" s="2" t="str">
        <f t="shared" si="118"/>
        <v>OK</v>
      </c>
      <c r="G635" s="4">
        <f t="shared" si="119"/>
        <v>2</v>
      </c>
      <c r="H635" t="s">
        <v>1988</v>
      </c>
      <c r="I635" t="s">
        <v>128</v>
      </c>
      <c r="J635" t="s">
        <v>37</v>
      </c>
      <c r="K635" t="s">
        <v>54</v>
      </c>
      <c r="L635" t="str">
        <f t="shared" si="120"/>
        <v>South</v>
      </c>
      <c r="M635" t="s">
        <v>247</v>
      </c>
      <c r="N635" t="s">
        <v>248</v>
      </c>
      <c r="O635" t="s">
        <v>74</v>
      </c>
      <c r="P635" t="s">
        <v>75</v>
      </c>
      <c r="Q635" t="s">
        <v>1989</v>
      </c>
      <c r="R635" t="s">
        <v>31</v>
      </c>
      <c r="S635" t="str">
        <f t="shared" si="121"/>
        <v>Second Class</v>
      </c>
      <c r="T635">
        <v>1</v>
      </c>
      <c r="U635">
        <v>1626.08</v>
      </c>
      <c r="V635">
        <v>0.15</v>
      </c>
      <c r="W635">
        <f t="shared" si="122"/>
        <v>0.15</v>
      </c>
      <c r="X635" t="str">
        <f t="shared" si="123"/>
        <v/>
      </c>
      <c r="Y635">
        <v>1382.17</v>
      </c>
      <c r="Z635">
        <f t="shared" si="124"/>
        <v>1382.1679999999999</v>
      </c>
      <c r="AA635">
        <v>810.03</v>
      </c>
      <c r="AB635">
        <v>572.14</v>
      </c>
      <c r="AC635">
        <f t="shared" si="125"/>
        <v>-243.91200000000003</v>
      </c>
      <c r="AD635" s="6">
        <f t="shared" si="126"/>
        <v>-0.17647058823529416</v>
      </c>
      <c r="AE635" t="s">
        <v>32</v>
      </c>
      <c r="AF635" t="s">
        <v>33</v>
      </c>
      <c r="AG635">
        <f t="shared" si="127"/>
        <v>4</v>
      </c>
      <c r="AH635">
        <f t="shared" si="128"/>
        <v>2025</v>
      </c>
      <c r="AI635" t="str">
        <f t="shared" si="129"/>
        <v>CLEAN</v>
      </c>
    </row>
    <row r="636" spans="1:35">
      <c r="A636" t="s">
        <v>1990</v>
      </c>
      <c r="B636">
        <f t="shared" si="117"/>
        <v>1</v>
      </c>
      <c r="C636" t="str">
        <f>IF(COUNTIF($A$2:A636, A636)&gt;1, "DUPLICATE_FLAGGED_FOR_REVIEW", "")</f>
        <v/>
      </c>
      <c r="D636" s="3">
        <v>45962</v>
      </c>
      <c r="E636" s="2">
        <v>45669</v>
      </c>
      <c r="F636" s="2" t="str">
        <f t="shared" si="118"/>
        <v>ERROR: Ship before order</v>
      </c>
      <c r="G636" s="4">
        <f t="shared" si="119"/>
        <v>-293</v>
      </c>
      <c r="H636" t="s">
        <v>1991</v>
      </c>
      <c r="I636" t="s">
        <v>89</v>
      </c>
      <c r="J636" t="s">
        <v>24</v>
      </c>
      <c r="K636" t="s">
        <v>54</v>
      </c>
      <c r="L636" t="str">
        <f t="shared" si="120"/>
        <v>South</v>
      </c>
      <c r="M636" t="s">
        <v>55</v>
      </c>
      <c r="N636" t="s">
        <v>56</v>
      </c>
      <c r="O636" t="s">
        <v>41</v>
      </c>
      <c r="P636" t="s">
        <v>66</v>
      </c>
      <c r="Q636" t="s">
        <v>1992</v>
      </c>
      <c r="R636" t="s">
        <v>31</v>
      </c>
      <c r="S636" t="str">
        <f t="shared" si="121"/>
        <v>Second Class</v>
      </c>
      <c r="T636">
        <v>4</v>
      </c>
      <c r="U636">
        <v>2427.15</v>
      </c>
      <c r="V636">
        <v>0.05</v>
      </c>
      <c r="W636">
        <f t="shared" si="122"/>
        <v>0.05</v>
      </c>
      <c r="X636" t="str">
        <f t="shared" si="123"/>
        <v/>
      </c>
      <c r="Y636">
        <v>9223.17</v>
      </c>
      <c r="Z636">
        <f t="shared" si="124"/>
        <v>9223.17</v>
      </c>
      <c r="AA636">
        <v>5103.7</v>
      </c>
      <c r="AB636">
        <v>4119.47</v>
      </c>
      <c r="AC636">
        <f t="shared" si="125"/>
        <v>6796.02</v>
      </c>
      <c r="AD636" s="6">
        <f t="shared" si="126"/>
        <v>0.73684210526315796</v>
      </c>
      <c r="AE636" t="s">
        <v>32</v>
      </c>
      <c r="AF636" t="s">
        <v>33</v>
      </c>
      <c r="AG636">
        <f t="shared" si="127"/>
        <v>11</v>
      </c>
      <c r="AH636">
        <f t="shared" si="128"/>
        <v>2025</v>
      </c>
      <c r="AI636" t="str">
        <f t="shared" si="129"/>
        <v>INVALID</v>
      </c>
    </row>
    <row r="637" spans="1:35">
      <c r="A637" t="s">
        <v>1993</v>
      </c>
      <c r="B637">
        <f t="shared" si="117"/>
        <v>1</v>
      </c>
      <c r="C637" t="str">
        <f>IF(COUNTIF($A$2:A637, A637)&gt;1, "DUPLICATE_FLAGGED_FOR_REVIEW", "")</f>
        <v/>
      </c>
      <c r="D637" s="3">
        <v>45432</v>
      </c>
      <c r="E637" s="2">
        <v>45437</v>
      </c>
      <c r="F637" s="2" t="str">
        <f t="shared" si="118"/>
        <v>OK</v>
      </c>
      <c r="G637" s="4">
        <f t="shared" si="119"/>
        <v>5</v>
      </c>
      <c r="H637" t="s">
        <v>1994</v>
      </c>
      <c r="I637" t="s">
        <v>36</v>
      </c>
      <c r="J637" t="s">
        <v>90</v>
      </c>
      <c r="K637" t="s">
        <v>54</v>
      </c>
      <c r="L637" t="str">
        <f t="shared" si="120"/>
        <v>South</v>
      </c>
      <c r="M637" t="s">
        <v>84</v>
      </c>
      <c r="N637" t="s">
        <v>85</v>
      </c>
      <c r="O637" t="s">
        <v>41</v>
      </c>
      <c r="P637" t="s">
        <v>66</v>
      </c>
      <c r="Q637" t="s">
        <v>1995</v>
      </c>
      <c r="R637" t="s">
        <v>44</v>
      </c>
      <c r="S637" t="str">
        <f t="shared" si="121"/>
        <v>Same Day</v>
      </c>
      <c r="T637">
        <v>7</v>
      </c>
      <c r="U637">
        <v>3122.85</v>
      </c>
      <c r="V637">
        <v>0.25</v>
      </c>
      <c r="W637">
        <f t="shared" si="122"/>
        <v>0.25</v>
      </c>
      <c r="X637" t="str">
        <f t="shared" si="123"/>
        <v/>
      </c>
      <c r="Y637">
        <v>16394.96</v>
      </c>
      <c r="Z637">
        <f t="shared" si="124"/>
        <v>16394.962500000001</v>
      </c>
      <c r="AA637">
        <v>10404.17</v>
      </c>
      <c r="AB637">
        <v>5990.79</v>
      </c>
      <c r="AC637">
        <f t="shared" si="125"/>
        <v>13272.112500000001</v>
      </c>
      <c r="AD637" s="6">
        <f t="shared" si="126"/>
        <v>0.80952380952380953</v>
      </c>
      <c r="AE637" t="s">
        <v>32</v>
      </c>
      <c r="AF637" t="s">
        <v>33</v>
      </c>
      <c r="AG637">
        <f t="shared" si="127"/>
        <v>5</v>
      </c>
      <c r="AH637">
        <f t="shared" si="128"/>
        <v>2024</v>
      </c>
      <c r="AI637" t="str">
        <f t="shared" si="129"/>
        <v>CLEAN</v>
      </c>
    </row>
    <row r="638" spans="1:35">
      <c r="A638" t="s">
        <v>1996</v>
      </c>
      <c r="B638">
        <f t="shared" si="117"/>
        <v>1</v>
      </c>
      <c r="C638" t="str">
        <f>IF(COUNTIF($A$2:A638, A638)&gt;1, "DUPLICATE_FLAGGED_FOR_REVIEW", "")</f>
        <v/>
      </c>
      <c r="D638" s="3">
        <v>45567</v>
      </c>
      <c r="E638" s="2">
        <v>45574</v>
      </c>
      <c r="F638" s="2" t="str">
        <f t="shared" si="118"/>
        <v>OK</v>
      </c>
      <c r="G638" s="4">
        <f t="shared" si="119"/>
        <v>7</v>
      </c>
      <c r="H638" t="s">
        <v>1997</v>
      </c>
      <c r="I638" t="s">
        <v>62</v>
      </c>
      <c r="J638" t="s">
        <v>24</v>
      </c>
      <c r="K638" t="s">
        <v>54</v>
      </c>
      <c r="L638" t="str">
        <f t="shared" si="120"/>
        <v>South</v>
      </c>
      <c r="M638" t="s">
        <v>247</v>
      </c>
      <c r="N638" t="s">
        <v>248</v>
      </c>
      <c r="O638" t="s">
        <v>28</v>
      </c>
      <c r="P638" t="s">
        <v>29</v>
      </c>
      <c r="Q638" t="s">
        <v>1998</v>
      </c>
      <c r="R638" t="s">
        <v>59</v>
      </c>
      <c r="S638" t="str">
        <f t="shared" si="121"/>
        <v>Standard Class</v>
      </c>
      <c r="T638">
        <v>8</v>
      </c>
      <c r="U638">
        <v>1910.31</v>
      </c>
      <c r="V638">
        <v>0.15</v>
      </c>
      <c r="W638">
        <f t="shared" si="122"/>
        <v>0.15</v>
      </c>
      <c r="X638" t="str">
        <f t="shared" si="123"/>
        <v/>
      </c>
      <c r="Y638">
        <v>12990.11</v>
      </c>
      <c r="Z638">
        <f t="shared" si="124"/>
        <v>12990.108</v>
      </c>
      <c r="AA638">
        <v>10200.799999999999</v>
      </c>
      <c r="AB638">
        <v>2789.31</v>
      </c>
      <c r="AC638">
        <f t="shared" si="125"/>
        <v>11079.798000000001</v>
      </c>
      <c r="AD638" s="6">
        <f t="shared" si="126"/>
        <v>0.85294117647058831</v>
      </c>
      <c r="AE638" t="s">
        <v>32</v>
      </c>
      <c r="AF638" t="s">
        <v>33</v>
      </c>
      <c r="AG638">
        <f t="shared" si="127"/>
        <v>10</v>
      </c>
      <c r="AH638">
        <f t="shared" si="128"/>
        <v>2024</v>
      </c>
      <c r="AI638" t="str">
        <f t="shared" si="129"/>
        <v>CLEAN</v>
      </c>
    </row>
    <row r="639" spans="1:35">
      <c r="A639" t="s">
        <v>1999</v>
      </c>
      <c r="B639">
        <f t="shared" si="117"/>
        <v>1</v>
      </c>
      <c r="C639" t="str">
        <f>IF(COUNTIF($A$2:A639, A639)&gt;1, "DUPLICATE_FLAGGED_FOR_REVIEW", "")</f>
        <v/>
      </c>
      <c r="D639" s="3">
        <v>45438</v>
      </c>
      <c r="E639" s="2">
        <v>45438</v>
      </c>
      <c r="F639" s="2" t="str">
        <f t="shared" si="118"/>
        <v>OK</v>
      </c>
      <c r="G639" s="4">
        <f t="shared" si="119"/>
        <v>0</v>
      </c>
      <c r="H639" t="s">
        <v>2000</v>
      </c>
      <c r="I639" t="s">
        <v>118</v>
      </c>
      <c r="J639" t="s">
        <v>37</v>
      </c>
      <c r="K639" t="s">
        <v>63</v>
      </c>
      <c r="L639" t="str">
        <f t="shared" si="120"/>
        <v>West</v>
      </c>
      <c r="M639" t="s">
        <v>190</v>
      </c>
      <c r="N639" t="s">
        <v>191</v>
      </c>
      <c r="O639" t="s">
        <v>74</v>
      </c>
      <c r="P639" t="s">
        <v>80</v>
      </c>
      <c r="Q639" t="s">
        <v>2001</v>
      </c>
      <c r="R639" t="s">
        <v>50</v>
      </c>
      <c r="S639" t="str">
        <f t="shared" si="121"/>
        <v>First Class</v>
      </c>
      <c r="T639">
        <v>2</v>
      </c>
      <c r="U639">
        <v>3192.47</v>
      </c>
      <c r="V639">
        <v>0.2</v>
      </c>
      <c r="W639">
        <f t="shared" si="122"/>
        <v>0.2</v>
      </c>
      <c r="X639" t="str">
        <f t="shared" si="123"/>
        <v/>
      </c>
      <c r="Y639">
        <v>5107.95</v>
      </c>
      <c r="Z639">
        <f t="shared" si="124"/>
        <v>5107.9520000000002</v>
      </c>
      <c r="AA639">
        <v>3133.08</v>
      </c>
      <c r="AB639">
        <v>1974.87</v>
      </c>
      <c r="AC639">
        <f t="shared" si="125"/>
        <v>1915.4820000000004</v>
      </c>
      <c r="AD639" s="6">
        <f t="shared" si="126"/>
        <v>0.37500000000000006</v>
      </c>
      <c r="AE639" t="s">
        <v>32</v>
      </c>
      <c r="AF639" t="s">
        <v>33</v>
      </c>
      <c r="AG639">
        <f t="shared" si="127"/>
        <v>5</v>
      </c>
      <c r="AH639">
        <f t="shared" si="128"/>
        <v>2024</v>
      </c>
      <c r="AI639" t="str">
        <f t="shared" si="129"/>
        <v>CLEAN</v>
      </c>
    </row>
    <row r="640" spans="1:35">
      <c r="A640" t="s">
        <v>2002</v>
      </c>
      <c r="B640">
        <f t="shared" si="117"/>
        <v>1</v>
      </c>
      <c r="C640" t="str">
        <f>IF(COUNTIF($A$2:A640, A640)&gt;1, "DUPLICATE_FLAGGED_FOR_REVIEW", "")</f>
        <v/>
      </c>
      <c r="D640" s="3">
        <v>45317</v>
      </c>
      <c r="E640" s="2">
        <v>45322</v>
      </c>
      <c r="F640" s="2" t="str">
        <f t="shared" si="118"/>
        <v>OK</v>
      </c>
      <c r="G640" s="4">
        <f t="shared" si="119"/>
        <v>5</v>
      </c>
      <c r="H640" t="s">
        <v>2003</v>
      </c>
      <c r="I640" t="s">
        <v>23</v>
      </c>
      <c r="J640" t="s">
        <v>90</v>
      </c>
      <c r="K640" t="s">
        <v>54</v>
      </c>
      <c r="L640" t="str">
        <f t="shared" si="120"/>
        <v>South</v>
      </c>
      <c r="M640" t="s">
        <v>185</v>
      </c>
      <c r="N640" t="s">
        <v>186</v>
      </c>
      <c r="O640" t="s">
        <v>28</v>
      </c>
      <c r="P640" t="s">
        <v>124</v>
      </c>
      <c r="Q640" t="s">
        <v>2004</v>
      </c>
      <c r="R640" t="s">
        <v>31</v>
      </c>
      <c r="S640" t="str">
        <f t="shared" si="121"/>
        <v>Second Class</v>
      </c>
      <c r="T640">
        <v>3</v>
      </c>
      <c r="U640">
        <v>3224.32</v>
      </c>
      <c r="V640">
        <v>0.2</v>
      </c>
      <c r="W640">
        <f t="shared" si="122"/>
        <v>0.2</v>
      </c>
      <c r="X640" t="str">
        <f t="shared" si="123"/>
        <v/>
      </c>
      <c r="Y640">
        <v>7738.37</v>
      </c>
      <c r="Z640">
        <f t="shared" si="124"/>
        <v>7738.3680000000013</v>
      </c>
      <c r="AA640">
        <v>4626.8500000000004</v>
      </c>
      <c r="AB640">
        <v>3111.52</v>
      </c>
      <c r="AC640">
        <f t="shared" si="125"/>
        <v>4514.0480000000007</v>
      </c>
      <c r="AD640" s="6">
        <f t="shared" si="126"/>
        <v>0.58333333333333337</v>
      </c>
      <c r="AE640" t="s">
        <v>155</v>
      </c>
      <c r="AF640" t="s">
        <v>103</v>
      </c>
      <c r="AG640">
        <f t="shared" si="127"/>
        <v>1</v>
      </c>
      <c r="AH640">
        <f t="shared" si="128"/>
        <v>2024</v>
      </c>
      <c r="AI640" t="str">
        <f t="shared" si="129"/>
        <v>CLEAN</v>
      </c>
    </row>
    <row r="641" spans="1:35">
      <c r="A641" t="s">
        <v>2005</v>
      </c>
      <c r="B641">
        <f t="shared" si="117"/>
        <v>1</v>
      </c>
      <c r="C641" t="str">
        <f>IF(COUNTIF($A$2:A641, A641)&gt;1, "DUPLICATE_FLAGGED_FOR_REVIEW", "")</f>
        <v/>
      </c>
      <c r="D641" s="3">
        <v>45653</v>
      </c>
      <c r="E641" s="2">
        <v>45657</v>
      </c>
      <c r="F641" s="2" t="str">
        <f t="shared" si="118"/>
        <v>OK</v>
      </c>
      <c r="G641" s="4">
        <f t="shared" si="119"/>
        <v>4</v>
      </c>
      <c r="H641" t="s">
        <v>2006</v>
      </c>
      <c r="I641" t="s">
        <v>47</v>
      </c>
      <c r="J641" t="s">
        <v>37</v>
      </c>
      <c r="K641" t="s">
        <v>38</v>
      </c>
      <c r="L641" t="str">
        <f t="shared" si="120"/>
        <v>East</v>
      </c>
      <c r="M641" t="s">
        <v>39</v>
      </c>
      <c r="N641" t="s">
        <v>40</v>
      </c>
      <c r="O641" t="s">
        <v>41</v>
      </c>
      <c r="P641" t="s">
        <v>66</v>
      </c>
      <c r="Q641" t="s">
        <v>2007</v>
      </c>
      <c r="R641" t="s">
        <v>31</v>
      </c>
      <c r="S641" t="str">
        <f t="shared" si="121"/>
        <v>Second Class</v>
      </c>
      <c r="T641">
        <v>1</v>
      </c>
      <c r="U641">
        <v>1594.7</v>
      </c>
      <c r="V641">
        <v>0.05</v>
      </c>
      <c r="W641">
        <f t="shared" si="122"/>
        <v>0.05</v>
      </c>
      <c r="X641" t="str">
        <f t="shared" si="123"/>
        <v/>
      </c>
      <c r="Y641">
        <v>1514.96</v>
      </c>
      <c r="Z641">
        <f t="shared" si="124"/>
        <v>1514.9649999999999</v>
      </c>
      <c r="AA641">
        <v>1046.17</v>
      </c>
      <c r="AB641">
        <v>468.79</v>
      </c>
      <c r="AC641">
        <f t="shared" si="125"/>
        <v>-79.735000000000127</v>
      </c>
      <c r="AD641" s="6">
        <f t="shared" si="126"/>
        <v>-5.2631578947368508E-2</v>
      </c>
      <c r="AE641" t="s">
        <v>32</v>
      </c>
      <c r="AF641" t="s">
        <v>33</v>
      </c>
      <c r="AG641">
        <f t="shared" si="127"/>
        <v>12</v>
      </c>
      <c r="AH641">
        <f t="shared" si="128"/>
        <v>2024</v>
      </c>
      <c r="AI641" t="str">
        <f t="shared" si="129"/>
        <v>CLEAN</v>
      </c>
    </row>
    <row r="642" spans="1:35">
      <c r="A642" t="s">
        <v>2008</v>
      </c>
      <c r="B642">
        <f t="shared" si="117"/>
        <v>1</v>
      </c>
      <c r="C642" t="str">
        <f>IF(COUNTIF($A$2:A642, A642)&gt;1, "DUPLICATE_FLAGGED_FOR_REVIEW", "")</f>
        <v/>
      </c>
      <c r="D642" s="3">
        <v>45671</v>
      </c>
      <c r="E642" s="2">
        <v>45674</v>
      </c>
      <c r="F642" s="2" t="str">
        <f t="shared" si="118"/>
        <v>OK</v>
      </c>
      <c r="G642" s="4">
        <f t="shared" si="119"/>
        <v>3</v>
      </c>
      <c r="H642" t="s">
        <v>2009</v>
      </c>
      <c r="I642" t="s">
        <v>71</v>
      </c>
      <c r="J642" t="s">
        <v>24</v>
      </c>
      <c r="K642" t="s">
        <v>63</v>
      </c>
      <c r="L642" t="str">
        <f t="shared" si="120"/>
        <v>West</v>
      </c>
      <c r="M642" t="s">
        <v>190</v>
      </c>
      <c r="N642" t="s">
        <v>191</v>
      </c>
      <c r="O642" t="s">
        <v>28</v>
      </c>
      <c r="P642" t="s">
        <v>124</v>
      </c>
      <c r="Q642" t="s">
        <v>2010</v>
      </c>
      <c r="R642" t="s">
        <v>50</v>
      </c>
      <c r="S642" t="str">
        <f t="shared" si="121"/>
        <v>First Class</v>
      </c>
      <c r="T642">
        <v>1</v>
      </c>
      <c r="U642">
        <v>1584.12</v>
      </c>
      <c r="V642">
        <v>0.2</v>
      </c>
      <c r="W642">
        <f t="shared" si="122"/>
        <v>0.2</v>
      </c>
      <c r="X642" t="str">
        <f t="shared" si="123"/>
        <v/>
      </c>
      <c r="Y642">
        <v>1267.3</v>
      </c>
      <c r="Z642">
        <f t="shared" si="124"/>
        <v>1267.296</v>
      </c>
      <c r="AA642">
        <v>923.53</v>
      </c>
      <c r="AB642">
        <v>343.77</v>
      </c>
      <c r="AC642">
        <f t="shared" si="125"/>
        <v>-316.82399999999984</v>
      </c>
      <c r="AD642" s="6">
        <f t="shared" si="126"/>
        <v>-0.24999999999999986</v>
      </c>
      <c r="AE642" t="s">
        <v>32</v>
      </c>
      <c r="AF642" t="s">
        <v>33</v>
      </c>
      <c r="AG642">
        <f t="shared" si="127"/>
        <v>1</v>
      </c>
      <c r="AH642">
        <f t="shared" si="128"/>
        <v>2025</v>
      </c>
      <c r="AI642" t="str">
        <f t="shared" si="129"/>
        <v>CLEAN</v>
      </c>
    </row>
    <row r="643" spans="1:35">
      <c r="A643" t="s">
        <v>2011</v>
      </c>
      <c r="B643">
        <f t="shared" ref="B643:B706" si="130">COUNTIF($A$2:$A$932, A643)</f>
        <v>1</v>
      </c>
      <c r="C643" t="str">
        <f>IF(COUNTIF($A$2:A643, A643)&gt;1, "DUPLICATE_FLAGGED_FOR_REVIEW", "")</f>
        <v/>
      </c>
      <c r="D643" s="3">
        <v>45756</v>
      </c>
      <c r="E643" s="2">
        <v>45761</v>
      </c>
      <c r="F643" s="2" t="str">
        <f t="shared" ref="F643:F706" si="131">IF(E643&lt;D643, "ERROR: Ship before order", "OK")</f>
        <v>OK</v>
      </c>
      <c r="G643" s="4">
        <f t="shared" ref="G643:G706" si="132">IF(AND(ISNUMBER(E643),ISNUMBER(D643)), E643-D643, "")</f>
        <v>5</v>
      </c>
      <c r="H643" t="s">
        <v>2012</v>
      </c>
      <c r="I643" t="s">
        <v>23</v>
      </c>
      <c r="J643" t="s">
        <v>24</v>
      </c>
      <c r="K643" t="s">
        <v>25</v>
      </c>
      <c r="L643" t="str">
        <f t="shared" ref="L643:L706" si="133">IF(OR(K643="",ISBLANK(K643)), "Unknown", K643)</f>
        <v>North</v>
      </c>
      <c r="M643" t="s">
        <v>350</v>
      </c>
      <c r="N643" t="s">
        <v>351</v>
      </c>
      <c r="O643" t="s">
        <v>41</v>
      </c>
      <c r="P643" t="s">
        <v>57</v>
      </c>
      <c r="Q643" t="s">
        <v>2013</v>
      </c>
      <c r="R643" t="s">
        <v>44</v>
      </c>
      <c r="S643" t="str">
        <f t="shared" ref="S643:S706" si="134">IF(OR(R643="",ISBLANK(R643)), "Unknown", R643)</f>
        <v>Same Day</v>
      </c>
      <c r="T643">
        <v>2</v>
      </c>
      <c r="U643">
        <v>3202.87</v>
      </c>
      <c r="V643">
        <v>0</v>
      </c>
      <c r="W643">
        <f t="shared" ref="W643:W706" si="135">IF(ISBLANK(V643), IF(AND(ISNUMBER(T643), ISNUMBER(U643)), 0, ""), IF(V643&lt;0, V643, IF(V643&gt;0.5, V643, V643)))</f>
        <v>0</v>
      </c>
      <c r="X643" t="str">
        <f t="shared" ref="X643:X706" si="136">IF(V643&lt;0,"INVALID_NEGATIVE_DISCOUNT",IF(V643&gt;0.5,"INVALID_DISCOUNT_ABOVE_50PCT",IF(AND(ISBLANK(V643), ISNUMBER(T643), ISNUMBER(U643)),"DISCOUNT_MISSING_SET_TO_0","")))</f>
        <v/>
      </c>
      <c r="Y643">
        <v>6405.74</v>
      </c>
      <c r="Z643">
        <f t="shared" ref="Z643:Z706" si="137">T643 * U643 * (1 - W643)</f>
        <v>6405.74</v>
      </c>
      <c r="AA643">
        <v>3561.87</v>
      </c>
      <c r="AB643">
        <v>2843.87</v>
      </c>
      <c r="AC643">
        <f t="shared" ref="AC643:AC706" si="138">Z643-U643</f>
        <v>3202.87</v>
      </c>
      <c r="AD643" s="6">
        <f t="shared" ref="AD643:AD706" si="139">IF(Z643&lt;&gt;0, AC643 / Z643, 0)</f>
        <v>0.5</v>
      </c>
      <c r="AE643" t="s">
        <v>32</v>
      </c>
      <c r="AF643" t="s">
        <v>33</v>
      </c>
      <c r="AG643">
        <f t="shared" ref="AG643:AG706" si="140">MONTH(D643)</f>
        <v>4</v>
      </c>
      <c r="AH643">
        <f t="shared" ref="AH643:AH706" si="141">YEAR(D643)</f>
        <v>2025</v>
      </c>
      <c r="AI643" t="str">
        <f t="shared" ref="AI643:AI706" si="142">IF(OR(X643="INVALID_NEGATIVE_DISCOUNT",X643="INVALID_DISCOUNT_ABOVE_50PCT",F643="ERROR: Ship before order"),"INVALID",IF(OR(L643="Unknown",S643="Unknown",X643="DISCOUNT_MISSING_SET_TO_0"),"WARNING","CLEAN"))</f>
        <v>CLEAN</v>
      </c>
    </row>
    <row r="644" spans="1:35">
      <c r="A644" t="s">
        <v>2014</v>
      </c>
      <c r="B644">
        <f t="shared" si="130"/>
        <v>1</v>
      </c>
      <c r="C644" t="str">
        <f>IF(COUNTIF($A$2:A644, A644)&gt;1, "DUPLICATE_FLAGGED_FOR_REVIEW", "")</f>
        <v/>
      </c>
      <c r="D644" s="3">
        <v>45533</v>
      </c>
      <c r="E644" s="2">
        <v>45535</v>
      </c>
      <c r="F644" s="2" t="str">
        <f t="shared" si="131"/>
        <v>OK</v>
      </c>
      <c r="G644" s="4">
        <f t="shared" si="132"/>
        <v>2</v>
      </c>
      <c r="H644" t="s">
        <v>2015</v>
      </c>
      <c r="I644" t="s">
        <v>47</v>
      </c>
      <c r="J644" t="s">
        <v>95</v>
      </c>
      <c r="K644" t="s">
        <v>38</v>
      </c>
      <c r="L644" t="str">
        <f t="shared" si="133"/>
        <v>East</v>
      </c>
      <c r="M644" t="s">
        <v>166</v>
      </c>
      <c r="N644" t="s">
        <v>167</v>
      </c>
      <c r="O644" t="s">
        <v>28</v>
      </c>
      <c r="P644" t="s">
        <v>153</v>
      </c>
      <c r="Q644" t="s">
        <v>2016</v>
      </c>
      <c r="R644" t="s">
        <v>31</v>
      </c>
      <c r="S644" t="str">
        <f t="shared" si="134"/>
        <v>Second Class</v>
      </c>
      <c r="T644">
        <v>9</v>
      </c>
      <c r="U644">
        <v>1275.21</v>
      </c>
      <c r="V644">
        <v>0.25</v>
      </c>
      <c r="W644">
        <f t="shared" si="135"/>
        <v>0.25</v>
      </c>
      <c r="X644" t="str">
        <f t="shared" si="136"/>
        <v/>
      </c>
      <c r="Y644">
        <v>8607.67</v>
      </c>
      <c r="Z644">
        <f t="shared" si="137"/>
        <v>8607.6674999999996</v>
      </c>
      <c r="AA644">
        <v>5337.64</v>
      </c>
      <c r="AB644">
        <v>3270.03</v>
      </c>
      <c r="AC644">
        <f t="shared" si="138"/>
        <v>7332.4574999999995</v>
      </c>
      <c r="AD644" s="6">
        <f t="shared" si="139"/>
        <v>0.85185185185185186</v>
      </c>
      <c r="AE644" t="s">
        <v>155</v>
      </c>
      <c r="AF644" t="s">
        <v>103</v>
      </c>
      <c r="AG644">
        <f t="shared" si="140"/>
        <v>8</v>
      </c>
      <c r="AH644">
        <f t="shared" si="141"/>
        <v>2024</v>
      </c>
      <c r="AI644" t="str">
        <f t="shared" si="142"/>
        <v>CLEAN</v>
      </c>
    </row>
    <row r="645" spans="1:35">
      <c r="A645" t="s">
        <v>2017</v>
      </c>
      <c r="B645">
        <f t="shared" si="130"/>
        <v>1</v>
      </c>
      <c r="C645" t="str">
        <f>IF(COUNTIF($A$2:A645, A645)&gt;1, "DUPLICATE_FLAGGED_FOR_REVIEW", "")</f>
        <v/>
      </c>
      <c r="D645" s="3">
        <v>45327</v>
      </c>
      <c r="E645" s="2">
        <v>45335</v>
      </c>
      <c r="F645" s="2" t="str">
        <f t="shared" si="131"/>
        <v>OK</v>
      </c>
      <c r="G645" s="4">
        <f t="shared" si="132"/>
        <v>8</v>
      </c>
      <c r="H645" t="s">
        <v>719</v>
      </c>
      <c r="I645" t="s">
        <v>128</v>
      </c>
      <c r="J645" t="s">
        <v>95</v>
      </c>
      <c r="K645" t="s">
        <v>25</v>
      </c>
      <c r="L645" t="str">
        <f t="shared" si="133"/>
        <v>North</v>
      </c>
      <c r="M645" t="s">
        <v>136</v>
      </c>
      <c r="N645" t="s">
        <v>137</v>
      </c>
      <c r="O645" t="s">
        <v>28</v>
      </c>
      <c r="P645" t="s">
        <v>91</v>
      </c>
      <c r="Q645" t="s">
        <v>2018</v>
      </c>
      <c r="R645" t="s">
        <v>59</v>
      </c>
      <c r="S645" t="str">
        <f t="shared" si="134"/>
        <v>Standard Class</v>
      </c>
      <c r="T645">
        <v>8</v>
      </c>
      <c r="U645">
        <v>3871.18</v>
      </c>
      <c r="V645">
        <v>0.15</v>
      </c>
      <c r="W645">
        <f t="shared" si="135"/>
        <v>0.15</v>
      </c>
      <c r="X645" t="str">
        <f t="shared" si="136"/>
        <v/>
      </c>
      <c r="Y645">
        <v>26324.02</v>
      </c>
      <c r="Z645">
        <f t="shared" si="137"/>
        <v>26324.023999999998</v>
      </c>
      <c r="AA645">
        <v>16277.96</v>
      </c>
      <c r="AB645">
        <v>10046.06</v>
      </c>
      <c r="AC645">
        <f t="shared" si="138"/>
        <v>22452.843999999997</v>
      </c>
      <c r="AD645" s="6">
        <f t="shared" si="139"/>
        <v>0.8529411764705882</v>
      </c>
      <c r="AE645" t="s">
        <v>155</v>
      </c>
      <c r="AF645" t="s">
        <v>103</v>
      </c>
      <c r="AG645">
        <f t="shared" si="140"/>
        <v>2</v>
      </c>
      <c r="AH645">
        <f t="shared" si="141"/>
        <v>2024</v>
      </c>
      <c r="AI645" t="str">
        <f t="shared" si="142"/>
        <v>CLEAN</v>
      </c>
    </row>
    <row r="646" spans="1:35">
      <c r="A646" t="s">
        <v>2019</v>
      </c>
      <c r="B646">
        <f t="shared" si="130"/>
        <v>1</v>
      </c>
      <c r="C646" t="str">
        <f>IF(COUNTIF($A$2:A646, A646)&gt;1, "DUPLICATE_FLAGGED_FOR_REVIEW", "")</f>
        <v/>
      </c>
      <c r="D646" s="3">
        <v>45757</v>
      </c>
      <c r="E646" s="2">
        <v>45764</v>
      </c>
      <c r="F646" s="2" t="str">
        <f t="shared" si="131"/>
        <v>OK</v>
      </c>
      <c r="G646" s="4">
        <f t="shared" si="132"/>
        <v>7</v>
      </c>
      <c r="H646" t="s">
        <v>2020</v>
      </c>
      <c r="I646" t="s">
        <v>71</v>
      </c>
      <c r="J646" t="s">
        <v>24</v>
      </c>
      <c r="K646" t="s">
        <v>38</v>
      </c>
      <c r="L646" t="str">
        <f t="shared" si="133"/>
        <v>East</v>
      </c>
      <c r="M646" t="s">
        <v>99</v>
      </c>
      <c r="N646" t="s">
        <v>100</v>
      </c>
      <c r="O646" t="s">
        <v>41</v>
      </c>
      <c r="P646" t="s">
        <v>66</v>
      </c>
      <c r="Q646" t="s">
        <v>2021</v>
      </c>
      <c r="R646" t="s">
        <v>59</v>
      </c>
      <c r="S646" t="str">
        <f t="shared" si="134"/>
        <v>Standard Class</v>
      </c>
      <c r="T646">
        <v>4</v>
      </c>
      <c r="U646">
        <v>3750.02</v>
      </c>
      <c r="V646">
        <v>0.05</v>
      </c>
      <c r="W646">
        <f t="shared" si="135"/>
        <v>0.05</v>
      </c>
      <c r="X646" t="str">
        <f t="shared" si="136"/>
        <v/>
      </c>
      <c r="Y646">
        <v>14250.08</v>
      </c>
      <c r="Z646">
        <f t="shared" si="137"/>
        <v>14250.075999999999</v>
      </c>
      <c r="AA646">
        <v>10914.92</v>
      </c>
      <c r="AB646">
        <v>3335.16</v>
      </c>
      <c r="AC646">
        <f t="shared" si="138"/>
        <v>10500.055999999999</v>
      </c>
      <c r="AD646" s="6">
        <f t="shared" si="139"/>
        <v>0.73684210526315785</v>
      </c>
      <c r="AE646" t="s">
        <v>32</v>
      </c>
      <c r="AF646" t="s">
        <v>33</v>
      </c>
      <c r="AG646">
        <f t="shared" si="140"/>
        <v>4</v>
      </c>
      <c r="AH646">
        <f t="shared" si="141"/>
        <v>2025</v>
      </c>
      <c r="AI646" t="str">
        <f t="shared" si="142"/>
        <v>CLEAN</v>
      </c>
    </row>
    <row r="647" spans="1:35">
      <c r="A647" t="s">
        <v>2022</v>
      </c>
      <c r="B647">
        <f t="shared" si="130"/>
        <v>1</v>
      </c>
      <c r="C647" t="str">
        <f>IF(COUNTIF($A$2:A647, A647)&gt;1, "DUPLICATE_FLAGGED_FOR_REVIEW", "")</f>
        <v/>
      </c>
      <c r="D647" s="3">
        <v>45295</v>
      </c>
      <c r="E647" s="2">
        <v>45300</v>
      </c>
      <c r="F647" s="2" t="str">
        <f t="shared" si="131"/>
        <v>OK</v>
      </c>
      <c r="G647" s="4">
        <f t="shared" si="132"/>
        <v>5</v>
      </c>
      <c r="H647" t="s">
        <v>2023</v>
      </c>
      <c r="I647" t="s">
        <v>264</v>
      </c>
      <c r="J647" t="s">
        <v>24</v>
      </c>
      <c r="K647" t="s">
        <v>38</v>
      </c>
      <c r="L647" t="str">
        <f t="shared" si="133"/>
        <v>East</v>
      </c>
      <c r="M647" t="s">
        <v>145</v>
      </c>
      <c r="N647" t="s">
        <v>146</v>
      </c>
      <c r="O647" t="s">
        <v>41</v>
      </c>
      <c r="P647" t="s">
        <v>66</v>
      </c>
      <c r="Q647" t="s">
        <v>2024</v>
      </c>
      <c r="R647" t="s">
        <v>31</v>
      </c>
      <c r="S647" t="str">
        <f t="shared" si="134"/>
        <v>Second Class</v>
      </c>
      <c r="T647">
        <v>6</v>
      </c>
      <c r="U647">
        <v>2423.61</v>
      </c>
      <c r="V647">
        <v>0.1</v>
      </c>
      <c r="W647">
        <f t="shared" si="135"/>
        <v>0.1</v>
      </c>
      <c r="X647" t="str">
        <f t="shared" si="136"/>
        <v/>
      </c>
      <c r="Y647">
        <v>13087.49</v>
      </c>
      <c r="Z647">
        <f t="shared" si="137"/>
        <v>13087.494000000001</v>
      </c>
      <c r="AA647">
        <v>7608.89</v>
      </c>
      <c r="AB647">
        <v>5133.22</v>
      </c>
      <c r="AC647">
        <f t="shared" si="138"/>
        <v>10663.884</v>
      </c>
      <c r="AD647" s="6">
        <f t="shared" si="139"/>
        <v>0.81481481481481477</v>
      </c>
      <c r="AE647" t="s">
        <v>32</v>
      </c>
      <c r="AF647" t="s">
        <v>33</v>
      </c>
      <c r="AG647">
        <f t="shared" si="140"/>
        <v>1</v>
      </c>
      <c r="AH647">
        <f t="shared" si="141"/>
        <v>2024</v>
      </c>
      <c r="AI647" t="str">
        <f t="shared" si="142"/>
        <v>CLEAN</v>
      </c>
    </row>
    <row r="648" spans="1:35">
      <c r="A648" t="s">
        <v>2025</v>
      </c>
      <c r="B648">
        <f t="shared" si="130"/>
        <v>1</v>
      </c>
      <c r="C648" t="str">
        <f>IF(COUNTIF($A$2:A648, A648)&gt;1, "DUPLICATE_FLAGGED_FOR_REVIEW", "")</f>
        <v/>
      </c>
      <c r="D648" s="3">
        <v>45553</v>
      </c>
      <c r="E648" s="2">
        <v>45559</v>
      </c>
      <c r="F648" s="2" t="str">
        <f t="shared" si="131"/>
        <v>OK</v>
      </c>
      <c r="G648" s="4">
        <f t="shared" si="132"/>
        <v>6</v>
      </c>
      <c r="H648" t="s">
        <v>2026</v>
      </c>
      <c r="I648" t="s">
        <v>71</v>
      </c>
      <c r="J648" t="s">
        <v>37</v>
      </c>
      <c r="K648" t="s">
        <v>38</v>
      </c>
      <c r="L648" t="str">
        <f t="shared" si="133"/>
        <v>East</v>
      </c>
      <c r="M648" t="s">
        <v>228</v>
      </c>
      <c r="N648" t="s">
        <v>229</v>
      </c>
      <c r="O648" t="s">
        <v>74</v>
      </c>
      <c r="P648" t="s">
        <v>274</v>
      </c>
      <c r="Q648" t="s">
        <v>2027</v>
      </c>
      <c r="R648" t="s">
        <v>50</v>
      </c>
      <c r="S648" t="str">
        <f t="shared" si="134"/>
        <v>First Class</v>
      </c>
      <c r="T648">
        <v>3</v>
      </c>
      <c r="U648">
        <v>729.14</v>
      </c>
      <c r="V648">
        <v>0.25</v>
      </c>
      <c r="W648">
        <f t="shared" si="135"/>
        <v>0.25</v>
      </c>
      <c r="X648" t="str">
        <f t="shared" si="136"/>
        <v/>
      </c>
      <c r="Y648">
        <v>1640.57</v>
      </c>
      <c r="Z648">
        <f t="shared" si="137"/>
        <v>1640.5650000000001</v>
      </c>
      <c r="AA648">
        <v>1136.98</v>
      </c>
      <c r="AB648">
        <v>503.59</v>
      </c>
      <c r="AC648">
        <f t="shared" si="138"/>
        <v>911.42500000000007</v>
      </c>
      <c r="AD648" s="6">
        <f t="shared" si="139"/>
        <v>0.55555555555555558</v>
      </c>
      <c r="AE648" t="s">
        <v>32</v>
      </c>
      <c r="AF648" t="s">
        <v>33</v>
      </c>
      <c r="AG648">
        <f t="shared" si="140"/>
        <v>9</v>
      </c>
      <c r="AH648">
        <f t="shared" si="141"/>
        <v>2024</v>
      </c>
      <c r="AI648" t="str">
        <f t="shared" si="142"/>
        <v>CLEAN</v>
      </c>
    </row>
    <row r="649" spans="1:35">
      <c r="A649" t="s">
        <v>2028</v>
      </c>
      <c r="B649">
        <f t="shared" si="130"/>
        <v>1</v>
      </c>
      <c r="C649" t="str">
        <f>IF(COUNTIF($A$2:A649, A649)&gt;1, "DUPLICATE_FLAGGED_FOR_REVIEW", "")</f>
        <v/>
      </c>
      <c r="D649" s="3">
        <v>45658</v>
      </c>
      <c r="E649" s="2">
        <v>45666</v>
      </c>
      <c r="F649" s="2" t="str">
        <f t="shared" si="131"/>
        <v>OK</v>
      </c>
      <c r="G649" s="4">
        <f t="shared" si="132"/>
        <v>8</v>
      </c>
      <c r="H649" t="s">
        <v>2029</v>
      </c>
      <c r="I649" t="s">
        <v>141</v>
      </c>
      <c r="J649" t="s">
        <v>37</v>
      </c>
      <c r="K649" t="s">
        <v>25</v>
      </c>
      <c r="L649" t="str">
        <f t="shared" si="133"/>
        <v>North</v>
      </c>
      <c r="M649" t="s">
        <v>122</v>
      </c>
      <c r="N649" t="s">
        <v>123</v>
      </c>
      <c r="O649" t="s">
        <v>28</v>
      </c>
      <c r="P649" t="s">
        <v>48</v>
      </c>
      <c r="Q649" t="s">
        <v>2030</v>
      </c>
      <c r="R649" t="s">
        <v>50</v>
      </c>
      <c r="S649" t="str">
        <f t="shared" si="134"/>
        <v>First Class</v>
      </c>
      <c r="T649">
        <v>8</v>
      </c>
      <c r="U649">
        <v>2123.81</v>
      </c>
      <c r="V649">
        <v>0.15</v>
      </c>
      <c r="W649">
        <f t="shared" si="135"/>
        <v>0.15</v>
      </c>
      <c r="X649" t="str">
        <f t="shared" si="136"/>
        <v/>
      </c>
      <c r="Y649">
        <v>14441.91</v>
      </c>
      <c r="Z649">
        <f t="shared" si="137"/>
        <v>14441.907999999999</v>
      </c>
      <c r="AA649">
        <v>10872.89</v>
      </c>
      <c r="AB649">
        <v>3569.02</v>
      </c>
      <c r="AC649">
        <f t="shared" si="138"/>
        <v>12318.098</v>
      </c>
      <c r="AD649" s="6">
        <f t="shared" si="139"/>
        <v>0.85294117647058831</v>
      </c>
      <c r="AE649" t="s">
        <v>32</v>
      </c>
      <c r="AF649" t="s">
        <v>33</v>
      </c>
      <c r="AG649">
        <f t="shared" si="140"/>
        <v>1</v>
      </c>
      <c r="AH649">
        <f t="shared" si="141"/>
        <v>2025</v>
      </c>
      <c r="AI649" t="str">
        <f t="shared" si="142"/>
        <v>CLEAN</v>
      </c>
    </row>
    <row r="650" spans="1:35">
      <c r="A650" t="s">
        <v>2031</v>
      </c>
      <c r="B650">
        <f t="shared" si="130"/>
        <v>1</v>
      </c>
      <c r="C650" t="str">
        <f>IF(COUNTIF($A$2:A650, A650)&gt;1, "DUPLICATE_FLAGGED_FOR_REVIEW", "")</f>
        <v/>
      </c>
      <c r="D650" s="3">
        <v>45403</v>
      </c>
      <c r="E650" s="2">
        <v>45406</v>
      </c>
      <c r="F650" s="2" t="str">
        <f t="shared" si="131"/>
        <v>OK</v>
      </c>
      <c r="G650" s="4">
        <f t="shared" si="132"/>
        <v>3</v>
      </c>
      <c r="H650" t="s">
        <v>2032</v>
      </c>
      <c r="I650" t="s">
        <v>79</v>
      </c>
      <c r="J650" t="s">
        <v>37</v>
      </c>
      <c r="K650" t="s">
        <v>54</v>
      </c>
      <c r="L650" t="str">
        <f t="shared" si="133"/>
        <v>South</v>
      </c>
      <c r="M650" t="s">
        <v>84</v>
      </c>
      <c r="N650" t="s">
        <v>85</v>
      </c>
      <c r="O650" t="s">
        <v>28</v>
      </c>
      <c r="P650" t="s">
        <v>48</v>
      </c>
      <c r="Q650" t="s">
        <v>2033</v>
      </c>
      <c r="R650" t="s">
        <v>44</v>
      </c>
      <c r="S650" t="str">
        <f t="shared" si="134"/>
        <v>Same Day</v>
      </c>
      <c r="T650">
        <v>9</v>
      </c>
      <c r="U650">
        <v>703.59</v>
      </c>
      <c r="V650">
        <v>0.2</v>
      </c>
      <c r="W650">
        <f t="shared" si="135"/>
        <v>0.2</v>
      </c>
      <c r="X650" t="str">
        <f t="shared" si="136"/>
        <v/>
      </c>
      <c r="Y650">
        <v>5065.8500000000004</v>
      </c>
      <c r="Z650">
        <f t="shared" si="137"/>
        <v>5065.8480000000009</v>
      </c>
      <c r="AA650">
        <v>3517.23</v>
      </c>
      <c r="AB650">
        <v>1548.62</v>
      </c>
      <c r="AC650">
        <f t="shared" si="138"/>
        <v>4362.2580000000007</v>
      </c>
      <c r="AD650" s="6">
        <f t="shared" si="139"/>
        <v>0.86111111111111116</v>
      </c>
      <c r="AE650" t="s">
        <v>155</v>
      </c>
      <c r="AF650" t="s">
        <v>103</v>
      </c>
      <c r="AG650">
        <f t="shared" si="140"/>
        <v>4</v>
      </c>
      <c r="AH650">
        <f t="shared" si="141"/>
        <v>2024</v>
      </c>
      <c r="AI650" t="str">
        <f t="shared" si="142"/>
        <v>CLEAN</v>
      </c>
    </row>
    <row r="651" spans="1:35">
      <c r="A651" t="s">
        <v>2034</v>
      </c>
      <c r="B651">
        <f t="shared" si="130"/>
        <v>1</v>
      </c>
      <c r="C651" t="str">
        <f>IF(COUNTIF($A$2:A651, A651)&gt;1, "DUPLICATE_FLAGGED_FOR_REVIEW", "")</f>
        <v/>
      </c>
      <c r="D651" s="3">
        <v>45880</v>
      </c>
      <c r="E651" s="2">
        <v>45888</v>
      </c>
      <c r="F651" s="2" t="str">
        <f t="shared" si="131"/>
        <v>OK</v>
      </c>
      <c r="G651" s="4">
        <f t="shared" si="132"/>
        <v>8</v>
      </c>
      <c r="H651" t="s">
        <v>2035</v>
      </c>
      <c r="I651" t="s">
        <v>264</v>
      </c>
      <c r="J651" t="s">
        <v>37</v>
      </c>
      <c r="K651" t="s">
        <v>54</v>
      </c>
      <c r="L651" t="str">
        <f t="shared" si="133"/>
        <v>South</v>
      </c>
      <c r="M651" t="s">
        <v>185</v>
      </c>
      <c r="N651" t="s">
        <v>186</v>
      </c>
      <c r="O651" t="s">
        <v>74</v>
      </c>
      <c r="P651" t="s">
        <v>75</v>
      </c>
      <c r="Q651" t="s">
        <v>2036</v>
      </c>
      <c r="R651" t="s">
        <v>59</v>
      </c>
      <c r="S651" t="str">
        <f t="shared" si="134"/>
        <v>Standard Class</v>
      </c>
      <c r="T651">
        <v>4</v>
      </c>
      <c r="U651">
        <v>2258.96</v>
      </c>
      <c r="V651">
        <v>0.25</v>
      </c>
      <c r="W651">
        <f t="shared" si="135"/>
        <v>0.25</v>
      </c>
      <c r="X651" t="str">
        <f t="shared" si="136"/>
        <v/>
      </c>
      <c r="Y651">
        <v>6776.88</v>
      </c>
      <c r="Z651">
        <f t="shared" si="137"/>
        <v>6776.88</v>
      </c>
      <c r="AA651">
        <v>3836.24</v>
      </c>
      <c r="AB651">
        <v>2940.64</v>
      </c>
      <c r="AC651">
        <f t="shared" si="138"/>
        <v>4517.92</v>
      </c>
      <c r="AD651" s="6">
        <f t="shared" si="139"/>
        <v>0.66666666666666663</v>
      </c>
      <c r="AE651" t="s">
        <v>32</v>
      </c>
      <c r="AF651" t="s">
        <v>33</v>
      </c>
      <c r="AG651">
        <f t="shared" si="140"/>
        <v>8</v>
      </c>
      <c r="AH651">
        <f t="shared" si="141"/>
        <v>2025</v>
      </c>
      <c r="AI651" t="str">
        <f t="shared" si="142"/>
        <v>CLEAN</v>
      </c>
    </row>
    <row r="652" spans="1:35">
      <c r="A652" t="s">
        <v>2037</v>
      </c>
      <c r="B652">
        <f t="shared" si="130"/>
        <v>1</v>
      </c>
      <c r="C652" t="str">
        <f>IF(COUNTIF($A$2:A652, A652)&gt;1, "DUPLICATE_FLAGGED_FOR_REVIEW", "")</f>
        <v/>
      </c>
      <c r="D652" s="3">
        <v>45395</v>
      </c>
      <c r="E652" s="2">
        <v>45403</v>
      </c>
      <c r="F652" s="2" t="str">
        <f t="shared" si="131"/>
        <v>OK</v>
      </c>
      <c r="G652" s="4">
        <f t="shared" si="132"/>
        <v>8</v>
      </c>
      <c r="H652" t="s">
        <v>378</v>
      </c>
      <c r="I652" t="s">
        <v>128</v>
      </c>
      <c r="J652" t="s">
        <v>95</v>
      </c>
      <c r="K652" t="s">
        <v>38</v>
      </c>
      <c r="L652" t="str">
        <f t="shared" si="133"/>
        <v>East</v>
      </c>
      <c r="M652" t="s">
        <v>145</v>
      </c>
      <c r="N652" t="s">
        <v>146</v>
      </c>
      <c r="O652" t="s">
        <v>74</v>
      </c>
      <c r="P652" t="s">
        <v>75</v>
      </c>
      <c r="Q652" t="s">
        <v>2038</v>
      </c>
      <c r="R652" t="s">
        <v>44</v>
      </c>
      <c r="S652" t="str">
        <f t="shared" si="134"/>
        <v>Same Day</v>
      </c>
      <c r="T652">
        <v>7</v>
      </c>
      <c r="U652">
        <v>2648.76</v>
      </c>
      <c r="V652">
        <v>0.15</v>
      </c>
      <c r="W652">
        <f t="shared" si="135"/>
        <v>0.15</v>
      </c>
      <c r="X652" t="str">
        <f t="shared" si="136"/>
        <v/>
      </c>
      <c r="Y652">
        <v>15760.12</v>
      </c>
      <c r="Z652">
        <f t="shared" si="137"/>
        <v>15760.121999999999</v>
      </c>
      <c r="AA652">
        <v>9931.5300000000007</v>
      </c>
      <c r="AB652">
        <v>5828.59</v>
      </c>
      <c r="AC652">
        <f t="shared" si="138"/>
        <v>13111.361999999999</v>
      </c>
      <c r="AD652" s="6">
        <f t="shared" si="139"/>
        <v>0.83193277310924363</v>
      </c>
      <c r="AE652" t="s">
        <v>155</v>
      </c>
      <c r="AF652" t="s">
        <v>103</v>
      </c>
      <c r="AG652">
        <f t="shared" si="140"/>
        <v>4</v>
      </c>
      <c r="AH652">
        <f t="shared" si="141"/>
        <v>2024</v>
      </c>
      <c r="AI652" t="str">
        <f t="shared" si="142"/>
        <v>CLEAN</v>
      </c>
    </row>
    <row r="653" spans="1:35">
      <c r="A653" t="s">
        <v>2039</v>
      </c>
      <c r="B653">
        <f t="shared" si="130"/>
        <v>1</v>
      </c>
      <c r="C653" t="str">
        <f>IF(COUNTIF($A$2:A653, A653)&gt;1, "DUPLICATE_FLAGGED_FOR_REVIEW", "")</f>
        <v/>
      </c>
      <c r="D653" s="3">
        <v>45875</v>
      </c>
      <c r="E653" s="2">
        <v>45878</v>
      </c>
      <c r="F653" s="2" t="str">
        <f t="shared" si="131"/>
        <v>OK</v>
      </c>
      <c r="G653" s="4">
        <f t="shared" si="132"/>
        <v>3</v>
      </c>
      <c r="H653" t="s">
        <v>2040</v>
      </c>
      <c r="I653" t="s">
        <v>36</v>
      </c>
      <c r="J653" t="s">
        <v>37</v>
      </c>
      <c r="K653" t="s">
        <v>54</v>
      </c>
      <c r="L653" t="str">
        <f t="shared" si="133"/>
        <v>South</v>
      </c>
      <c r="M653" t="s">
        <v>84</v>
      </c>
      <c r="N653" t="s">
        <v>85</v>
      </c>
      <c r="O653" t="s">
        <v>28</v>
      </c>
      <c r="P653" t="s">
        <v>29</v>
      </c>
      <c r="Q653" t="s">
        <v>2041</v>
      </c>
      <c r="R653" t="s">
        <v>31</v>
      </c>
      <c r="S653" t="str">
        <f t="shared" si="134"/>
        <v>Second Class</v>
      </c>
      <c r="T653">
        <v>3</v>
      </c>
      <c r="U653">
        <v>598.54999999999995</v>
      </c>
      <c r="V653">
        <v>0</v>
      </c>
      <c r="W653">
        <f t="shared" si="135"/>
        <v>0</v>
      </c>
      <c r="X653" t="str">
        <f t="shared" si="136"/>
        <v/>
      </c>
      <c r="Y653">
        <v>1795.65</v>
      </c>
      <c r="Z653">
        <f t="shared" si="137"/>
        <v>1795.6499999999999</v>
      </c>
      <c r="AA653">
        <v>996.72</v>
      </c>
      <c r="AB653">
        <v>798.93</v>
      </c>
      <c r="AC653">
        <f t="shared" si="138"/>
        <v>1197.0999999999999</v>
      </c>
      <c r="AD653" s="6">
        <f t="shared" si="139"/>
        <v>0.66666666666666663</v>
      </c>
      <c r="AE653" t="s">
        <v>32</v>
      </c>
      <c r="AF653" t="s">
        <v>33</v>
      </c>
      <c r="AG653">
        <f t="shared" si="140"/>
        <v>8</v>
      </c>
      <c r="AH653">
        <f t="shared" si="141"/>
        <v>2025</v>
      </c>
      <c r="AI653" t="str">
        <f t="shared" si="142"/>
        <v>CLEAN</v>
      </c>
    </row>
    <row r="654" spans="1:35">
      <c r="A654" t="s">
        <v>2042</v>
      </c>
      <c r="B654">
        <f t="shared" si="130"/>
        <v>1</v>
      </c>
      <c r="C654" t="str">
        <f>IF(COUNTIF($A$2:A654, A654)&gt;1, "DUPLICATE_FLAGGED_FOR_REVIEW", "")</f>
        <v/>
      </c>
      <c r="D654" s="3">
        <v>45733</v>
      </c>
      <c r="E654" s="2">
        <v>45737</v>
      </c>
      <c r="F654" s="2" t="str">
        <f t="shared" si="131"/>
        <v>OK</v>
      </c>
      <c r="G654" s="4">
        <f t="shared" si="132"/>
        <v>4</v>
      </c>
      <c r="H654" t="s">
        <v>1686</v>
      </c>
      <c r="I654" t="s">
        <v>132</v>
      </c>
      <c r="J654" t="s">
        <v>24</v>
      </c>
      <c r="K654" t="s">
        <v>25</v>
      </c>
      <c r="L654" t="str">
        <f t="shared" si="133"/>
        <v>North</v>
      </c>
      <c r="M654" t="s">
        <v>136</v>
      </c>
      <c r="N654" t="s">
        <v>137</v>
      </c>
      <c r="O654" t="s">
        <v>28</v>
      </c>
      <c r="P654" t="s">
        <v>153</v>
      </c>
      <c r="Q654" t="s">
        <v>2043</v>
      </c>
      <c r="R654" t="s">
        <v>59</v>
      </c>
      <c r="S654" t="str">
        <f t="shared" si="134"/>
        <v>Standard Class</v>
      </c>
      <c r="T654">
        <v>5</v>
      </c>
      <c r="U654">
        <v>4320.59</v>
      </c>
      <c r="V654">
        <v>0.15</v>
      </c>
      <c r="W654">
        <f t="shared" si="135"/>
        <v>0.15</v>
      </c>
      <c r="X654" t="str">
        <f t="shared" si="136"/>
        <v/>
      </c>
      <c r="Y654">
        <v>18362.509999999998</v>
      </c>
      <c r="Z654">
        <f t="shared" si="137"/>
        <v>18362.5075</v>
      </c>
      <c r="AA654">
        <v>11133.97</v>
      </c>
      <c r="AB654">
        <v>7228.54</v>
      </c>
      <c r="AC654">
        <f t="shared" si="138"/>
        <v>14041.9175</v>
      </c>
      <c r="AD654" s="6">
        <f t="shared" si="139"/>
        <v>0.76470588235294112</v>
      </c>
      <c r="AE654" t="s">
        <v>32</v>
      </c>
      <c r="AF654" t="s">
        <v>33</v>
      </c>
      <c r="AG654">
        <f t="shared" si="140"/>
        <v>3</v>
      </c>
      <c r="AH654">
        <f t="shared" si="141"/>
        <v>2025</v>
      </c>
      <c r="AI654" t="str">
        <f t="shared" si="142"/>
        <v>CLEAN</v>
      </c>
    </row>
    <row r="655" spans="1:35">
      <c r="A655" t="s">
        <v>2044</v>
      </c>
      <c r="B655">
        <f t="shared" si="130"/>
        <v>1</v>
      </c>
      <c r="C655" t="str">
        <f>IF(COUNTIF($A$2:A655, A655)&gt;1, "DUPLICATE_FLAGGED_FOR_REVIEW", "")</f>
        <v/>
      </c>
      <c r="D655" s="3">
        <v>45751</v>
      </c>
      <c r="E655" s="2">
        <v>45842</v>
      </c>
      <c r="F655" s="2" t="str">
        <f t="shared" si="131"/>
        <v>OK</v>
      </c>
      <c r="G655" s="4">
        <f t="shared" si="132"/>
        <v>91</v>
      </c>
      <c r="H655" t="s">
        <v>2045</v>
      </c>
      <c r="I655" t="s">
        <v>114</v>
      </c>
      <c r="J655" t="s">
        <v>37</v>
      </c>
      <c r="K655" t="s">
        <v>54</v>
      </c>
      <c r="L655" t="str">
        <f t="shared" si="133"/>
        <v>South</v>
      </c>
      <c r="M655" t="s">
        <v>247</v>
      </c>
      <c r="N655" t="s">
        <v>248</v>
      </c>
      <c r="O655" t="s">
        <v>74</v>
      </c>
      <c r="P655" t="s">
        <v>80</v>
      </c>
      <c r="Q655" t="s">
        <v>2046</v>
      </c>
      <c r="R655" t="s">
        <v>31</v>
      </c>
      <c r="S655" t="str">
        <f t="shared" si="134"/>
        <v>Second Class</v>
      </c>
      <c r="T655">
        <v>7</v>
      </c>
      <c r="U655">
        <v>4457.93</v>
      </c>
      <c r="V655">
        <v>0.15</v>
      </c>
      <c r="W655">
        <f t="shared" si="135"/>
        <v>0.15</v>
      </c>
      <c r="X655" t="str">
        <f t="shared" si="136"/>
        <v/>
      </c>
      <c r="Y655">
        <v>26524.68</v>
      </c>
      <c r="Z655">
        <f t="shared" si="137"/>
        <v>26524.683500000003</v>
      </c>
      <c r="AA655">
        <v>20574.3</v>
      </c>
      <c r="AB655">
        <v>5950.38</v>
      </c>
      <c r="AC655">
        <f t="shared" si="138"/>
        <v>22066.753500000003</v>
      </c>
      <c r="AD655" s="6">
        <f t="shared" si="139"/>
        <v>0.83193277310924374</v>
      </c>
      <c r="AE655" t="s">
        <v>32</v>
      </c>
      <c r="AF655" t="s">
        <v>33</v>
      </c>
      <c r="AG655">
        <f t="shared" si="140"/>
        <v>4</v>
      </c>
      <c r="AH655">
        <f t="shared" si="141"/>
        <v>2025</v>
      </c>
      <c r="AI655" t="str">
        <f t="shared" si="142"/>
        <v>CLEAN</v>
      </c>
    </row>
    <row r="656" spans="1:35">
      <c r="A656" t="s">
        <v>2047</v>
      </c>
      <c r="B656">
        <f t="shared" si="130"/>
        <v>1</v>
      </c>
      <c r="C656" t="str">
        <f>IF(COUNTIF($A$2:A656, A656)&gt;1, "DUPLICATE_FLAGGED_FOR_REVIEW", "")</f>
        <v/>
      </c>
      <c r="D656" s="3">
        <v>46001</v>
      </c>
      <c r="E656" s="2">
        <v>45946</v>
      </c>
      <c r="F656" s="2" t="str">
        <f t="shared" si="131"/>
        <v>ERROR: Ship before order</v>
      </c>
      <c r="G656" s="4">
        <f t="shared" si="132"/>
        <v>-55</v>
      </c>
      <c r="H656" t="s">
        <v>925</v>
      </c>
      <c r="I656" t="s">
        <v>162</v>
      </c>
      <c r="J656" t="s">
        <v>90</v>
      </c>
      <c r="K656" t="s">
        <v>38</v>
      </c>
      <c r="L656" t="str">
        <f t="shared" si="133"/>
        <v>East</v>
      </c>
      <c r="M656" t="s">
        <v>145</v>
      </c>
      <c r="N656" t="s">
        <v>146</v>
      </c>
      <c r="O656" t="s">
        <v>74</v>
      </c>
      <c r="P656" t="s">
        <v>274</v>
      </c>
      <c r="Q656" t="s">
        <v>2048</v>
      </c>
      <c r="R656" t="s">
        <v>44</v>
      </c>
      <c r="S656" t="str">
        <f t="shared" si="134"/>
        <v>Same Day</v>
      </c>
      <c r="T656">
        <v>1</v>
      </c>
      <c r="U656">
        <v>2570.06</v>
      </c>
      <c r="V656">
        <v>0.2</v>
      </c>
      <c r="W656">
        <f t="shared" si="135"/>
        <v>0.2</v>
      </c>
      <c r="X656" t="str">
        <f t="shared" si="136"/>
        <v/>
      </c>
      <c r="Y656">
        <v>2056.0500000000002</v>
      </c>
      <c r="Z656">
        <f t="shared" si="137"/>
        <v>2056.0480000000002</v>
      </c>
      <c r="AA656">
        <v>1662.39</v>
      </c>
      <c r="AB656">
        <v>393.66</v>
      </c>
      <c r="AC656">
        <f t="shared" si="138"/>
        <v>-514.01199999999972</v>
      </c>
      <c r="AD656" s="6">
        <f t="shared" si="139"/>
        <v>-0.24999999999999983</v>
      </c>
      <c r="AE656" t="s">
        <v>32</v>
      </c>
      <c r="AF656" t="s">
        <v>33</v>
      </c>
      <c r="AG656">
        <f t="shared" si="140"/>
        <v>12</v>
      </c>
      <c r="AH656">
        <f t="shared" si="141"/>
        <v>2025</v>
      </c>
      <c r="AI656" t="str">
        <f t="shared" si="142"/>
        <v>INVALID</v>
      </c>
    </row>
    <row r="657" spans="1:35">
      <c r="A657" t="s">
        <v>2049</v>
      </c>
      <c r="B657">
        <f t="shared" si="130"/>
        <v>1</v>
      </c>
      <c r="C657" t="str">
        <f>IF(COUNTIF($A$2:A657, A657)&gt;1, "DUPLICATE_FLAGGED_FOR_REVIEW", "")</f>
        <v/>
      </c>
      <c r="D657" s="3">
        <v>45895</v>
      </c>
      <c r="E657" s="2">
        <v>45895</v>
      </c>
      <c r="F657" s="2" t="str">
        <f t="shared" si="131"/>
        <v>OK</v>
      </c>
      <c r="G657" s="4">
        <f t="shared" si="132"/>
        <v>0</v>
      </c>
      <c r="H657" t="s">
        <v>2050</v>
      </c>
      <c r="I657" t="s">
        <v>79</v>
      </c>
      <c r="J657" t="s">
        <v>95</v>
      </c>
      <c r="K657" t="s">
        <v>38</v>
      </c>
      <c r="L657" t="str">
        <f t="shared" si="133"/>
        <v>East</v>
      </c>
      <c r="M657" t="s">
        <v>99</v>
      </c>
      <c r="N657" t="s">
        <v>100</v>
      </c>
      <c r="O657" t="s">
        <v>41</v>
      </c>
      <c r="P657" t="s">
        <v>57</v>
      </c>
      <c r="Q657" t="s">
        <v>2051</v>
      </c>
      <c r="R657" t="s">
        <v>59</v>
      </c>
      <c r="S657" t="str">
        <f t="shared" si="134"/>
        <v>Standard Class</v>
      </c>
      <c r="T657">
        <v>4</v>
      </c>
      <c r="U657">
        <v>2151.8200000000002</v>
      </c>
      <c r="V657">
        <v>0</v>
      </c>
      <c r="W657">
        <f t="shared" si="135"/>
        <v>0</v>
      </c>
      <c r="X657" t="str">
        <f t="shared" si="136"/>
        <v/>
      </c>
      <c r="Y657">
        <v>8607.2800000000007</v>
      </c>
      <c r="Z657">
        <f t="shared" si="137"/>
        <v>8607.2800000000007</v>
      </c>
      <c r="AA657">
        <v>5124.01</v>
      </c>
      <c r="AB657">
        <v>3483.27</v>
      </c>
      <c r="AC657">
        <f t="shared" si="138"/>
        <v>6455.4600000000009</v>
      </c>
      <c r="AD657" s="6">
        <f t="shared" si="139"/>
        <v>0.75</v>
      </c>
      <c r="AE657" t="s">
        <v>32</v>
      </c>
      <c r="AF657" t="s">
        <v>33</v>
      </c>
      <c r="AG657">
        <f t="shared" si="140"/>
        <v>8</v>
      </c>
      <c r="AH657">
        <f t="shared" si="141"/>
        <v>2025</v>
      </c>
      <c r="AI657" t="str">
        <f t="shared" si="142"/>
        <v>CLEAN</v>
      </c>
    </row>
    <row r="658" spans="1:35">
      <c r="A658" t="s">
        <v>2052</v>
      </c>
      <c r="B658">
        <f t="shared" si="130"/>
        <v>1</v>
      </c>
      <c r="C658" t="str">
        <f>IF(COUNTIF($A$2:A658, A658)&gt;1, "DUPLICATE_FLAGGED_FOR_REVIEW", "")</f>
        <v/>
      </c>
      <c r="D658" s="3">
        <v>45419</v>
      </c>
      <c r="E658" s="2">
        <v>45426</v>
      </c>
      <c r="F658" s="2" t="str">
        <f t="shared" si="131"/>
        <v>OK</v>
      </c>
      <c r="G658" s="4">
        <f t="shared" si="132"/>
        <v>7</v>
      </c>
      <c r="H658" t="s">
        <v>2053</v>
      </c>
      <c r="I658" t="s">
        <v>79</v>
      </c>
      <c r="J658" t="s">
        <v>37</v>
      </c>
      <c r="K658" t="s">
        <v>25</v>
      </c>
      <c r="L658" t="str">
        <f t="shared" si="133"/>
        <v>North</v>
      </c>
      <c r="M658" t="s">
        <v>236</v>
      </c>
      <c r="N658" t="s">
        <v>237</v>
      </c>
      <c r="O658" t="s">
        <v>74</v>
      </c>
      <c r="P658" t="s">
        <v>274</v>
      </c>
      <c r="Q658" t="s">
        <v>2054</v>
      </c>
      <c r="R658" t="s">
        <v>44</v>
      </c>
      <c r="S658" t="str">
        <f t="shared" si="134"/>
        <v>Same Day</v>
      </c>
      <c r="T658">
        <v>4</v>
      </c>
      <c r="U658">
        <v>2751.1</v>
      </c>
      <c r="V658">
        <v>-0.05</v>
      </c>
      <c r="W658">
        <f t="shared" si="135"/>
        <v>-0.05</v>
      </c>
      <c r="X658" t="str">
        <f t="shared" si="136"/>
        <v>INVALID_NEGATIVE_DISCOUNT</v>
      </c>
      <c r="Y658">
        <v>9903.9599999999991</v>
      </c>
      <c r="Z658">
        <f t="shared" si="137"/>
        <v>11554.62</v>
      </c>
      <c r="AA658">
        <v>7696.28</v>
      </c>
      <c r="AB658">
        <v>2207.6799999999998</v>
      </c>
      <c r="AC658">
        <f t="shared" si="138"/>
        <v>8803.52</v>
      </c>
      <c r="AD658" s="6">
        <f t="shared" si="139"/>
        <v>0.76190476190476186</v>
      </c>
      <c r="AE658" t="s">
        <v>32</v>
      </c>
      <c r="AF658" t="s">
        <v>33</v>
      </c>
      <c r="AG658">
        <f t="shared" si="140"/>
        <v>5</v>
      </c>
      <c r="AH658">
        <f t="shared" si="141"/>
        <v>2024</v>
      </c>
      <c r="AI658" t="str">
        <f t="shared" si="142"/>
        <v>INVALID</v>
      </c>
    </row>
    <row r="659" spans="1:35">
      <c r="A659" t="s">
        <v>2055</v>
      </c>
      <c r="B659">
        <f t="shared" si="130"/>
        <v>1</v>
      </c>
      <c r="C659" t="str">
        <f>IF(COUNTIF($A$2:A659, A659)&gt;1, "DUPLICATE_FLAGGED_FOR_REVIEW", "")</f>
        <v/>
      </c>
      <c r="D659" s="3">
        <v>45846</v>
      </c>
      <c r="E659" s="2">
        <v>45879</v>
      </c>
      <c r="F659" s="2" t="str">
        <f t="shared" si="131"/>
        <v>OK</v>
      </c>
      <c r="G659" s="4">
        <f t="shared" si="132"/>
        <v>33</v>
      </c>
      <c r="H659" t="s">
        <v>2056</v>
      </c>
      <c r="I659" t="s">
        <v>89</v>
      </c>
      <c r="J659" t="s">
        <v>95</v>
      </c>
      <c r="K659" t="s">
        <v>38</v>
      </c>
      <c r="L659" t="str">
        <f t="shared" si="133"/>
        <v>East</v>
      </c>
      <c r="M659" t="s">
        <v>145</v>
      </c>
      <c r="N659" t="s">
        <v>146</v>
      </c>
      <c r="O659" t="s">
        <v>28</v>
      </c>
      <c r="P659" t="s">
        <v>124</v>
      </c>
      <c r="Q659" t="s">
        <v>2057</v>
      </c>
      <c r="R659" t="s">
        <v>31</v>
      </c>
      <c r="S659" t="str">
        <f t="shared" si="134"/>
        <v>Second Class</v>
      </c>
      <c r="T659">
        <v>1</v>
      </c>
      <c r="U659">
        <v>2541.25</v>
      </c>
      <c r="V659">
        <v>0.2</v>
      </c>
      <c r="W659">
        <f t="shared" si="135"/>
        <v>0.2</v>
      </c>
      <c r="X659" t="str">
        <f t="shared" si="136"/>
        <v/>
      </c>
      <c r="Y659">
        <v>2033</v>
      </c>
      <c r="Z659">
        <f t="shared" si="137"/>
        <v>2033</v>
      </c>
      <c r="AA659">
        <v>1291.4100000000001</v>
      </c>
      <c r="AB659">
        <v>741.59</v>
      </c>
      <c r="AC659">
        <f t="shared" si="138"/>
        <v>-508.25</v>
      </c>
      <c r="AD659" s="6">
        <f t="shared" si="139"/>
        <v>-0.25</v>
      </c>
      <c r="AE659" t="s">
        <v>32</v>
      </c>
      <c r="AF659" t="s">
        <v>33</v>
      </c>
      <c r="AG659">
        <f t="shared" si="140"/>
        <v>7</v>
      </c>
      <c r="AH659">
        <f t="shared" si="141"/>
        <v>2025</v>
      </c>
      <c r="AI659" t="str">
        <f t="shared" si="142"/>
        <v>CLEAN</v>
      </c>
    </row>
    <row r="660" spans="1:35">
      <c r="A660" t="s">
        <v>2058</v>
      </c>
      <c r="B660">
        <f t="shared" si="130"/>
        <v>1</v>
      </c>
      <c r="C660" t="str">
        <f>IF(COUNTIF($A$2:A660, A660)&gt;1, "DUPLICATE_FLAGGED_FOR_REVIEW", "")</f>
        <v/>
      </c>
      <c r="D660" s="3">
        <v>45817</v>
      </c>
      <c r="E660" s="2">
        <v>45997</v>
      </c>
      <c r="F660" s="2" t="str">
        <f t="shared" si="131"/>
        <v>OK</v>
      </c>
      <c r="G660" s="4">
        <f t="shared" si="132"/>
        <v>180</v>
      </c>
      <c r="H660" t="s">
        <v>2059</v>
      </c>
      <c r="I660" t="s">
        <v>132</v>
      </c>
      <c r="J660" t="s">
        <v>24</v>
      </c>
      <c r="K660" t="s">
        <v>2760</v>
      </c>
      <c r="L660" t="str">
        <f t="shared" si="133"/>
        <v>Unknown</v>
      </c>
      <c r="M660" t="s">
        <v>145</v>
      </c>
      <c r="N660" t="s">
        <v>146</v>
      </c>
      <c r="O660" t="s">
        <v>28</v>
      </c>
      <c r="P660" t="s">
        <v>48</v>
      </c>
      <c r="Q660" t="s">
        <v>2060</v>
      </c>
      <c r="R660" t="s">
        <v>50</v>
      </c>
      <c r="S660" t="str">
        <f t="shared" si="134"/>
        <v>First Class</v>
      </c>
      <c r="T660">
        <v>7</v>
      </c>
      <c r="U660">
        <v>2852.42</v>
      </c>
      <c r="V660">
        <v>0</v>
      </c>
      <c r="W660">
        <f t="shared" si="135"/>
        <v>0</v>
      </c>
      <c r="X660" t="str">
        <f t="shared" si="136"/>
        <v/>
      </c>
      <c r="Y660">
        <v>19966.939999999999</v>
      </c>
      <c r="Z660">
        <f t="shared" si="137"/>
        <v>19966.940000000002</v>
      </c>
      <c r="AA660">
        <v>12690.83</v>
      </c>
      <c r="AB660">
        <v>7276.11</v>
      </c>
      <c r="AC660">
        <f t="shared" si="138"/>
        <v>17114.520000000004</v>
      </c>
      <c r="AD660" s="6">
        <f t="shared" si="139"/>
        <v>0.85714285714285721</v>
      </c>
      <c r="AE660" t="s">
        <v>102</v>
      </c>
      <c r="AF660" t="s">
        <v>68</v>
      </c>
      <c r="AG660">
        <f t="shared" si="140"/>
        <v>6</v>
      </c>
      <c r="AH660">
        <f t="shared" si="141"/>
        <v>2025</v>
      </c>
      <c r="AI660" t="str">
        <f t="shared" si="142"/>
        <v>WARNING</v>
      </c>
    </row>
    <row r="661" spans="1:35">
      <c r="A661" t="s">
        <v>2061</v>
      </c>
      <c r="B661">
        <f t="shared" si="130"/>
        <v>1</v>
      </c>
      <c r="C661" t="str">
        <f>IF(COUNTIF($A$2:A661, A661)&gt;1, "DUPLICATE_FLAGGED_FOR_REVIEW", "")</f>
        <v/>
      </c>
      <c r="D661" s="3">
        <v>45678</v>
      </c>
      <c r="E661" s="2">
        <v>45679</v>
      </c>
      <c r="F661" s="2" t="str">
        <f t="shared" si="131"/>
        <v>OK</v>
      </c>
      <c r="G661" s="4">
        <f t="shared" si="132"/>
        <v>1</v>
      </c>
      <c r="H661" t="s">
        <v>2062</v>
      </c>
      <c r="I661" t="s">
        <v>162</v>
      </c>
      <c r="J661" t="s">
        <v>90</v>
      </c>
      <c r="K661" t="s">
        <v>54</v>
      </c>
      <c r="L661" t="str">
        <f t="shared" si="133"/>
        <v>South</v>
      </c>
      <c r="M661" t="s">
        <v>175</v>
      </c>
      <c r="N661" t="s">
        <v>176</v>
      </c>
      <c r="O661" t="s">
        <v>74</v>
      </c>
      <c r="P661" t="s">
        <v>171</v>
      </c>
      <c r="Q661" t="s">
        <v>2063</v>
      </c>
      <c r="R661" t="s">
        <v>31</v>
      </c>
      <c r="S661" t="str">
        <f t="shared" si="134"/>
        <v>Second Class</v>
      </c>
      <c r="T661">
        <v>2</v>
      </c>
      <c r="U661">
        <v>444.31</v>
      </c>
      <c r="V661">
        <v>0.2</v>
      </c>
      <c r="W661">
        <f t="shared" si="135"/>
        <v>0.2</v>
      </c>
      <c r="X661" t="str">
        <f t="shared" si="136"/>
        <v/>
      </c>
      <c r="Y661">
        <v>710.9</v>
      </c>
      <c r="Z661">
        <f t="shared" si="137"/>
        <v>710.89600000000007</v>
      </c>
      <c r="AA661">
        <v>513.88</v>
      </c>
      <c r="AB661">
        <v>197.02</v>
      </c>
      <c r="AC661">
        <f t="shared" si="138"/>
        <v>266.58600000000007</v>
      </c>
      <c r="AD661" s="6">
        <f t="shared" si="139"/>
        <v>0.37500000000000006</v>
      </c>
      <c r="AE661" t="s">
        <v>102</v>
      </c>
      <c r="AF661" t="s">
        <v>68</v>
      </c>
      <c r="AG661">
        <f t="shared" si="140"/>
        <v>1</v>
      </c>
      <c r="AH661">
        <f t="shared" si="141"/>
        <v>2025</v>
      </c>
      <c r="AI661" t="str">
        <f t="shared" si="142"/>
        <v>CLEAN</v>
      </c>
    </row>
    <row r="662" spans="1:35">
      <c r="A662" t="s">
        <v>2064</v>
      </c>
      <c r="B662">
        <f t="shared" si="130"/>
        <v>1</v>
      </c>
      <c r="C662" t="str">
        <f>IF(COUNTIF($A$2:A662, A662)&gt;1, "DUPLICATE_FLAGGED_FOR_REVIEW", "")</f>
        <v/>
      </c>
      <c r="D662" s="3">
        <v>45853</v>
      </c>
      <c r="E662" s="2">
        <v>45853</v>
      </c>
      <c r="F662" s="2" t="str">
        <f t="shared" si="131"/>
        <v>OK</v>
      </c>
      <c r="G662" s="4">
        <f t="shared" si="132"/>
        <v>0</v>
      </c>
      <c r="H662" t="s">
        <v>2065</v>
      </c>
      <c r="I662" t="s">
        <v>53</v>
      </c>
      <c r="J662" t="s">
        <v>37</v>
      </c>
      <c r="K662" t="s">
        <v>38</v>
      </c>
      <c r="L662" t="str">
        <f t="shared" si="133"/>
        <v>East</v>
      </c>
      <c r="M662" t="s">
        <v>228</v>
      </c>
      <c r="N662" t="s">
        <v>229</v>
      </c>
      <c r="O662" t="s">
        <v>74</v>
      </c>
      <c r="P662" t="s">
        <v>171</v>
      </c>
      <c r="Q662" t="s">
        <v>2066</v>
      </c>
      <c r="R662" t="s">
        <v>44</v>
      </c>
      <c r="S662" t="str">
        <f t="shared" si="134"/>
        <v>Same Day</v>
      </c>
      <c r="T662">
        <v>4</v>
      </c>
      <c r="U662">
        <v>4442.91</v>
      </c>
      <c r="V662">
        <v>0.1</v>
      </c>
      <c r="W662">
        <f t="shared" si="135"/>
        <v>0.1</v>
      </c>
      <c r="X662" t="str">
        <f t="shared" si="136"/>
        <v/>
      </c>
      <c r="Y662">
        <v>15994.48</v>
      </c>
      <c r="Z662">
        <f t="shared" si="137"/>
        <v>15994.476000000001</v>
      </c>
      <c r="AA662">
        <v>9224.2800000000007</v>
      </c>
      <c r="AB662">
        <v>6770.2</v>
      </c>
      <c r="AC662">
        <f t="shared" si="138"/>
        <v>11551.566000000001</v>
      </c>
      <c r="AD662" s="6">
        <f t="shared" si="139"/>
        <v>0.72222222222222221</v>
      </c>
      <c r="AE662" t="s">
        <v>32</v>
      </c>
      <c r="AF662" t="s">
        <v>33</v>
      </c>
      <c r="AG662">
        <f t="shared" si="140"/>
        <v>7</v>
      </c>
      <c r="AH662">
        <f t="shared" si="141"/>
        <v>2025</v>
      </c>
      <c r="AI662" t="str">
        <f t="shared" si="142"/>
        <v>CLEAN</v>
      </c>
    </row>
    <row r="663" spans="1:35">
      <c r="A663" t="s">
        <v>2067</v>
      </c>
      <c r="B663">
        <f t="shared" si="130"/>
        <v>1</v>
      </c>
      <c r="C663" t="str">
        <f>IF(COUNTIF($A$2:A663, A663)&gt;1, "DUPLICATE_FLAGGED_FOR_REVIEW", "")</f>
        <v/>
      </c>
      <c r="D663" s="3">
        <v>45429</v>
      </c>
      <c r="E663" s="2">
        <v>45434</v>
      </c>
      <c r="F663" s="2" t="str">
        <f t="shared" si="131"/>
        <v>OK</v>
      </c>
      <c r="G663" s="4">
        <f t="shared" si="132"/>
        <v>5</v>
      </c>
      <c r="H663" t="s">
        <v>2068</v>
      </c>
      <c r="I663" t="s">
        <v>132</v>
      </c>
      <c r="J663" t="s">
        <v>24</v>
      </c>
      <c r="K663" t="s">
        <v>54</v>
      </c>
      <c r="L663" t="str">
        <f t="shared" si="133"/>
        <v>South</v>
      </c>
      <c r="M663" t="s">
        <v>84</v>
      </c>
      <c r="N663" t="s">
        <v>85</v>
      </c>
      <c r="O663" t="s">
        <v>74</v>
      </c>
      <c r="P663" t="s">
        <v>274</v>
      </c>
      <c r="Q663" t="s">
        <v>2069</v>
      </c>
      <c r="R663" t="s">
        <v>31</v>
      </c>
      <c r="S663" t="str">
        <f t="shared" si="134"/>
        <v>Second Class</v>
      </c>
      <c r="T663">
        <v>7</v>
      </c>
      <c r="U663">
        <v>232.5</v>
      </c>
      <c r="V663">
        <v>0</v>
      </c>
      <c r="W663">
        <f t="shared" si="135"/>
        <v>0</v>
      </c>
      <c r="X663" t="str">
        <f t="shared" si="136"/>
        <v/>
      </c>
      <c r="Y663">
        <v>1627.5</v>
      </c>
      <c r="Z663">
        <f t="shared" si="137"/>
        <v>1627.5</v>
      </c>
      <c r="AA663">
        <v>939.9</v>
      </c>
      <c r="AB663">
        <v>687.6</v>
      </c>
      <c r="AC663">
        <f t="shared" si="138"/>
        <v>1395</v>
      </c>
      <c r="AD663" s="6">
        <f t="shared" si="139"/>
        <v>0.8571428571428571</v>
      </c>
      <c r="AE663" t="s">
        <v>32</v>
      </c>
      <c r="AF663" t="s">
        <v>33</v>
      </c>
      <c r="AG663">
        <f t="shared" si="140"/>
        <v>5</v>
      </c>
      <c r="AH663">
        <f t="shared" si="141"/>
        <v>2024</v>
      </c>
      <c r="AI663" t="str">
        <f t="shared" si="142"/>
        <v>CLEAN</v>
      </c>
    </row>
    <row r="664" spans="1:35">
      <c r="A664" t="s">
        <v>2070</v>
      </c>
      <c r="B664">
        <f t="shared" si="130"/>
        <v>1</v>
      </c>
      <c r="C664" t="str">
        <f>IF(COUNTIF($A$2:A664, A664)&gt;1, "DUPLICATE_FLAGGED_FOR_REVIEW", "")</f>
        <v/>
      </c>
      <c r="D664" s="3">
        <v>45305</v>
      </c>
      <c r="E664" s="2">
        <v>45309</v>
      </c>
      <c r="F664" s="2" t="str">
        <f t="shared" si="131"/>
        <v>OK</v>
      </c>
      <c r="G664" s="4">
        <f t="shared" si="132"/>
        <v>4</v>
      </c>
      <c r="H664" t="s">
        <v>2071</v>
      </c>
      <c r="I664" t="s">
        <v>36</v>
      </c>
      <c r="J664" t="s">
        <v>95</v>
      </c>
      <c r="K664" t="s">
        <v>63</v>
      </c>
      <c r="L664" t="str">
        <f t="shared" si="133"/>
        <v>West</v>
      </c>
      <c r="M664" t="s">
        <v>26</v>
      </c>
      <c r="N664" t="s">
        <v>109</v>
      </c>
      <c r="O664" t="s">
        <v>74</v>
      </c>
      <c r="P664" t="s">
        <v>274</v>
      </c>
      <c r="Q664" t="s">
        <v>2072</v>
      </c>
      <c r="R664" t="s">
        <v>44</v>
      </c>
      <c r="S664" t="str">
        <f t="shared" si="134"/>
        <v>Same Day</v>
      </c>
      <c r="T664">
        <v>6</v>
      </c>
      <c r="U664">
        <v>1784.8</v>
      </c>
      <c r="V664">
        <v>0.1</v>
      </c>
      <c r="W664">
        <f t="shared" si="135"/>
        <v>0.1</v>
      </c>
      <c r="X664" t="str">
        <f t="shared" si="136"/>
        <v/>
      </c>
      <c r="Y664">
        <v>9637.92</v>
      </c>
      <c r="Z664">
        <f t="shared" si="137"/>
        <v>9637.92</v>
      </c>
      <c r="AA664">
        <v>7329.29</v>
      </c>
      <c r="AB664">
        <v>2308.63</v>
      </c>
      <c r="AC664">
        <f t="shared" si="138"/>
        <v>7853.12</v>
      </c>
      <c r="AD664" s="6">
        <f t="shared" si="139"/>
        <v>0.81481481481481477</v>
      </c>
      <c r="AE664" t="s">
        <v>32</v>
      </c>
      <c r="AF664" t="s">
        <v>33</v>
      </c>
      <c r="AG664">
        <f t="shared" si="140"/>
        <v>1</v>
      </c>
      <c r="AH664">
        <f t="shared" si="141"/>
        <v>2024</v>
      </c>
      <c r="AI664" t="str">
        <f t="shared" si="142"/>
        <v>CLEAN</v>
      </c>
    </row>
    <row r="665" spans="1:35">
      <c r="A665" t="s">
        <v>2073</v>
      </c>
      <c r="B665">
        <f t="shared" si="130"/>
        <v>1</v>
      </c>
      <c r="C665" t="str">
        <f>IF(COUNTIF($A$2:A665, A665)&gt;1, "DUPLICATE_FLAGGED_FOR_REVIEW", "")</f>
        <v/>
      </c>
      <c r="D665" s="3">
        <v>45327</v>
      </c>
      <c r="E665" s="2">
        <v>45420</v>
      </c>
      <c r="F665" s="2" t="str">
        <f t="shared" si="131"/>
        <v>OK</v>
      </c>
      <c r="G665" s="4">
        <f t="shared" si="132"/>
        <v>93</v>
      </c>
      <c r="H665" t="s">
        <v>2074</v>
      </c>
      <c r="I665" t="s">
        <v>118</v>
      </c>
      <c r="J665" t="s">
        <v>95</v>
      </c>
      <c r="K665" t="s">
        <v>38</v>
      </c>
      <c r="L665" t="str">
        <f t="shared" si="133"/>
        <v>East</v>
      </c>
      <c r="M665" t="s">
        <v>228</v>
      </c>
      <c r="N665" t="s">
        <v>229</v>
      </c>
      <c r="O665" t="s">
        <v>74</v>
      </c>
      <c r="P665" t="s">
        <v>80</v>
      </c>
      <c r="Q665" t="s">
        <v>2075</v>
      </c>
      <c r="R665" t="s">
        <v>31</v>
      </c>
      <c r="S665" t="str">
        <f t="shared" si="134"/>
        <v>Second Class</v>
      </c>
      <c r="T665">
        <v>2</v>
      </c>
      <c r="U665">
        <v>3185.01</v>
      </c>
      <c r="V665">
        <v>-0.24</v>
      </c>
      <c r="W665">
        <f t="shared" si="135"/>
        <v>-0.24</v>
      </c>
      <c r="X665" t="str">
        <f t="shared" si="136"/>
        <v>INVALID_NEGATIVE_DISCOUNT</v>
      </c>
      <c r="Y665">
        <v>4777.5200000000004</v>
      </c>
      <c r="Z665">
        <f t="shared" si="137"/>
        <v>7898.8248000000003</v>
      </c>
      <c r="AA665">
        <v>3152.98</v>
      </c>
      <c r="AB665">
        <v>1624.54</v>
      </c>
      <c r="AC665">
        <f t="shared" si="138"/>
        <v>4713.8148000000001</v>
      </c>
      <c r="AD665" s="6">
        <f t="shared" si="139"/>
        <v>0.59677419354838712</v>
      </c>
      <c r="AE665" t="s">
        <v>32</v>
      </c>
      <c r="AF665" t="s">
        <v>33</v>
      </c>
      <c r="AG665">
        <f t="shared" si="140"/>
        <v>2</v>
      </c>
      <c r="AH665">
        <f t="shared" si="141"/>
        <v>2024</v>
      </c>
      <c r="AI665" t="str">
        <f t="shared" si="142"/>
        <v>INVALID</v>
      </c>
    </row>
    <row r="666" spans="1:35">
      <c r="A666" t="s">
        <v>2076</v>
      </c>
      <c r="B666">
        <f t="shared" si="130"/>
        <v>1</v>
      </c>
      <c r="C666" t="str">
        <f>IF(COUNTIF($A$2:A666, A666)&gt;1, "DUPLICATE_FLAGGED_FOR_REVIEW", "")</f>
        <v/>
      </c>
      <c r="D666" s="3">
        <v>45633</v>
      </c>
      <c r="E666" s="2">
        <v>45636</v>
      </c>
      <c r="F666" s="2" t="str">
        <f t="shared" si="131"/>
        <v>OK</v>
      </c>
      <c r="G666" s="4">
        <f t="shared" si="132"/>
        <v>3</v>
      </c>
      <c r="H666" t="s">
        <v>2077</v>
      </c>
      <c r="I666" t="s">
        <v>36</v>
      </c>
      <c r="J666" t="s">
        <v>95</v>
      </c>
      <c r="K666" t="s">
        <v>54</v>
      </c>
      <c r="L666" t="str">
        <f t="shared" si="133"/>
        <v>South</v>
      </c>
      <c r="M666" t="s">
        <v>55</v>
      </c>
      <c r="N666" t="s">
        <v>56</v>
      </c>
      <c r="O666" t="s">
        <v>74</v>
      </c>
      <c r="P666" t="s">
        <v>75</v>
      </c>
      <c r="Q666" t="s">
        <v>2078</v>
      </c>
      <c r="R666" t="s">
        <v>59</v>
      </c>
      <c r="S666" t="str">
        <f t="shared" si="134"/>
        <v>Standard Class</v>
      </c>
      <c r="T666">
        <v>1</v>
      </c>
      <c r="U666">
        <v>1908.83</v>
      </c>
      <c r="V666">
        <v>0.2</v>
      </c>
      <c r="W666">
        <f t="shared" si="135"/>
        <v>0.2</v>
      </c>
      <c r="X666" t="str">
        <f t="shared" si="136"/>
        <v/>
      </c>
      <c r="Y666">
        <v>1527.06</v>
      </c>
      <c r="Z666">
        <f t="shared" si="137"/>
        <v>1527.0640000000001</v>
      </c>
      <c r="AA666">
        <v>1055.8900000000001</v>
      </c>
      <c r="AB666">
        <v>471.17</v>
      </c>
      <c r="AC666">
        <f t="shared" si="138"/>
        <v>-381.76599999999985</v>
      </c>
      <c r="AD666" s="6">
        <f t="shared" si="139"/>
        <v>-0.24999999999999989</v>
      </c>
      <c r="AE666" t="s">
        <v>32</v>
      </c>
      <c r="AF666" t="s">
        <v>33</v>
      </c>
      <c r="AG666">
        <f t="shared" si="140"/>
        <v>12</v>
      </c>
      <c r="AH666">
        <f t="shared" si="141"/>
        <v>2024</v>
      </c>
      <c r="AI666" t="str">
        <f t="shared" si="142"/>
        <v>CLEAN</v>
      </c>
    </row>
    <row r="667" spans="1:35">
      <c r="A667" t="s">
        <v>2079</v>
      </c>
      <c r="B667">
        <f t="shared" si="130"/>
        <v>1</v>
      </c>
      <c r="C667" t="str">
        <f>IF(COUNTIF($A$2:A667, A667)&gt;1, "DUPLICATE_FLAGGED_FOR_REVIEW", "")</f>
        <v/>
      </c>
      <c r="D667" s="3">
        <v>45670</v>
      </c>
      <c r="E667" s="2">
        <v>45670</v>
      </c>
      <c r="F667" s="2" t="str">
        <f t="shared" si="131"/>
        <v>OK</v>
      </c>
      <c r="G667" s="4">
        <f t="shared" si="132"/>
        <v>0</v>
      </c>
      <c r="H667" t="s">
        <v>2080</v>
      </c>
      <c r="I667" t="s">
        <v>118</v>
      </c>
      <c r="J667" t="s">
        <v>95</v>
      </c>
      <c r="K667" t="s">
        <v>63</v>
      </c>
      <c r="L667" t="str">
        <f t="shared" si="133"/>
        <v>West</v>
      </c>
      <c r="M667" t="s">
        <v>180</v>
      </c>
      <c r="N667" t="s">
        <v>181</v>
      </c>
      <c r="O667" t="s">
        <v>28</v>
      </c>
      <c r="P667" t="s">
        <v>48</v>
      </c>
      <c r="Q667" t="s">
        <v>2081</v>
      </c>
      <c r="R667" t="s">
        <v>59</v>
      </c>
      <c r="S667" t="str">
        <f t="shared" si="134"/>
        <v>Standard Class</v>
      </c>
      <c r="T667">
        <v>3</v>
      </c>
      <c r="U667">
        <v>2110.52</v>
      </c>
      <c r="V667">
        <v>0.1</v>
      </c>
      <c r="W667">
        <f t="shared" si="135"/>
        <v>0.1</v>
      </c>
      <c r="X667" t="str">
        <f t="shared" si="136"/>
        <v/>
      </c>
      <c r="Y667">
        <v>5698.4</v>
      </c>
      <c r="Z667">
        <f t="shared" si="137"/>
        <v>5698.4039999999995</v>
      </c>
      <c r="AA667">
        <v>3640.89</v>
      </c>
      <c r="AB667">
        <v>2057.5100000000002</v>
      </c>
      <c r="AC667">
        <f t="shared" si="138"/>
        <v>3587.8839999999996</v>
      </c>
      <c r="AD667" s="6">
        <f t="shared" si="139"/>
        <v>0.62962962962962965</v>
      </c>
      <c r="AE667" t="s">
        <v>155</v>
      </c>
      <c r="AF667" t="s">
        <v>68</v>
      </c>
      <c r="AG667">
        <f t="shared" si="140"/>
        <v>1</v>
      </c>
      <c r="AH667">
        <f t="shared" si="141"/>
        <v>2025</v>
      </c>
      <c r="AI667" t="str">
        <f t="shared" si="142"/>
        <v>CLEAN</v>
      </c>
    </row>
    <row r="668" spans="1:35">
      <c r="A668" t="s">
        <v>2082</v>
      </c>
      <c r="B668">
        <f t="shared" si="130"/>
        <v>1</v>
      </c>
      <c r="C668" t="str">
        <f>IF(COUNTIF($A$2:A668, A668)&gt;1, "DUPLICATE_FLAGGED_FOR_REVIEW", "")</f>
        <v/>
      </c>
      <c r="D668" s="3">
        <v>45464</v>
      </c>
      <c r="E668" s="2">
        <v>45469</v>
      </c>
      <c r="F668" s="2" t="str">
        <f t="shared" si="131"/>
        <v>OK</v>
      </c>
      <c r="G668" s="4">
        <f t="shared" si="132"/>
        <v>5</v>
      </c>
      <c r="H668" t="s">
        <v>2083</v>
      </c>
      <c r="I668" t="s">
        <v>141</v>
      </c>
      <c r="J668" t="s">
        <v>37</v>
      </c>
      <c r="K668" t="s">
        <v>25</v>
      </c>
      <c r="L668" t="str">
        <f t="shared" si="133"/>
        <v>North</v>
      </c>
      <c r="M668" t="s">
        <v>122</v>
      </c>
      <c r="N668" t="s">
        <v>123</v>
      </c>
      <c r="O668" t="s">
        <v>74</v>
      </c>
      <c r="P668" t="s">
        <v>80</v>
      </c>
      <c r="Q668" t="s">
        <v>2084</v>
      </c>
      <c r="R668" t="s">
        <v>44</v>
      </c>
      <c r="S668" t="str">
        <f t="shared" si="134"/>
        <v>Same Day</v>
      </c>
      <c r="T668">
        <v>1</v>
      </c>
      <c r="U668">
        <v>279.83</v>
      </c>
      <c r="V668">
        <v>0.05</v>
      </c>
      <c r="W668">
        <f t="shared" si="135"/>
        <v>0.05</v>
      </c>
      <c r="X668" t="str">
        <f t="shared" si="136"/>
        <v/>
      </c>
      <c r="Y668">
        <v>265.83999999999997</v>
      </c>
      <c r="Z668">
        <f t="shared" si="137"/>
        <v>265.83849999999995</v>
      </c>
      <c r="AA668">
        <v>223.49</v>
      </c>
      <c r="AB668">
        <v>42.35</v>
      </c>
      <c r="AC668">
        <f t="shared" si="138"/>
        <v>-13.99150000000003</v>
      </c>
      <c r="AD668" s="6">
        <f t="shared" si="139"/>
        <v>-5.2631578947368543E-2</v>
      </c>
      <c r="AE668" t="s">
        <v>32</v>
      </c>
      <c r="AF668" t="s">
        <v>33</v>
      </c>
      <c r="AG668">
        <f t="shared" si="140"/>
        <v>6</v>
      </c>
      <c r="AH668">
        <f t="shared" si="141"/>
        <v>2024</v>
      </c>
      <c r="AI668" t="str">
        <f t="shared" si="142"/>
        <v>CLEAN</v>
      </c>
    </row>
    <row r="669" spans="1:35">
      <c r="A669" t="s">
        <v>2085</v>
      </c>
      <c r="B669">
        <f t="shared" si="130"/>
        <v>1</v>
      </c>
      <c r="C669" t="str">
        <f>IF(COUNTIF($A$2:A669, A669)&gt;1, "DUPLICATE_FLAGGED_FOR_REVIEW", "")</f>
        <v/>
      </c>
      <c r="D669" s="3">
        <v>45797</v>
      </c>
      <c r="E669" s="2">
        <v>45804</v>
      </c>
      <c r="F669" s="2" t="str">
        <f t="shared" si="131"/>
        <v>OK</v>
      </c>
      <c r="G669" s="4">
        <f t="shared" si="132"/>
        <v>7</v>
      </c>
      <c r="H669" t="s">
        <v>2086</v>
      </c>
      <c r="I669" t="s">
        <v>162</v>
      </c>
      <c r="J669" t="s">
        <v>37</v>
      </c>
      <c r="K669" t="s">
        <v>38</v>
      </c>
      <c r="L669" t="str">
        <f t="shared" si="133"/>
        <v>East</v>
      </c>
      <c r="M669" t="s">
        <v>145</v>
      </c>
      <c r="N669" t="s">
        <v>146</v>
      </c>
      <c r="O669" t="s">
        <v>74</v>
      </c>
      <c r="P669" t="s">
        <v>274</v>
      </c>
      <c r="Q669" t="s">
        <v>2087</v>
      </c>
      <c r="R669" t="s">
        <v>59</v>
      </c>
      <c r="S669" t="str">
        <f t="shared" si="134"/>
        <v>Standard Class</v>
      </c>
      <c r="T669">
        <v>1</v>
      </c>
      <c r="U669">
        <v>3959.14</v>
      </c>
      <c r="V669">
        <v>0</v>
      </c>
      <c r="W669">
        <f t="shared" si="135"/>
        <v>0</v>
      </c>
      <c r="X669" t="str">
        <f t="shared" si="136"/>
        <v/>
      </c>
      <c r="Y669">
        <v>3959.14</v>
      </c>
      <c r="Z669">
        <f t="shared" si="137"/>
        <v>3959.14</v>
      </c>
      <c r="AA669">
        <v>3239.53</v>
      </c>
      <c r="AB669">
        <v>719.61</v>
      </c>
      <c r="AC669">
        <f t="shared" si="138"/>
        <v>0</v>
      </c>
      <c r="AD669" s="6">
        <f t="shared" si="139"/>
        <v>0</v>
      </c>
      <c r="AE669" t="s">
        <v>111</v>
      </c>
      <c r="AF669" t="s">
        <v>103</v>
      </c>
      <c r="AG669">
        <f t="shared" si="140"/>
        <v>5</v>
      </c>
      <c r="AH669">
        <f t="shared" si="141"/>
        <v>2025</v>
      </c>
      <c r="AI669" t="str">
        <f t="shared" si="142"/>
        <v>CLEAN</v>
      </c>
    </row>
    <row r="670" spans="1:35">
      <c r="A670" t="s">
        <v>2088</v>
      </c>
      <c r="B670">
        <f t="shared" si="130"/>
        <v>1</v>
      </c>
      <c r="C670" t="str">
        <f>IF(COUNTIF($A$2:A670, A670)&gt;1, "DUPLICATE_FLAGGED_FOR_REVIEW", "")</f>
        <v/>
      </c>
      <c r="D670" s="3">
        <v>45617</v>
      </c>
      <c r="E670" s="2">
        <v>45619</v>
      </c>
      <c r="F670" s="2" t="str">
        <f t="shared" si="131"/>
        <v>OK</v>
      </c>
      <c r="G670" s="4">
        <f t="shared" si="132"/>
        <v>2</v>
      </c>
      <c r="H670" t="s">
        <v>2089</v>
      </c>
      <c r="I670" t="s">
        <v>36</v>
      </c>
      <c r="J670" t="s">
        <v>90</v>
      </c>
      <c r="K670" t="s">
        <v>63</v>
      </c>
      <c r="L670" t="str">
        <f t="shared" si="133"/>
        <v>West</v>
      </c>
      <c r="M670" t="s">
        <v>180</v>
      </c>
      <c r="N670" t="s">
        <v>181</v>
      </c>
      <c r="O670" t="s">
        <v>28</v>
      </c>
      <c r="P670" t="s">
        <v>29</v>
      </c>
      <c r="Q670" t="s">
        <v>2090</v>
      </c>
      <c r="R670" t="s">
        <v>31</v>
      </c>
      <c r="S670" t="str">
        <f t="shared" si="134"/>
        <v>Second Class</v>
      </c>
      <c r="T670">
        <v>5</v>
      </c>
      <c r="U670">
        <v>600.46</v>
      </c>
      <c r="V670">
        <v>0.2</v>
      </c>
      <c r="W670">
        <f t="shared" si="135"/>
        <v>0.2</v>
      </c>
      <c r="X670" t="str">
        <f t="shared" si="136"/>
        <v/>
      </c>
      <c r="Y670">
        <v>2401.84</v>
      </c>
      <c r="Z670">
        <f t="shared" si="137"/>
        <v>2401.84</v>
      </c>
      <c r="AA670">
        <v>1873.11</v>
      </c>
      <c r="AB670">
        <v>528.73</v>
      </c>
      <c r="AC670">
        <f t="shared" si="138"/>
        <v>1801.38</v>
      </c>
      <c r="AD670" s="6">
        <f t="shared" si="139"/>
        <v>0.75</v>
      </c>
      <c r="AE670" t="s">
        <v>32</v>
      </c>
      <c r="AF670" t="s">
        <v>33</v>
      </c>
      <c r="AG670">
        <f t="shared" si="140"/>
        <v>11</v>
      </c>
      <c r="AH670">
        <f t="shared" si="141"/>
        <v>2024</v>
      </c>
      <c r="AI670" t="str">
        <f t="shared" si="142"/>
        <v>CLEAN</v>
      </c>
    </row>
    <row r="671" spans="1:35">
      <c r="A671" t="s">
        <v>2091</v>
      </c>
      <c r="B671">
        <f t="shared" si="130"/>
        <v>1</v>
      </c>
      <c r="C671" t="str">
        <f>IF(COUNTIF($A$2:A671, A671)&gt;1, "DUPLICATE_FLAGGED_FOR_REVIEW", "")</f>
        <v/>
      </c>
      <c r="D671" s="3">
        <v>45375</v>
      </c>
      <c r="E671" s="2">
        <v>45383</v>
      </c>
      <c r="F671" s="2" t="str">
        <f t="shared" si="131"/>
        <v>OK</v>
      </c>
      <c r="G671" s="4">
        <f t="shared" si="132"/>
        <v>8</v>
      </c>
      <c r="H671" t="s">
        <v>2092</v>
      </c>
      <c r="I671" t="s">
        <v>62</v>
      </c>
      <c r="J671" t="s">
        <v>95</v>
      </c>
      <c r="K671" t="s">
        <v>63</v>
      </c>
      <c r="L671" t="str">
        <f t="shared" si="133"/>
        <v>West</v>
      </c>
      <c r="M671" t="s">
        <v>64</v>
      </c>
      <c r="N671" t="s">
        <v>65</v>
      </c>
      <c r="O671" t="s">
        <v>41</v>
      </c>
      <c r="P671" t="s">
        <v>42</v>
      </c>
      <c r="Q671" t="s">
        <v>2093</v>
      </c>
      <c r="R671" t="s">
        <v>31</v>
      </c>
      <c r="S671" t="str">
        <f t="shared" si="134"/>
        <v>Second Class</v>
      </c>
      <c r="T671">
        <v>4</v>
      </c>
      <c r="U671">
        <v>1700.72</v>
      </c>
      <c r="V671">
        <v>0.25</v>
      </c>
      <c r="W671">
        <f t="shared" si="135"/>
        <v>0.25</v>
      </c>
      <c r="X671" t="str">
        <f t="shared" si="136"/>
        <v/>
      </c>
      <c r="Y671">
        <v>5102.16</v>
      </c>
      <c r="Z671">
        <f t="shared" si="137"/>
        <v>5102.16</v>
      </c>
      <c r="AA671">
        <v>3226.45</v>
      </c>
      <c r="AB671">
        <v>1875.71</v>
      </c>
      <c r="AC671">
        <f t="shared" si="138"/>
        <v>3401.4399999999996</v>
      </c>
      <c r="AD671" s="6">
        <f t="shared" si="139"/>
        <v>0.66666666666666663</v>
      </c>
      <c r="AE671" t="s">
        <v>32</v>
      </c>
      <c r="AF671" t="s">
        <v>33</v>
      </c>
      <c r="AG671">
        <f t="shared" si="140"/>
        <v>3</v>
      </c>
      <c r="AH671">
        <f t="shared" si="141"/>
        <v>2024</v>
      </c>
      <c r="AI671" t="str">
        <f t="shared" si="142"/>
        <v>CLEAN</v>
      </c>
    </row>
    <row r="672" spans="1:35">
      <c r="A672" t="s">
        <v>2094</v>
      </c>
      <c r="B672">
        <f t="shared" si="130"/>
        <v>1</v>
      </c>
      <c r="C672" t="str">
        <f>IF(COUNTIF($A$2:A672, A672)&gt;1, "DUPLICATE_FLAGGED_FOR_REVIEW", "")</f>
        <v/>
      </c>
      <c r="D672" s="3">
        <v>45690</v>
      </c>
      <c r="E672" s="2">
        <v>45694</v>
      </c>
      <c r="F672" s="2" t="str">
        <f t="shared" si="131"/>
        <v>OK</v>
      </c>
      <c r="G672" s="4">
        <f t="shared" si="132"/>
        <v>4</v>
      </c>
      <c r="H672" t="s">
        <v>1596</v>
      </c>
      <c r="I672" t="s">
        <v>132</v>
      </c>
      <c r="J672" t="s">
        <v>90</v>
      </c>
      <c r="K672" t="s">
        <v>25</v>
      </c>
      <c r="L672" t="str">
        <f t="shared" si="133"/>
        <v>North</v>
      </c>
      <c r="M672" t="s">
        <v>136</v>
      </c>
      <c r="N672" t="s">
        <v>137</v>
      </c>
      <c r="O672" t="s">
        <v>41</v>
      </c>
      <c r="P672" t="s">
        <v>42</v>
      </c>
      <c r="Q672" t="s">
        <v>2095</v>
      </c>
      <c r="R672" t="s">
        <v>59</v>
      </c>
      <c r="S672" t="str">
        <f t="shared" si="134"/>
        <v>Standard Class</v>
      </c>
      <c r="T672">
        <v>8</v>
      </c>
      <c r="U672">
        <v>857.86</v>
      </c>
      <c r="V672">
        <v>0.1</v>
      </c>
      <c r="W672">
        <f t="shared" si="135"/>
        <v>0.1</v>
      </c>
      <c r="X672" t="str">
        <f t="shared" si="136"/>
        <v/>
      </c>
      <c r="Y672">
        <v>6176.59</v>
      </c>
      <c r="Z672">
        <f t="shared" si="137"/>
        <v>6176.5920000000006</v>
      </c>
      <c r="AA672">
        <v>3560.96</v>
      </c>
      <c r="AB672">
        <v>2615.63</v>
      </c>
      <c r="AC672">
        <f t="shared" si="138"/>
        <v>5318.7320000000009</v>
      </c>
      <c r="AD672" s="6">
        <f t="shared" si="139"/>
        <v>0.86111111111111116</v>
      </c>
      <c r="AE672" t="s">
        <v>32</v>
      </c>
      <c r="AF672" t="s">
        <v>33</v>
      </c>
      <c r="AG672">
        <f t="shared" si="140"/>
        <v>2</v>
      </c>
      <c r="AH672">
        <f t="shared" si="141"/>
        <v>2025</v>
      </c>
      <c r="AI672" t="str">
        <f t="shared" si="142"/>
        <v>CLEAN</v>
      </c>
    </row>
    <row r="673" spans="1:35">
      <c r="A673" t="s">
        <v>2096</v>
      </c>
      <c r="B673">
        <f t="shared" si="130"/>
        <v>1</v>
      </c>
      <c r="C673" t="str">
        <f>IF(COUNTIF($A$2:A673, A673)&gt;1, "DUPLICATE_FLAGGED_FOR_REVIEW", "")</f>
        <v/>
      </c>
      <c r="D673" s="3">
        <v>45373</v>
      </c>
      <c r="E673" s="2">
        <v>45378</v>
      </c>
      <c r="F673" s="2" t="str">
        <f t="shared" si="131"/>
        <v>OK</v>
      </c>
      <c r="G673" s="4">
        <f t="shared" si="132"/>
        <v>5</v>
      </c>
      <c r="H673" t="s">
        <v>2097</v>
      </c>
      <c r="I673" t="s">
        <v>89</v>
      </c>
      <c r="J673" t="s">
        <v>95</v>
      </c>
      <c r="K673" t="s">
        <v>63</v>
      </c>
      <c r="L673" t="str">
        <f t="shared" si="133"/>
        <v>West</v>
      </c>
      <c r="M673" t="s">
        <v>190</v>
      </c>
      <c r="N673" t="s">
        <v>191</v>
      </c>
      <c r="O673" t="s">
        <v>74</v>
      </c>
      <c r="P673" t="s">
        <v>80</v>
      </c>
      <c r="Q673" t="s">
        <v>2098</v>
      </c>
      <c r="R673" t="s">
        <v>31</v>
      </c>
      <c r="S673" t="str">
        <f t="shared" si="134"/>
        <v>Second Class</v>
      </c>
      <c r="T673">
        <v>9</v>
      </c>
      <c r="U673">
        <v>3649.51</v>
      </c>
      <c r="V673">
        <v>0.05</v>
      </c>
      <c r="W673">
        <f t="shared" si="135"/>
        <v>0.05</v>
      </c>
      <c r="X673" t="str">
        <f t="shared" si="136"/>
        <v/>
      </c>
      <c r="Y673">
        <v>31203.31</v>
      </c>
      <c r="Z673">
        <f t="shared" si="137"/>
        <v>31203.310500000003</v>
      </c>
      <c r="AA673">
        <v>17738.13</v>
      </c>
      <c r="AB673">
        <v>13465.18</v>
      </c>
      <c r="AC673">
        <f t="shared" si="138"/>
        <v>27553.800500000005</v>
      </c>
      <c r="AD673" s="6">
        <f t="shared" si="139"/>
        <v>0.88304093567251474</v>
      </c>
      <c r="AE673" t="s">
        <v>32</v>
      </c>
      <c r="AF673" t="s">
        <v>33</v>
      </c>
      <c r="AG673">
        <f t="shared" si="140"/>
        <v>3</v>
      </c>
      <c r="AH673">
        <f t="shared" si="141"/>
        <v>2024</v>
      </c>
      <c r="AI673" t="str">
        <f t="shared" si="142"/>
        <v>CLEAN</v>
      </c>
    </row>
    <row r="674" spans="1:35">
      <c r="A674" t="s">
        <v>2099</v>
      </c>
      <c r="B674">
        <f t="shared" si="130"/>
        <v>1</v>
      </c>
      <c r="C674" t="str">
        <f>IF(COUNTIF($A$2:A674, A674)&gt;1, "DUPLICATE_FLAGGED_FOR_REVIEW", "")</f>
        <v/>
      </c>
      <c r="D674" s="3">
        <v>45539</v>
      </c>
      <c r="E674" s="2">
        <v>45540</v>
      </c>
      <c r="F674" s="2" t="str">
        <f t="shared" si="131"/>
        <v>OK</v>
      </c>
      <c r="G674" s="4">
        <f t="shared" si="132"/>
        <v>1</v>
      </c>
      <c r="H674" t="s">
        <v>2100</v>
      </c>
      <c r="I674" t="s">
        <v>89</v>
      </c>
      <c r="J674" t="s">
        <v>90</v>
      </c>
      <c r="K674" t="s">
        <v>63</v>
      </c>
      <c r="L674" t="str">
        <f t="shared" si="133"/>
        <v>West</v>
      </c>
      <c r="M674" t="s">
        <v>72</v>
      </c>
      <c r="N674" t="s">
        <v>73</v>
      </c>
      <c r="O674" t="s">
        <v>41</v>
      </c>
      <c r="P674" t="s">
        <v>66</v>
      </c>
      <c r="Q674" t="s">
        <v>2101</v>
      </c>
      <c r="R674" t="s">
        <v>59</v>
      </c>
      <c r="S674" t="str">
        <f t="shared" si="134"/>
        <v>Standard Class</v>
      </c>
      <c r="T674">
        <v>5</v>
      </c>
      <c r="U674">
        <v>2528.5300000000002</v>
      </c>
      <c r="V674">
        <v>0.05</v>
      </c>
      <c r="W674">
        <f t="shared" si="135"/>
        <v>0.05</v>
      </c>
      <c r="X674" t="str">
        <f t="shared" si="136"/>
        <v/>
      </c>
      <c r="Y674">
        <v>12010.52</v>
      </c>
      <c r="Z674">
        <f t="shared" si="137"/>
        <v>12010.5175</v>
      </c>
      <c r="AA674">
        <v>7864.61</v>
      </c>
      <c r="AB674">
        <v>4145.91</v>
      </c>
      <c r="AC674">
        <f t="shared" si="138"/>
        <v>9481.9874999999993</v>
      </c>
      <c r="AD674" s="6">
        <f t="shared" si="139"/>
        <v>0.78947368421052622</v>
      </c>
      <c r="AE674" t="s">
        <v>32</v>
      </c>
      <c r="AF674" t="s">
        <v>103</v>
      </c>
      <c r="AG674">
        <f t="shared" si="140"/>
        <v>9</v>
      </c>
      <c r="AH674">
        <f t="shared" si="141"/>
        <v>2024</v>
      </c>
      <c r="AI674" t="str">
        <f t="shared" si="142"/>
        <v>CLEAN</v>
      </c>
    </row>
    <row r="675" spans="1:35">
      <c r="A675" t="s">
        <v>2102</v>
      </c>
      <c r="B675">
        <f t="shared" si="130"/>
        <v>1</v>
      </c>
      <c r="C675" t="str">
        <f>IF(COUNTIF($A$2:A675, A675)&gt;1, "DUPLICATE_FLAGGED_FOR_REVIEW", "")</f>
        <v/>
      </c>
      <c r="D675" s="3">
        <v>45701</v>
      </c>
      <c r="E675" s="2">
        <v>45704</v>
      </c>
      <c r="F675" s="2" t="str">
        <f t="shared" si="131"/>
        <v>OK</v>
      </c>
      <c r="G675" s="4">
        <f t="shared" si="132"/>
        <v>3</v>
      </c>
      <c r="H675" t="s">
        <v>2103</v>
      </c>
      <c r="I675" t="s">
        <v>53</v>
      </c>
      <c r="J675" t="s">
        <v>37</v>
      </c>
      <c r="K675" t="s">
        <v>63</v>
      </c>
      <c r="L675" t="str">
        <f t="shared" si="133"/>
        <v>West</v>
      </c>
      <c r="M675" t="s">
        <v>26</v>
      </c>
      <c r="N675" t="s">
        <v>109</v>
      </c>
      <c r="O675" t="s">
        <v>41</v>
      </c>
      <c r="P675" t="s">
        <v>158</v>
      </c>
      <c r="Q675" t="s">
        <v>2104</v>
      </c>
      <c r="R675" t="s">
        <v>31</v>
      </c>
      <c r="S675" t="str">
        <f t="shared" si="134"/>
        <v>Second Class</v>
      </c>
      <c r="T675">
        <v>4</v>
      </c>
      <c r="U675">
        <v>4072.9</v>
      </c>
      <c r="V675">
        <v>0.15</v>
      </c>
      <c r="W675">
        <f t="shared" si="135"/>
        <v>0.15</v>
      </c>
      <c r="X675" t="str">
        <f t="shared" si="136"/>
        <v/>
      </c>
      <c r="Y675">
        <v>13847.86</v>
      </c>
      <c r="Z675">
        <f t="shared" si="137"/>
        <v>13847.86</v>
      </c>
      <c r="AA675">
        <v>8471.7800000000007</v>
      </c>
      <c r="AB675">
        <v>5376.08</v>
      </c>
      <c r="AC675">
        <f t="shared" si="138"/>
        <v>9774.9600000000009</v>
      </c>
      <c r="AD675" s="6">
        <f t="shared" si="139"/>
        <v>0.70588235294117652</v>
      </c>
      <c r="AE675" t="s">
        <v>32</v>
      </c>
      <c r="AF675" t="s">
        <v>33</v>
      </c>
      <c r="AG675">
        <f t="shared" si="140"/>
        <v>2</v>
      </c>
      <c r="AH675">
        <f t="shared" si="141"/>
        <v>2025</v>
      </c>
      <c r="AI675" t="str">
        <f t="shared" si="142"/>
        <v>CLEAN</v>
      </c>
    </row>
    <row r="676" spans="1:35">
      <c r="A676" t="s">
        <v>2105</v>
      </c>
      <c r="B676">
        <f t="shared" si="130"/>
        <v>1</v>
      </c>
      <c r="C676" t="str">
        <f>IF(COUNTIF($A$2:A676, A676)&gt;1, "DUPLICATE_FLAGGED_FOR_REVIEW", "")</f>
        <v/>
      </c>
      <c r="D676" s="3">
        <v>45430</v>
      </c>
      <c r="E676" s="2">
        <v>45433</v>
      </c>
      <c r="F676" s="2" t="str">
        <f t="shared" si="131"/>
        <v>OK</v>
      </c>
      <c r="G676" s="4">
        <f t="shared" si="132"/>
        <v>3</v>
      </c>
      <c r="H676" t="s">
        <v>2106</v>
      </c>
      <c r="I676" t="s">
        <v>71</v>
      </c>
      <c r="J676" t="s">
        <v>90</v>
      </c>
      <c r="K676" t="s">
        <v>38</v>
      </c>
      <c r="L676" t="str">
        <f t="shared" si="133"/>
        <v>East</v>
      </c>
      <c r="M676" t="s">
        <v>228</v>
      </c>
      <c r="N676" t="s">
        <v>229</v>
      </c>
      <c r="O676" t="s">
        <v>74</v>
      </c>
      <c r="P676" t="s">
        <v>75</v>
      </c>
      <c r="Q676" t="s">
        <v>2107</v>
      </c>
      <c r="R676" t="s">
        <v>31</v>
      </c>
      <c r="S676" t="str">
        <f t="shared" si="134"/>
        <v>Second Class</v>
      </c>
      <c r="T676">
        <v>1</v>
      </c>
      <c r="U676">
        <v>1033.71</v>
      </c>
      <c r="V676">
        <v>0</v>
      </c>
      <c r="W676">
        <f t="shared" si="135"/>
        <v>0</v>
      </c>
      <c r="X676" t="str">
        <f t="shared" si="136"/>
        <v/>
      </c>
      <c r="Y676">
        <v>1033.71</v>
      </c>
      <c r="Z676">
        <f t="shared" si="137"/>
        <v>1033.71</v>
      </c>
      <c r="AA676">
        <v>630.82000000000005</v>
      </c>
      <c r="AB676">
        <v>402.89</v>
      </c>
      <c r="AC676">
        <f t="shared" si="138"/>
        <v>0</v>
      </c>
      <c r="AD676" s="6">
        <f t="shared" si="139"/>
        <v>0</v>
      </c>
      <c r="AE676" t="s">
        <v>111</v>
      </c>
      <c r="AF676" t="s">
        <v>103</v>
      </c>
      <c r="AG676">
        <f t="shared" si="140"/>
        <v>5</v>
      </c>
      <c r="AH676">
        <f t="shared" si="141"/>
        <v>2024</v>
      </c>
      <c r="AI676" t="str">
        <f t="shared" si="142"/>
        <v>CLEAN</v>
      </c>
    </row>
    <row r="677" spans="1:35">
      <c r="A677" t="s">
        <v>2108</v>
      </c>
      <c r="B677">
        <f t="shared" si="130"/>
        <v>1</v>
      </c>
      <c r="C677" t="str">
        <f>IF(COUNTIF($A$2:A677, A677)&gt;1, "DUPLICATE_FLAGGED_FOR_REVIEW", "")</f>
        <v/>
      </c>
      <c r="D677" s="3">
        <v>45815</v>
      </c>
      <c r="E677" s="2">
        <v>45936</v>
      </c>
      <c r="F677" s="2" t="str">
        <f t="shared" si="131"/>
        <v>OK</v>
      </c>
      <c r="G677" s="4">
        <f t="shared" si="132"/>
        <v>121</v>
      </c>
      <c r="H677" t="s">
        <v>2009</v>
      </c>
      <c r="I677" t="s">
        <v>128</v>
      </c>
      <c r="J677" t="s">
        <v>24</v>
      </c>
      <c r="K677" t="s">
        <v>25</v>
      </c>
      <c r="L677" t="str">
        <f t="shared" si="133"/>
        <v>North</v>
      </c>
      <c r="M677" t="s">
        <v>26</v>
      </c>
      <c r="N677" t="s">
        <v>27</v>
      </c>
      <c r="O677" t="s">
        <v>41</v>
      </c>
      <c r="P677" t="s">
        <v>57</v>
      </c>
      <c r="Q677" t="s">
        <v>2109</v>
      </c>
      <c r="R677" t="s">
        <v>44</v>
      </c>
      <c r="S677" t="str">
        <f t="shared" si="134"/>
        <v>Same Day</v>
      </c>
      <c r="T677">
        <v>3</v>
      </c>
      <c r="U677">
        <v>963.26</v>
      </c>
      <c r="V677">
        <v>0</v>
      </c>
      <c r="W677">
        <f t="shared" si="135"/>
        <v>0</v>
      </c>
      <c r="X677" t="str">
        <f t="shared" si="136"/>
        <v/>
      </c>
      <c r="Y677">
        <v>2889.78</v>
      </c>
      <c r="Z677">
        <f t="shared" si="137"/>
        <v>2889.7799999999997</v>
      </c>
      <c r="AA677">
        <v>1811.23</v>
      </c>
      <c r="AB677">
        <v>1078.55</v>
      </c>
      <c r="AC677">
        <f t="shared" si="138"/>
        <v>1926.5199999999998</v>
      </c>
      <c r="AD677" s="6">
        <f t="shared" si="139"/>
        <v>0.66666666666666663</v>
      </c>
      <c r="AE677" t="s">
        <v>32</v>
      </c>
      <c r="AF677" t="s">
        <v>33</v>
      </c>
      <c r="AG677">
        <f t="shared" si="140"/>
        <v>6</v>
      </c>
      <c r="AH677">
        <f t="shared" si="141"/>
        <v>2025</v>
      </c>
      <c r="AI677" t="str">
        <f t="shared" si="142"/>
        <v>CLEAN</v>
      </c>
    </row>
    <row r="678" spans="1:35">
      <c r="A678" t="s">
        <v>2110</v>
      </c>
      <c r="B678">
        <f t="shared" si="130"/>
        <v>1</v>
      </c>
      <c r="C678" t="str">
        <f>IF(COUNTIF($A$2:A678, A678)&gt;1, "DUPLICATE_FLAGGED_FOR_REVIEW", "")</f>
        <v/>
      </c>
      <c r="D678" s="3">
        <v>45970</v>
      </c>
      <c r="E678" s="2">
        <v>45918</v>
      </c>
      <c r="F678" s="2" t="str">
        <f t="shared" si="131"/>
        <v>ERROR: Ship before order</v>
      </c>
      <c r="G678" s="4">
        <f t="shared" si="132"/>
        <v>-52</v>
      </c>
      <c r="H678" t="s">
        <v>2111</v>
      </c>
      <c r="I678" t="s">
        <v>118</v>
      </c>
      <c r="J678" t="s">
        <v>37</v>
      </c>
      <c r="K678" t="s">
        <v>25</v>
      </c>
      <c r="L678" t="str">
        <f t="shared" si="133"/>
        <v>North</v>
      </c>
      <c r="M678" t="s">
        <v>350</v>
      </c>
      <c r="N678" t="s">
        <v>351</v>
      </c>
      <c r="O678" t="s">
        <v>74</v>
      </c>
      <c r="P678" t="s">
        <v>171</v>
      </c>
      <c r="Q678" t="s">
        <v>2112</v>
      </c>
      <c r="R678" t="s">
        <v>44</v>
      </c>
      <c r="S678" t="str">
        <f t="shared" si="134"/>
        <v>Same Day</v>
      </c>
      <c r="T678">
        <v>7</v>
      </c>
      <c r="U678">
        <v>3411.21</v>
      </c>
      <c r="V678">
        <v>0.15</v>
      </c>
      <c r="W678">
        <f t="shared" si="135"/>
        <v>0.15</v>
      </c>
      <c r="X678" t="str">
        <f t="shared" si="136"/>
        <v/>
      </c>
      <c r="Y678">
        <v>20296.7</v>
      </c>
      <c r="Z678">
        <f t="shared" si="137"/>
        <v>20296.699499999999</v>
      </c>
      <c r="AA678">
        <v>14920.87</v>
      </c>
      <c r="AB678">
        <v>5375.83</v>
      </c>
      <c r="AC678">
        <f t="shared" si="138"/>
        <v>16885.4895</v>
      </c>
      <c r="AD678" s="6">
        <f t="shared" si="139"/>
        <v>0.83193277310924374</v>
      </c>
      <c r="AE678" t="s">
        <v>32</v>
      </c>
      <c r="AF678" t="s">
        <v>33</v>
      </c>
      <c r="AG678">
        <f t="shared" si="140"/>
        <v>11</v>
      </c>
      <c r="AH678">
        <f t="shared" si="141"/>
        <v>2025</v>
      </c>
      <c r="AI678" t="str">
        <f t="shared" si="142"/>
        <v>INVALID</v>
      </c>
    </row>
    <row r="679" spans="1:35">
      <c r="A679" t="s">
        <v>2113</v>
      </c>
      <c r="B679">
        <f t="shared" si="130"/>
        <v>1</v>
      </c>
      <c r="C679" t="str">
        <f>IF(COUNTIF($A$2:A679, A679)&gt;1, "DUPLICATE_FLAGGED_FOR_REVIEW", "")</f>
        <v/>
      </c>
      <c r="D679" s="3">
        <v>45465</v>
      </c>
      <c r="E679" s="2">
        <v>45470</v>
      </c>
      <c r="F679" s="2" t="str">
        <f t="shared" si="131"/>
        <v>OK</v>
      </c>
      <c r="G679" s="4">
        <f t="shared" si="132"/>
        <v>5</v>
      </c>
      <c r="H679" t="s">
        <v>22</v>
      </c>
      <c r="I679" t="s">
        <v>47</v>
      </c>
      <c r="J679" t="s">
        <v>95</v>
      </c>
      <c r="K679" t="s">
        <v>54</v>
      </c>
      <c r="L679" t="str">
        <f t="shared" si="133"/>
        <v>South</v>
      </c>
      <c r="M679" t="s">
        <v>175</v>
      </c>
      <c r="N679" t="s">
        <v>176</v>
      </c>
      <c r="O679" t="s">
        <v>41</v>
      </c>
      <c r="P679" t="s">
        <v>66</v>
      </c>
      <c r="Q679" t="s">
        <v>2114</v>
      </c>
      <c r="R679" t="s">
        <v>44</v>
      </c>
      <c r="S679" t="str">
        <f t="shared" si="134"/>
        <v>Same Day</v>
      </c>
      <c r="T679">
        <v>7</v>
      </c>
      <c r="U679">
        <v>2623.48</v>
      </c>
      <c r="V679">
        <v>0</v>
      </c>
      <c r="W679">
        <f t="shared" si="135"/>
        <v>0</v>
      </c>
      <c r="X679" t="str">
        <f t="shared" si="136"/>
        <v/>
      </c>
      <c r="Y679">
        <v>18364.36</v>
      </c>
      <c r="Z679">
        <f t="shared" si="137"/>
        <v>18364.36</v>
      </c>
      <c r="AA679">
        <v>15445.81</v>
      </c>
      <c r="AB679">
        <v>2918.55</v>
      </c>
      <c r="AC679">
        <f t="shared" si="138"/>
        <v>15740.880000000001</v>
      </c>
      <c r="AD679" s="6">
        <f t="shared" si="139"/>
        <v>0.85714285714285721</v>
      </c>
      <c r="AE679" t="s">
        <v>32</v>
      </c>
      <c r="AF679" t="s">
        <v>33</v>
      </c>
      <c r="AG679">
        <f t="shared" si="140"/>
        <v>6</v>
      </c>
      <c r="AH679">
        <f t="shared" si="141"/>
        <v>2024</v>
      </c>
      <c r="AI679" t="str">
        <f t="shared" si="142"/>
        <v>CLEAN</v>
      </c>
    </row>
    <row r="680" spans="1:35">
      <c r="A680" t="s">
        <v>2115</v>
      </c>
      <c r="B680">
        <f t="shared" si="130"/>
        <v>1</v>
      </c>
      <c r="C680" t="str">
        <f>IF(COUNTIF($A$2:A680, A680)&gt;1, "DUPLICATE_FLAGGED_FOR_REVIEW", "")</f>
        <v/>
      </c>
      <c r="D680" s="3">
        <v>45620</v>
      </c>
      <c r="E680" s="2">
        <v>45303</v>
      </c>
      <c r="F680" s="2" t="str">
        <f t="shared" si="131"/>
        <v>ERROR: Ship before order</v>
      </c>
      <c r="G680" s="4">
        <f t="shared" si="132"/>
        <v>-317</v>
      </c>
      <c r="H680" t="s">
        <v>2116</v>
      </c>
      <c r="I680" t="s">
        <v>264</v>
      </c>
      <c r="J680" t="s">
        <v>90</v>
      </c>
      <c r="K680" t="s">
        <v>54</v>
      </c>
      <c r="L680" t="str">
        <f t="shared" si="133"/>
        <v>South</v>
      </c>
      <c r="M680" t="s">
        <v>175</v>
      </c>
      <c r="N680" t="s">
        <v>176</v>
      </c>
      <c r="O680" t="s">
        <v>41</v>
      </c>
      <c r="P680" t="s">
        <v>42</v>
      </c>
      <c r="Q680" t="s">
        <v>2117</v>
      </c>
      <c r="R680" t="s">
        <v>31</v>
      </c>
      <c r="S680" t="str">
        <f t="shared" si="134"/>
        <v>Second Class</v>
      </c>
      <c r="T680">
        <v>9</v>
      </c>
      <c r="U680">
        <v>2763.61</v>
      </c>
      <c r="V680">
        <v>0.15</v>
      </c>
      <c r="W680">
        <f t="shared" si="135"/>
        <v>0.15</v>
      </c>
      <c r="X680" t="str">
        <f t="shared" si="136"/>
        <v/>
      </c>
      <c r="Y680">
        <v>21141.62</v>
      </c>
      <c r="Z680">
        <f t="shared" si="137"/>
        <v>21141.6165</v>
      </c>
      <c r="AA680">
        <v>11676.33</v>
      </c>
      <c r="AB680">
        <v>9465.2900000000009</v>
      </c>
      <c r="AC680">
        <f t="shared" si="138"/>
        <v>18378.0065</v>
      </c>
      <c r="AD680" s="6">
        <f t="shared" si="139"/>
        <v>0.86928104575163401</v>
      </c>
      <c r="AE680" t="s">
        <v>32</v>
      </c>
      <c r="AF680" t="s">
        <v>33</v>
      </c>
      <c r="AG680">
        <f t="shared" si="140"/>
        <v>11</v>
      </c>
      <c r="AH680">
        <f t="shared" si="141"/>
        <v>2024</v>
      </c>
      <c r="AI680" t="str">
        <f t="shared" si="142"/>
        <v>INVALID</v>
      </c>
    </row>
    <row r="681" spans="1:35">
      <c r="A681" t="s">
        <v>2118</v>
      </c>
      <c r="B681">
        <f t="shared" si="130"/>
        <v>1</v>
      </c>
      <c r="C681" t="str">
        <f>IF(COUNTIF($A$2:A681, A681)&gt;1, "DUPLICATE_FLAGGED_FOR_REVIEW", "")</f>
        <v/>
      </c>
      <c r="D681" s="3">
        <v>45885</v>
      </c>
      <c r="E681" s="2">
        <v>45892</v>
      </c>
      <c r="F681" s="2" t="str">
        <f t="shared" si="131"/>
        <v>OK</v>
      </c>
      <c r="G681" s="4">
        <f t="shared" si="132"/>
        <v>7</v>
      </c>
      <c r="H681" t="s">
        <v>2119</v>
      </c>
      <c r="I681" t="s">
        <v>141</v>
      </c>
      <c r="J681" t="s">
        <v>90</v>
      </c>
      <c r="K681" t="s">
        <v>25</v>
      </c>
      <c r="L681" t="str">
        <f t="shared" si="133"/>
        <v>North</v>
      </c>
      <c r="M681" t="s">
        <v>122</v>
      </c>
      <c r="N681" t="s">
        <v>123</v>
      </c>
      <c r="O681" t="s">
        <v>74</v>
      </c>
      <c r="P681" t="s">
        <v>80</v>
      </c>
      <c r="Q681" t="s">
        <v>2120</v>
      </c>
      <c r="R681" t="s">
        <v>44</v>
      </c>
      <c r="S681" t="str">
        <f t="shared" si="134"/>
        <v>Same Day</v>
      </c>
      <c r="T681">
        <v>4</v>
      </c>
      <c r="U681">
        <v>1410.57</v>
      </c>
      <c r="V681">
        <v>0.7</v>
      </c>
      <c r="W681">
        <f t="shared" si="135"/>
        <v>0.7</v>
      </c>
      <c r="X681" t="str">
        <f t="shared" si="136"/>
        <v>INVALID_DISCOUNT_ABOVE_50PCT</v>
      </c>
      <c r="Y681">
        <v>5360.17</v>
      </c>
      <c r="Z681">
        <f t="shared" si="137"/>
        <v>1692.6840000000002</v>
      </c>
      <c r="AA681">
        <v>3881.51</v>
      </c>
      <c r="AB681">
        <v>1478.66</v>
      </c>
      <c r="AC681">
        <f t="shared" si="138"/>
        <v>282.11400000000026</v>
      </c>
      <c r="AD681" s="6">
        <f t="shared" si="139"/>
        <v>0.1666666666666668</v>
      </c>
      <c r="AE681" t="s">
        <v>102</v>
      </c>
      <c r="AF681" t="s">
        <v>68</v>
      </c>
      <c r="AG681">
        <f t="shared" si="140"/>
        <v>8</v>
      </c>
      <c r="AH681">
        <f t="shared" si="141"/>
        <v>2025</v>
      </c>
      <c r="AI681" t="str">
        <f t="shared" si="142"/>
        <v>INVALID</v>
      </c>
    </row>
    <row r="682" spans="1:35">
      <c r="A682" t="s">
        <v>2121</v>
      </c>
      <c r="B682">
        <f t="shared" si="130"/>
        <v>1</v>
      </c>
      <c r="C682" t="str">
        <f>IF(COUNTIF($A$2:A682, A682)&gt;1, "DUPLICATE_FLAGGED_FOR_REVIEW", "")</f>
        <v/>
      </c>
      <c r="D682" s="3">
        <v>45441</v>
      </c>
      <c r="E682" s="2">
        <v>45448</v>
      </c>
      <c r="F682" s="2" t="str">
        <f t="shared" si="131"/>
        <v>OK</v>
      </c>
      <c r="G682" s="4">
        <f t="shared" si="132"/>
        <v>7</v>
      </c>
      <c r="H682" t="s">
        <v>2122</v>
      </c>
      <c r="I682" t="s">
        <v>264</v>
      </c>
      <c r="J682" t="s">
        <v>90</v>
      </c>
      <c r="K682" t="s">
        <v>54</v>
      </c>
      <c r="L682" t="str">
        <f t="shared" si="133"/>
        <v>South</v>
      </c>
      <c r="M682" t="s">
        <v>247</v>
      </c>
      <c r="N682" t="s">
        <v>248</v>
      </c>
      <c r="O682" t="s">
        <v>74</v>
      </c>
      <c r="P682" t="s">
        <v>75</v>
      </c>
      <c r="Q682" t="s">
        <v>2123</v>
      </c>
      <c r="R682" t="s">
        <v>50</v>
      </c>
      <c r="S682" t="str">
        <f t="shared" si="134"/>
        <v>First Class</v>
      </c>
      <c r="T682">
        <v>4</v>
      </c>
      <c r="U682">
        <v>3700.24</v>
      </c>
      <c r="V682">
        <v>0</v>
      </c>
      <c r="W682">
        <f t="shared" si="135"/>
        <v>0</v>
      </c>
      <c r="X682" t="str">
        <f t="shared" si="136"/>
        <v/>
      </c>
      <c r="Y682">
        <v>14800.96</v>
      </c>
      <c r="Z682">
        <f t="shared" si="137"/>
        <v>14800.96</v>
      </c>
      <c r="AA682">
        <v>12048.39</v>
      </c>
      <c r="AB682">
        <v>2752.57</v>
      </c>
      <c r="AC682">
        <f t="shared" si="138"/>
        <v>11100.72</v>
      </c>
      <c r="AD682" s="6">
        <f t="shared" si="139"/>
        <v>0.75</v>
      </c>
      <c r="AE682" t="s">
        <v>32</v>
      </c>
      <c r="AF682" t="s">
        <v>33</v>
      </c>
      <c r="AG682">
        <f t="shared" si="140"/>
        <v>5</v>
      </c>
      <c r="AH682">
        <f t="shared" si="141"/>
        <v>2024</v>
      </c>
      <c r="AI682" t="str">
        <f t="shared" si="142"/>
        <v>CLEAN</v>
      </c>
    </row>
    <row r="683" spans="1:35">
      <c r="A683" t="s">
        <v>2124</v>
      </c>
      <c r="B683">
        <f t="shared" si="130"/>
        <v>1</v>
      </c>
      <c r="C683" t="str">
        <f>IF(COUNTIF($A$2:A683, A683)&gt;1, "DUPLICATE_FLAGGED_FOR_REVIEW", "")</f>
        <v/>
      </c>
      <c r="D683" s="3">
        <v>45389</v>
      </c>
      <c r="E683" s="2">
        <v>45483</v>
      </c>
      <c r="F683" s="2" t="str">
        <f t="shared" si="131"/>
        <v>OK</v>
      </c>
      <c r="G683" s="4">
        <f t="shared" si="132"/>
        <v>94</v>
      </c>
      <c r="H683" t="s">
        <v>2125</v>
      </c>
      <c r="I683" t="s">
        <v>71</v>
      </c>
      <c r="J683" t="s">
        <v>90</v>
      </c>
      <c r="K683" t="s">
        <v>25</v>
      </c>
      <c r="L683" t="str">
        <f t="shared" si="133"/>
        <v>North</v>
      </c>
      <c r="M683" t="s">
        <v>350</v>
      </c>
      <c r="N683" t="s">
        <v>351</v>
      </c>
      <c r="O683" t="s">
        <v>41</v>
      </c>
      <c r="P683" t="s">
        <v>42</v>
      </c>
      <c r="Q683" t="s">
        <v>2126</v>
      </c>
      <c r="R683" t="s">
        <v>31</v>
      </c>
      <c r="S683" t="str">
        <f t="shared" si="134"/>
        <v>Second Class</v>
      </c>
      <c r="T683">
        <v>5</v>
      </c>
      <c r="U683">
        <v>1200.27</v>
      </c>
      <c r="V683">
        <v>0</v>
      </c>
      <c r="W683">
        <f t="shared" si="135"/>
        <v>0</v>
      </c>
      <c r="X683" t="str">
        <f t="shared" si="136"/>
        <v/>
      </c>
      <c r="Y683">
        <v>6001.35</v>
      </c>
      <c r="Z683">
        <f t="shared" si="137"/>
        <v>6001.35</v>
      </c>
      <c r="AA683">
        <v>4182.99</v>
      </c>
      <c r="AB683">
        <v>1818.36</v>
      </c>
      <c r="AC683">
        <f t="shared" si="138"/>
        <v>4801.08</v>
      </c>
      <c r="AD683" s="6">
        <f t="shared" si="139"/>
        <v>0.79999999999999993</v>
      </c>
      <c r="AE683" t="s">
        <v>32</v>
      </c>
      <c r="AF683" t="s">
        <v>68</v>
      </c>
      <c r="AG683">
        <f t="shared" si="140"/>
        <v>4</v>
      </c>
      <c r="AH683">
        <f t="shared" si="141"/>
        <v>2024</v>
      </c>
      <c r="AI683" t="str">
        <f t="shared" si="142"/>
        <v>CLEAN</v>
      </c>
    </row>
    <row r="684" spans="1:35">
      <c r="A684" t="s">
        <v>2127</v>
      </c>
      <c r="B684">
        <f t="shared" si="130"/>
        <v>1</v>
      </c>
      <c r="C684" t="str">
        <f>IF(COUNTIF($A$2:A684, A684)&gt;1, "DUPLICATE_FLAGGED_FOR_REVIEW", "")</f>
        <v/>
      </c>
      <c r="D684" s="3">
        <v>45693</v>
      </c>
      <c r="E684" s="2">
        <v>45693</v>
      </c>
      <c r="F684" s="2" t="str">
        <f t="shared" si="131"/>
        <v>OK</v>
      </c>
      <c r="G684" s="4">
        <f t="shared" si="132"/>
        <v>0</v>
      </c>
      <c r="H684" t="s">
        <v>2128</v>
      </c>
      <c r="I684" t="s">
        <v>62</v>
      </c>
      <c r="J684" t="s">
        <v>90</v>
      </c>
      <c r="K684" t="s">
        <v>25</v>
      </c>
      <c r="L684" t="str">
        <f t="shared" si="133"/>
        <v>North</v>
      </c>
      <c r="M684" t="s">
        <v>236</v>
      </c>
      <c r="N684" t="s">
        <v>237</v>
      </c>
      <c r="O684" t="s">
        <v>28</v>
      </c>
      <c r="P684" t="s">
        <v>124</v>
      </c>
      <c r="Q684" t="s">
        <v>2129</v>
      </c>
      <c r="R684" t="s">
        <v>44</v>
      </c>
      <c r="S684" t="str">
        <f t="shared" si="134"/>
        <v>Same Day</v>
      </c>
      <c r="T684">
        <v>3</v>
      </c>
      <c r="U684">
        <v>2590.7800000000002</v>
      </c>
      <c r="W684">
        <f t="shared" si="135"/>
        <v>0</v>
      </c>
      <c r="X684" t="str">
        <f t="shared" si="136"/>
        <v>DISCOUNT_MISSING_SET_TO_0</v>
      </c>
      <c r="Y684">
        <v>7383.72</v>
      </c>
      <c r="Z684">
        <f t="shared" si="137"/>
        <v>7772.34</v>
      </c>
      <c r="AA684">
        <v>4113.66</v>
      </c>
      <c r="AB684">
        <v>3270.06</v>
      </c>
      <c r="AC684">
        <f t="shared" si="138"/>
        <v>5181.5599999999995</v>
      </c>
      <c r="AD684" s="6">
        <f t="shared" si="139"/>
        <v>0.66666666666666663</v>
      </c>
      <c r="AE684" t="s">
        <v>32</v>
      </c>
      <c r="AF684" t="s">
        <v>33</v>
      </c>
      <c r="AG684">
        <f t="shared" si="140"/>
        <v>2</v>
      </c>
      <c r="AH684">
        <f t="shared" si="141"/>
        <v>2025</v>
      </c>
      <c r="AI684" t="str">
        <f t="shared" si="142"/>
        <v>WARNING</v>
      </c>
    </row>
    <row r="685" spans="1:35">
      <c r="A685" t="s">
        <v>2130</v>
      </c>
      <c r="B685">
        <f t="shared" si="130"/>
        <v>1</v>
      </c>
      <c r="C685" t="str">
        <f>IF(COUNTIF($A$2:A685, A685)&gt;1, "DUPLICATE_FLAGGED_FOR_REVIEW", "")</f>
        <v/>
      </c>
      <c r="D685" s="3">
        <v>45858</v>
      </c>
      <c r="E685" s="2">
        <v>45862</v>
      </c>
      <c r="F685" s="2" t="str">
        <f t="shared" si="131"/>
        <v>OK</v>
      </c>
      <c r="G685" s="4">
        <f t="shared" si="132"/>
        <v>4</v>
      </c>
      <c r="H685" t="s">
        <v>2131</v>
      </c>
      <c r="I685" t="s">
        <v>53</v>
      </c>
      <c r="J685" t="s">
        <v>37</v>
      </c>
      <c r="K685" t="s">
        <v>54</v>
      </c>
      <c r="L685" t="str">
        <f t="shared" si="133"/>
        <v>South</v>
      </c>
      <c r="M685" t="s">
        <v>55</v>
      </c>
      <c r="N685" t="s">
        <v>56</v>
      </c>
      <c r="O685" t="s">
        <v>41</v>
      </c>
      <c r="P685" t="s">
        <v>57</v>
      </c>
      <c r="Q685" t="s">
        <v>2132</v>
      </c>
      <c r="R685" t="s">
        <v>31</v>
      </c>
      <c r="S685" t="str">
        <f t="shared" si="134"/>
        <v>Second Class</v>
      </c>
      <c r="T685">
        <v>6</v>
      </c>
      <c r="U685">
        <v>1646.45</v>
      </c>
      <c r="V685">
        <v>0.2</v>
      </c>
      <c r="W685">
        <f t="shared" si="135"/>
        <v>0.2</v>
      </c>
      <c r="X685" t="str">
        <f t="shared" si="136"/>
        <v/>
      </c>
      <c r="Y685">
        <v>7902.96</v>
      </c>
      <c r="Z685">
        <f t="shared" si="137"/>
        <v>7902.9600000000009</v>
      </c>
      <c r="AA685">
        <v>5512.03</v>
      </c>
      <c r="AB685">
        <v>2390.9299999999998</v>
      </c>
      <c r="AC685">
        <f t="shared" si="138"/>
        <v>6256.5100000000011</v>
      </c>
      <c r="AD685" s="6">
        <f t="shared" si="139"/>
        <v>0.79166666666666674</v>
      </c>
      <c r="AE685" t="s">
        <v>102</v>
      </c>
      <c r="AF685" t="s">
        <v>68</v>
      </c>
      <c r="AG685">
        <f t="shared" si="140"/>
        <v>7</v>
      </c>
      <c r="AH685">
        <f t="shared" si="141"/>
        <v>2025</v>
      </c>
      <c r="AI685" t="str">
        <f t="shared" si="142"/>
        <v>CLEAN</v>
      </c>
    </row>
    <row r="686" spans="1:35">
      <c r="A686" t="s">
        <v>2133</v>
      </c>
      <c r="B686">
        <f t="shared" si="130"/>
        <v>1</v>
      </c>
      <c r="C686" t="str">
        <f>IF(COUNTIF($A$2:A686, A686)&gt;1, "DUPLICATE_FLAGGED_FOR_REVIEW", "")</f>
        <v/>
      </c>
      <c r="D686" s="3">
        <v>45859</v>
      </c>
      <c r="E686" s="2">
        <v>45859</v>
      </c>
      <c r="F686" s="2" t="str">
        <f t="shared" si="131"/>
        <v>OK</v>
      </c>
      <c r="G686" s="4">
        <f t="shared" si="132"/>
        <v>0</v>
      </c>
      <c r="H686" t="s">
        <v>2134</v>
      </c>
      <c r="I686" t="s">
        <v>47</v>
      </c>
      <c r="J686" t="s">
        <v>95</v>
      </c>
      <c r="K686" t="s">
        <v>54</v>
      </c>
      <c r="L686" t="str">
        <f t="shared" si="133"/>
        <v>South</v>
      </c>
      <c r="M686" t="s">
        <v>247</v>
      </c>
      <c r="N686" t="s">
        <v>248</v>
      </c>
      <c r="O686" t="s">
        <v>41</v>
      </c>
      <c r="P686" t="s">
        <v>158</v>
      </c>
      <c r="Q686" t="s">
        <v>2135</v>
      </c>
      <c r="R686" t="s">
        <v>50</v>
      </c>
      <c r="S686" t="str">
        <f t="shared" si="134"/>
        <v>First Class</v>
      </c>
      <c r="T686">
        <v>7</v>
      </c>
      <c r="U686">
        <v>4396.6499999999996</v>
      </c>
      <c r="V686">
        <v>0.2</v>
      </c>
      <c r="W686">
        <f t="shared" si="135"/>
        <v>0.2</v>
      </c>
      <c r="X686" t="str">
        <f t="shared" si="136"/>
        <v/>
      </c>
      <c r="Y686">
        <v>24621.24</v>
      </c>
      <c r="Z686">
        <f t="shared" si="137"/>
        <v>24621.239999999998</v>
      </c>
      <c r="AA686">
        <v>17155.48</v>
      </c>
      <c r="AB686">
        <v>7465.76</v>
      </c>
      <c r="AC686">
        <f t="shared" si="138"/>
        <v>20224.589999999997</v>
      </c>
      <c r="AD686" s="6">
        <f t="shared" si="139"/>
        <v>0.8214285714285714</v>
      </c>
      <c r="AE686" t="s">
        <v>102</v>
      </c>
      <c r="AF686" t="s">
        <v>68</v>
      </c>
      <c r="AG686">
        <f t="shared" si="140"/>
        <v>7</v>
      </c>
      <c r="AH686">
        <f t="shared" si="141"/>
        <v>2025</v>
      </c>
      <c r="AI686" t="str">
        <f t="shared" si="142"/>
        <v>CLEAN</v>
      </c>
    </row>
    <row r="687" spans="1:35">
      <c r="A687" t="s">
        <v>2136</v>
      </c>
      <c r="B687">
        <f t="shared" si="130"/>
        <v>1</v>
      </c>
      <c r="C687" t="str">
        <f>IF(COUNTIF($A$2:A687, A687)&gt;1, "DUPLICATE_FLAGGED_FOR_REVIEW", "")</f>
        <v/>
      </c>
      <c r="D687" s="3">
        <v>45931</v>
      </c>
      <c r="E687" s="2">
        <v>45933</v>
      </c>
      <c r="F687" s="2" t="str">
        <f t="shared" si="131"/>
        <v>OK</v>
      </c>
      <c r="G687" s="4">
        <f t="shared" si="132"/>
        <v>2</v>
      </c>
      <c r="H687" t="s">
        <v>1802</v>
      </c>
      <c r="I687" t="s">
        <v>79</v>
      </c>
      <c r="J687" t="s">
        <v>90</v>
      </c>
      <c r="K687" t="s">
        <v>63</v>
      </c>
      <c r="L687" t="str">
        <f t="shared" si="133"/>
        <v>West</v>
      </c>
      <c r="M687" t="s">
        <v>190</v>
      </c>
      <c r="N687" t="s">
        <v>191</v>
      </c>
      <c r="O687" t="s">
        <v>28</v>
      </c>
      <c r="P687" t="s">
        <v>48</v>
      </c>
      <c r="Q687" t="s">
        <v>2137</v>
      </c>
      <c r="R687" t="s">
        <v>59</v>
      </c>
      <c r="S687" t="str">
        <f t="shared" si="134"/>
        <v>Standard Class</v>
      </c>
      <c r="T687">
        <v>9</v>
      </c>
      <c r="U687">
        <v>818.15</v>
      </c>
      <c r="V687">
        <v>0.55000000000000004</v>
      </c>
      <c r="W687">
        <f t="shared" si="135"/>
        <v>0.55000000000000004</v>
      </c>
      <c r="X687" t="str">
        <f t="shared" si="136"/>
        <v>INVALID_DISCOUNT_ABOVE_50PCT</v>
      </c>
      <c r="Y687">
        <v>6627.01</v>
      </c>
      <c r="Z687">
        <f t="shared" si="137"/>
        <v>3313.5074999999993</v>
      </c>
      <c r="AA687">
        <v>5606.79</v>
      </c>
      <c r="AB687">
        <v>1020.22</v>
      </c>
      <c r="AC687">
        <f t="shared" si="138"/>
        <v>2495.3574999999992</v>
      </c>
      <c r="AD687" s="6">
        <f t="shared" si="139"/>
        <v>0.75308641975308632</v>
      </c>
      <c r="AE687" t="s">
        <v>155</v>
      </c>
      <c r="AF687" t="s">
        <v>68</v>
      </c>
      <c r="AG687">
        <f t="shared" si="140"/>
        <v>10</v>
      </c>
      <c r="AH687">
        <f t="shared" si="141"/>
        <v>2025</v>
      </c>
      <c r="AI687" t="str">
        <f t="shared" si="142"/>
        <v>INVALID</v>
      </c>
    </row>
    <row r="688" spans="1:35">
      <c r="A688" t="s">
        <v>2138</v>
      </c>
      <c r="B688">
        <f t="shared" si="130"/>
        <v>1</v>
      </c>
      <c r="C688" t="str">
        <f>IF(COUNTIF($A$2:A688, A688)&gt;1, "DUPLICATE_FLAGGED_FOR_REVIEW", "")</f>
        <v/>
      </c>
      <c r="D688" s="3">
        <v>45376</v>
      </c>
      <c r="E688" s="2">
        <v>45326</v>
      </c>
      <c r="F688" s="2" t="str">
        <f t="shared" si="131"/>
        <v>ERROR: Ship before order</v>
      </c>
      <c r="G688" s="4">
        <f t="shared" si="132"/>
        <v>-50</v>
      </c>
      <c r="H688" t="s">
        <v>2139</v>
      </c>
      <c r="I688" t="s">
        <v>132</v>
      </c>
      <c r="J688" t="s">
        <v>95</v>
      </c>
      <c r="K688" t="s">
        <v>54</v>
      </c>
      <c r="L688" t="str">
        <f t="shared" si="133"/>
        <v>South</v>
      </c>
      <c r="M688" t="s">
        <v>247</v>
      </c>
      <c r="N688" t="s">
        <v>248</v>
      </c>
      <c r="O688" t="s">
        <v>74</v>
      </c>
      <c r="P688" t="s">
        <v>80</v>
      </c>
      <c r="Q688" t="s">
        <v>2140</v>
      </c>
      <c r="R688" t="s">
        <v>59</v>
      </c>
      <c r="S688" t="str">
        <f t="shared" si="134"/>
        <v>Standard Class</v>
      </c>
      <c r="T688">
        <v>2</v>
      </c>
      <c r="U688">
        <v>2349.13</v>
      </c>
      <c r="V688">
        <v>0</v>
      </c>
      <c r="W688">
        <f t="shared" si="135"/>
        <v>0</v>
      </c>
      <c r="X688" t="str">
        <f t="shared" si="136"/>
        <v/>
      </c>
      <c r="Y688">
        <v>4698.26</v>
      </c>
      <c r="Z688">
        <f t="shared" si="137"/>
        <v>4698.26</v>
      </c>
      <c r="AA688">
        <v>2654.92</v>
      </c>
      <c r="AB688">
        <v>2043.34</v>
      </c>
      <c r="AC688">
        <f t="shared" si="138"/>
        <v>2349.13</v>
      </c>
      <c r="AD688" s="6">
        <f t="shared" si="139"/>
        <v>0.5</v>
      </c>
      <c r="AE688" t="s">
        <v>32</v>
      </c>
      <c r="AF688" t="s">
        <v>33</v>
      </c>
      <c r="AG688">
        <f t="shared" si="140"/>
        <v>3</v>
      </c>
      <c r="AH688">
        <f t="shared" si="141"/>
        <v>2024</v>
      </c>
      <c r="AI688" t="str">
        <f t="shared" si="142"/>
        <v>INVALID</v>
      </c>
    </row>
    <row r="689" spans="1:35">
      <c r="A689" t="s">
        <v>2141</v>
      </c>
      <c r="B689">
        <f t="shared" si="130"/>
        <v>1</v>
      </c>
      <c r="C689" t="str">
        <f>IF(COUNTIF($A$2:A689, A689)&gt;1, "DUPLICATE_FLAGGED_FOR_REVIEW", "")</f>
        <v/>
      </c>
      <c r="D689" s="3">
        <v>45938</v>
      </c>
      <c r="E689" s="2">
        <v>45943</v>
      </c>
      <c r="F689" s="2" t="str">
        <f t="shared" si="131"/>
        <v>OK</v>
      </c>
      <c r="G689" s="4">
        <f t="shared" si="132"/>
        <v>5</v>
      </c>
      <c r="H689" t="s">
        <v>2142</v>
      </c>
      <c r="I689" t="s">
        <v>36</v>
      </c>
      <c r="J689" t="s">
        <v>95</v>
      </c>
      <c r="K689" t="s">
        <v>25</v>
      </c>
      <c r="L689" t="str">
        <f t="shared" si="133"/>
        <v>North</v>
      </c>
      <c r="M689" t="s">
        <v>122</v>
      </c>
      <c r="N689" t="s">
        <v>123</v>
      </c>
      <c r="O689" t="s">
        <v>41</v>
      </c>
      <c r="P689" t="s">
        <v>42</v>
      </c>
      <c r="Q689" t="s">
        <v>2143</v>
      </c>
      <c r="R689" t="s">
        <v>50</v>
      </c>
      <c r="S689" t="str">
        <f t="shared" si="134"/>
        <v>First Class</v>
      </c>
      <c r="T689">
        <v>4</v>
      </c>
      <c r="U689">
        <v>172.05</v>
      </c>
      <c r="V689">
        <v>0</v>
      </c>
      <c r="W689">
        <f t="shared" si="135"/>
        <v>0</v>
      </c>
      <c r="X689" t="str">
        <f t="shared" si="136"/>
        <v/>
      </c>
      <c r="Y689">
        <v>688.2</v>
      </c>
      <c r="Z689">
        <f t="shared" si="137"/>
        <v>688.2</v>
      </c>
      <c r="AA689">
        <v>497.68</v>
      </c>
      <c r="AB689">
        <v>190.52</v>
      </c>
      <c r="AC689">
        <f t="shared" si="138"/>
        <v>516.15000000000009</v>
      </c>
      <c r="AD689" s="6">
        <f t="shared" si="139"/>
        <v>0.75000000000000011</v>
      </c>
      <c r="AE689" t="s">
        <v>155</v>
      </c>
      <c r="AF689" t="s">
        <v>68</v>
      </c>
      <c r="AG689">
        <f t="shared" si="140"/>
        <v>10</v>
      </c>
      <c r="AH689">
        <f t="shared" si="141"/>
        <v>2025</v>
      </c>
      <c r="AI689" t="str">
        <f t="shared" si="142"/>
        <v>CLEAN</v>
      </c>
    </row>
    <row r="690" spans="1:35">
      <c r="A690" t="s">
        <v>2144</v>
      </c>
      <c r="B690">
        <f t="shared" si="130"/>
        <v>1</v>
      </c>
      <c r="C690" t="str">
        <f>IF(COUNTIF($A$2:A690, A690)&gt;1, "DUPLICATE_FLAGGED_FOR_REVIEW", "")</f>
        <v/>
      </c>
      <c r="D690" s="3">
        <v>45714</v>
      </c>
      <c r="E690" s="2">
        <v>45715</v>
      </c>
      <c r="F690" s="2" t="str">
        <f t="shared" si="131"/>
        <v>OK</v>
      </c>
      <c r="G690" s="4">
        <f t="shared" si="132"/>
        <v>1</v>
      </c>
      <c r="H690" t="s">
        <v>2145</v>
      </c>
      <c r="I690" t="s">
        <v>79</v>
      </c>
      <c r="J690" t="s">
        <v>95</v>
      </c>
      <c r="K690" t="s">
        <v>25</v>
      </c>
      <c r="L690" t="str">
        <f t="shared" si="133"/>
        <v>North</v>
      </c>
      <c r="M690" t="s">
        <v>236</v>
      </c>
      <c r="N690" t="s">
        <v>237</v>
      </c>
      <c r="O690" t="s">
        <v>28</v>
      </c>
      <c r="P690" t="s">
        <v>48</v>
      </c>
      <c r="Q690" t="s">
        <v>2146</v>
      </c>
      <c r="R690" t="s">
        <v>31</v>
      </c>
      <c r="S690" t="str">
        <f t="shared" si="134"/>
        <v>Second Class</v>
      </c>
      <c r="T690">
        <v>6</v>
      </c>
      <c r="U690">
        <v>3037.66</v>
      </c>
      <c r="V690">
        <v>0.15</v>
      </c>
      <c r="W690">
        <f t="shared" si="135"/>
        <v>0.15</v>
      </c>
      <c r="X690" t="str">
        <f t="shared" si="136"/>
        <v/>
      </c>
      <c r="Y690">
        <v>15492.07</v>
      </c>
      <c r="Z690">
        <f t="shared" si="137"/>
        <v>15492.065999999999</v>
      </c>
      <c r="AA690">
        <v>12581.23</v>
      </c>
      <c r="AB690">
        <v>2910.84</v>
      </c>
      <c r="AC690">
        <f t="shared" si="138"/>
        <v>12454.405999999999</v>
      </c>
      <c r="AD690" s="6">
        <f t="shared" si="139"/>
        <v>0.80392156862745101</v>
      </c>
      <c r="AE690" t="s">
        <v>32</v>
      </c>
      <c r="AF690" t="s">
        <v>33</v>
      </c>
      <c r="AG690">
        <f t="shared" si="140"/>
        <v>2</v>
      </c>
      <c r="AH690">
        <f t="shared" si="141"/>
        <v>2025</v>
      </c>
      <c r="AI690" t="str">
        <f t="shared" si="142"/>
        <v>CLEAN</v>
      </c>
    </row>
    <row r="691" spans="1:35">
      <c r="A691" t="s">
        <v>2147</v>
      </c>
      <c r="B691">
        <f t="shared" si="130"/>
        <v>1</v>
      </c>
      <c r="C691" t="str">
        <f>IF(COUNTIF($A$2:A691, A691)&gt;1, "DUPLICATE_FLAGGED_FOR_REVIEW", "")</f>
        <v/>
      </c>
      <c r="D691" s="3">
        <v>45570</v>
      </c>
      <c r="E691" s="2">
        <v>45571</v>
      </c>
      <c r="F691" s="2" t="str">
        <f t="shared" si="131"/>
        <v>OK</v>
      </c>
      <c r="G691" s="4">
        <f t="shared" si="132"/>
        <v>1</v>
      </c>
      <c r="H691" t="s">
        <v>2148</v>
      </c>
      <c r="I691" t="s">
        <v>141</v>
      </c>
      <c r="J691" t="s">
        <v>37</v>
      </c>
      <c r="K691" t="s">
        <v>25</v>
      </c>
      <c r="L691" t="str">
        <f t="shared" si="133"/>
        <v>North</v>
      </c>
      <c r="M691" t="s">
        <v>122</v>
      </c>
      <c r="N691" t="s">
        <v>123</v>
      </c>
      <c r="O691" t="s">
        <v>41</v>
      </c>
      <c r="P691" t="s">
        <v>42</v>
      </c>
      <c r="Q691" t="s">
        <v>2149</v>
      </c>
      <c r="R691" t="s">
        <v>59</v>
      </c>
      <c r="S691" t="str">
        <f t="shared" si="134"/>
        <v>Standard Class</v>
      </c>
      <c r="T691">
        <v>9</v>
      </c>
      <c r="U691">
        <v>489.58</v>
      </c>
      <c r="V691">
        <v>0.15</v>
      </c>
      <c r="W691">
        <f t="shared" si="135"/>
        <v>0.15</v>
      </c>
      <c r="X691" t="str">
        <f t="shared" si="136"/>
        <v/>
      </c>
      <c r="Y691">
        <v>3745.29</v>
      </c>
      <c r="Z691">
        <f t="shared" si="137"/>
        <v>3745.2870000000003</v>
      </c>
      <c r="AA691">
        <v>2302.65</v>
      </c>
      <c r="AB691">
        <v>1442.64</v>
      </c>
      <c r="AC691">
        <f t="shared" si="138"/>
        <v>3255.7070000000003</v>
      </c>
      <c r="AD691" s="6">
        <f t="shared" si="139"/>
        <v>0.86928104575163401</v>
      </c>
      <c r="AE691" t="s">
        <v>155</v>
      </c>
      <c r="AF691" t="s">
        <v>68</v>
      </c>
      <c r="AG691">
        <f t="shared" si="140"/>
        <v>10</v>
      </c>
      <c r="AH691">
        <f t="shared" si="141"/>
        <v>2024</v>
      </c>
      <c r="AI691" t="str">
        <f t="shared" si="142"/>
        <v>CLEAN</v>
      </c>
    </row>
    <row r="692" spans="1:35">
      <c r="A692" t="s">
        <v>2150</v>
      </c>
      <c r="B692">
        <f t="shared" si="130"/>
        <v>1</v>
      </c>
      <c r="C692" t="str">
        <f>IF(COUNTIF($A$2:A692, A692)&gt;1, "DUPLICATE_FLAGGED_FOR_REVIEW", "")</f>
        <v/>
      </c>
      <c r="D692" s="3">
        <v>45605</v>
      </c>
      <c r="E692" s="2">
        <v>45550</v>
      </c>
      <c r="F692" s="2" t="str">
        <f t="shared" si="131"/>
        <v>ERROR: Ship before order</v>
      </c>
      <c r="G692" s="4">
        <f t="shared" si="132"/>
        <v>-55</v>
      </c>
      <c r="H692" t="s">
        <v>2151</v>
      </c>
      <c r="I692" t="s">
        <v>132</v>
      </c>
      <c r="J692" t="s">
        <v>90</v>
      </c>
      <c r="K692" t="s">
        <v>54</v>
      </c>
      <c r="L692" t="str">
        <f t="shared" si="133"/>
        <v>South</v>
      </c>
      <c r="M692" t="s">
        <v>247</v>
      </c>
      <c r="N692" t="s">
        <v>248</v>
      </c>
      <c r="O692" t="s">
        <v>28</v>
      </c>
      <c r="P692" t="s">
        <v>48</v>
      </c>
      <c r="Q692" t="s">
        <v>2152</v>
      </c>
      <c r="R692" t="s">
        <v>59</v>
      </c>
      <c r="S692" t="str">
        <f t="shared" si="134"/>
        <v>Standard Class</v>
      </c>
      <c r="T692">
        <v>4</v>
      </c>
      <c r="U692">
        <v>865.63</v>
      </c>
      <c r="V692">
        <v>0</v>
      </c>
      <c r="W692">
        <f t="shared" si="135"/>
        <v>0</v>
      </c>
      <c r="X692" t="str">
        <f t="shared" si="136"/>
        <v/>
      </c>
      <c r="Y692">
        <v>3462.52</v>
      </c>
      <c r="Z692">
        <f t="shared" si="137"/>
        <v>3462.52</v>
      </c>
      <c r="AA692">
        <v>2797.29</v>
      </c>
      <c r="AB692">
        <v>665.23</v>
      </c>
      <c r="AC692">
        <f t="shared" si="138"/>
        <v>2596.89</v>
      </c>
      <c r="AD692" s="6">
        <f t="shared" si="139"/>
        <v>0.75</v>
      </c>
      <c r="AE692" t="s">
        <v>155</v>
      </c>
      <c r="AF692" t="s">
        <v>103</v>
      </c>
      <c r="AG692">
        <f t="shared" si="140"/>
        <v>11</v>
      </c>
      <c r="AH692">
        <f t="shared" si="141"/>
        <v>2024</v>
      </c>
      <c r="AI692" t="str">
        <f t="shared" si="142"/>
        <v>INVALID</v>
      </c>
    </row>
    <row r="693" spans="1:35">
      <c r="A693" t="s">
        <v>2153</v>
      </c>
      <c r="B693">
        <f t="shared" si="130"/>
        <v>1</v>
      </c>
      <c r="C693" t="str">
        <f>IF(COUNTIF($A$2:A693, A693)&gt;1, "DUPLICATE_FLAGGED_FOR_REVIEW", "")</f>
        <v/>
      </c>
      <c r="D693" s="3">
        <v>45641</v>
      </c>
      <c r="E693" s="2">
        <v>45642</v>
      </c>
      <c r="F693" s="2" t="str">
        <f t="shared" si="131"/>
        <v>OK</v>
      </c>
      <c r="G693" s="4">
        <f t="shared" si="132"/>
        <v>1</v>
      </c>
      <c r="H693" t="s">
        <v>2154</v>
      </c>
      <c r="I693" t="s">
        <v>141</v>
      </c>
      <c r="J693" t="s">
        <v>24</v>
      </c>
      <c r="K693" t="s">
        <v>38</v>
      </c>
      <c r="L693" t="str">
        <f t="shared" si="133"/>
        <v>East</v>
      </c>
      <c r="M693" t="s">
        <v>39</v>
      </c>
      <c r="N693" t="s">
        <v>40</v>
      </c>
      <c r="O693" t="s">
        <v>74</v>
      </c>
      <c r="P693" t="s">
        <v>80</v>
      </c>
      <c r="Q693" t="s">
        <v>2155</v>
      </c>
      <c r="R693" t="s">
        <v>31</v>
      </c>
      <c r="S693" t="str">
        <f t="shared" si="134"/>
        <v>Second Class</v>
      </c>
      <c r="T693">
        <v>6</v>
      </c>
      <c r="U693">
        <v>1538.1</v>
      </c>
      <c r="V693">
        <v>0.05</v>
      </c>
      <c r="W693">
        <f t="shared" si="135"/>
        <v>0.05</v>
      </c>
      <c r="X693" t="str">
        <f t="shared" si="136"/>
        <v/>
      </c>
      <c r="Y693">
        <v>8767.17</v>
      </c>
      <c r="Z693">
        <f t="shared" si="137"/>
        <v>8767.1699999999983</v>
      </c>
      <c r="AA693">
        <v>5098.2</v>
      </c>
      <c r="AB693">
        <v>3668.97</v>
      </c>
      <c r="AC693">
        <f t="shared" si="138"/>
        <v>7229.0699999999979</v>
      </c>
      <c r="AD693" s="6">
        <f t="shared" si="139"/>
        <v>0.82456140350877183</v>
      </c>
      <c r="AE693" t="s">
        <v>32</v>
      </c>
      <c r="AF693" t="s">
        <v>33</v>
      </c>
      <c r="AG693">
        <f t="shared" si="140"/>
        <v>12</v>
      </c>
      <c r="AH693">
        <f t="shared" si="141"/>
        <v>2024</v>
      </c>
      <c r="AI693" t="str">
        <f t="shared" si="142"/>
        <v>CLEAN</v>
      </c>
    </row>
    <row r="694" spans="1:35">
      <c r="A694" t="s">
        <v>2156</v>
      </c>
      <c r="B694">
        <f t="shared" si="130"/>
        <v>1</v>
      </c>
      <c r="C694" t="str">
        <f>IF(COUNTIF($A$2:A694, A694)&gt;1, "DUPLICATE_FLAGGED_FOR_REVIEW", "")</f>
        <v/>
      </c>
      <c r="D694" s="3">
        <v>45935</v>
      </c>
      <c r="E694" s="2">
        <v>45940</v>
      </c>
      <c r="F694" s="2" t="str">
        <f t="shared" si="131"/>
        <v>OK</v>
      </c>
      <c r="G694" s="4">
        <f t="shared" si="132"/>
        <v>5</v>
      </c>
      <c r="H694" t="s">
        <v>2157</v>
      </c>
      <c r="I694" t="s">
        <v>47</v>
      </c>
      <c r="J694" t="s">
        <v>90</v>
      </c>
      <c r="K694" t="s">
        <v>54</v>
      </c>
      <c r="L694" t="str">
        <f t="shared" si="133"/>
        <v>South</v>
      </c>
      <c r="M694" t="s">
        <v>175</v>
      </c>
      <c r="N694" t="s">
        <v>176</v>
      </c>
      <c r="O694" t="s">
        <v>41</v>
      </c>
      <c r="P694" t="s">
        <v>57</v>
      </c>
      <c r="Q694" t="s">
        <v>2158</v>
      </c>
      <c r="R694" t="s">
        <v>31</v>
      </c>
      <c r="S694" t="str">
        <f t="shared" si="134"/>
        <v>Second Class</v>
      </c>
      <c r="T694">
        <v>4</v>
      </c>
      <c r="U694">
        <v>2365.6799999999998</v>
      </c>
      <c r="V694">
        <v>0.1</v>
      </c>
      <c r="W694">
        <f t="shared" si="135"/>
        <v>0.1</v>
      </c>
      <c r="X694" t="str">
        <f t="shared" si="136"/>
        <v/>
      </c>
      <c r="Y694">
        <v>8516.4500000000007</v>
      </c>
      <c r="Z694">
        <f t="shared" si="137"/>
        <v>8516.4480000000003</v>
      </c>
      <c r="AA694">
        <v>5903.81</v>
      </c>
      <c r="AB694">
        <v>2612.64</v>
      </c>
      <c r="AC694">
        <f t="shared" si="138"/>
        <v>6150.768</v>
      </c>
      <c r="AD694" s="6">
        <f t="shared" si="139"/>
        <v>0.72222222222222221</v>
      </c>
      <c r="AE694" t="s">
        <v>32</v>
      </c>
      <c r="AF694" t="s">
        <v>33</v>
      </c>
      <c r="AG694">
        <f t="shared" si="140"/>
        <v>10</v>
      </c>
      <c r="AH694">
        <f t="shared" si="141"/>
        <v>2025</v>
      </c>
      <c r="AI694" t="str">
        <f t="shared" si="142"/>
        <v>CLEAN</v>
      </c>
    </row>
    <row r="695" spans="1:35">
      <c r="A695" t="s">
        <v>2159</v>
      </c>
      <c r="B695">
        <f t="shared" si="130"/>
        <v>1</v>
      </c>
      <c r="C695" t="str">
        <f>IF(COUNTIF($A$2:A695, A695)&gt;1, "DUPLICATE_FLAGGED_FOR_REVIEW", "")</f>
        <v/>
      </c>
      <c r="D695" s="3">
        <v>45750</v>
      </c>
      <c r="E695" s="2">
        <v>45758</v>
      </c>
      <c r="F695" s="2" t="str">
        <f t="shared" si="131"/>
        <v>OK</v>
      </c>
      <c r="G695" s="4">
        <f t="shared" si="132"/>
        <v>8</v>
      </c>
      <c r="H695" t="s">
        <v>2160</v>
      </c>
      <c r="I695" t="s">
        <v>53</v>
      </c>
      <c r="J695" t="s">
        <v>24</v>
      </c>
      <c r="K695" t="s">
        <v>54</v>
      </c>
      <c r="L695" t="str">
        <f t="shared" si="133"/>
        <v>South</v>
      </c>
      <c r="M695" t="s">
        <v>247</v>
      </c>
      <c r="N695" t="s">
        <v>248</v>
      </c>
      <c r="O695" t="s">
        <v>41</v>
      </c>
      <c r="P695" t="s">
        <v>158</v>
      </c>
      <c r="Q695" t="s">
        <v>2161</v>
      </c>
      <c r="R695" t="s">
        <v>31</v>
      </c>
      <c r="S695" t="str">
        <f t="shared" si="134"/>
        <v>Second Class</v>
      </c>
      <c r="T695">
        <v>3</v>
      </c>
      <c r="U695">
        <v>4149.7700000000004</v>
      </c>
      <c r="V695">
        <v>0.05</v>
      </c>
      <c r="W695">
        <f t="shared" si="135"/>
        <v>0.05</v>
      </c>
      <c r="X695" t="str">
        <f t="shared" si="136"/>
        <v/>
      </c>
      <c r="Y695">
        <v>11826.84</v>
      </c>
      <c r="Z695">
        <f t="shared" si="137"/>
        <v>11826.844500000001</v>
      </c>
      <c r="AA695">
        <v>8035.96</v>
      </c>
      <c r="AB695">
        <v>3790.88</v>
      </c>
      <c r="AC695">
        <f t="shared" si="138"/>
        <v>7677.0745000000006</v>
      </c>
      <c r="AD695" s="6">
        <f t="shared" si="139"/>
        <v>0.64912280701754388</v>
      </c>
      <c r="AE695" t="s">
        <v>32</v>
      </c>
      <c r="AF695" t="s">
        <v>33</v>
      </c>
      <c r="AG695">
        <f t="shared" si="140"/>
        <v>4</v>
      </c>
      <c r="AH695">
        <f t="shared" si="141"/>
        <v>2025</v>
      </c>
      <c r="AI695" t="str">
        <f t="shared" si="142"/>
        <v>CLEAN</v>
      </c>
    </row>
    <row r="696" spans="1:35">
      <c r="A696" t="s">
        <v>2162</v>
      </c>
      <c r="B696">
        <f t="shared" si="130"/>
        <v>1</v>
      </c>
      <c r="C696" t="str">
        <f>IF(COUNTIF($A$2:A696, A696)&gt;1, "DUPLICATE_FLAGGED_FOR_REVIEW", "")</f>
        <v/>
      </c>
      <c r="D696" s="3">
        <v>45870</v>
      </c>
      <c r="E696" s="2">
        <v>45878</v>
      </c>
      <c r="F696" s="2" t="str">
        <f t="shared" si="131"/>
        <v>OK</v>
      </c>
      <c r="G696" s="4">
        <f t="shared" si="132"/>
        <v>8</v>
      </c>
      <c r="H696" t="s">
        <v>1135</v>
      </c>
      <c r="I696" t="s">
        <v>47</v>
      </c>
      <c r="J696" t="s">
        <v>24</v>
      </c>
      <c r="K696" t="s">
        <v>54</v>
      </c>
      <c r="L696" t="str">
        <f t="shared" si="133"/>
        <v>South</v>
      </c>
      <c r="M696" t="s">
        <v>84</v>
      </c>
      <c r="N696" t="s">
        <v>85</v>
      </c>
      <c r="O696" t="s">
        <v>28</v>
      </c>
      <c r="P696" t="s">
        <v>124</v>
      </c>
      <c r="Q696" t="s">
        <v>2163</v>
      </c>
      <c r="R696" t="s">
        <v>50</v>
      </c>
      <c r="S696" t="str">
        <f t="shared" si="134"/>
        <v>First Class</v>
      </c>
      <c r="T696">
        <v>5</v>
      </c>
      <c r="U696">
        <v>2736.24</v>
      </c>
      <c r="V696">
        <v>0.15</v>
      </c>
      <c r="W696">
        <f t="shared" si="135"/>
        <v>0.15</v>
      </c>
      <c r="X696" t="str">
        <f t="shared" si="136"/>
        <v/>
      </c>
      <c r="Y696">
        <v>11629.02</v>
      </c>
      <c r="Z696">
        <f t="shared" si="137"/>
        <v>11629.019999999999</v>
      </c>
      <c r="AA696">
        <v>9627.2099999999991</v>
      </c>
      <c r="AB696">
        <v>2001.81</v>
      </c>
      <c r="AC696">
        <f t="shared" si="138"/>
        <v>8892.7799999999988</v>
      </c>
      <c r="AD696" s="6">
        <f t="shared" si="139"/>
        <v>0.76470588235294112</v>
      </c>
      <c r="AE696" t="s">
        <v>32</v>
      </c>
      <c r="AF696" t="s">
        <v>33</v>
      </c>
      <c r="AG696">
        <f t="shared" si="140"/>
        <v>8</v>
      </c>
      <c r="AH696">
        <f t="shared" si="141"/>
        <v>2025</v>
      </c>
      <c r="AI696" t="str">
        <f t="shared" si="142"/>
        <v>CLEAN</v>
      </c>
    </row>
    <row r="697" spans="1:35">
      <c r="A697" t="s">
        <v>2164</v>
      </c>
      <c r="B697">
        <f t="shared" si="130"/>
        <v>1</v>
      </c>
      <c r="C697" t="str">
        <f>IF(COUNTIF($A$2:A697, A697)&gt;1, "DUPLICATE_FLAGGED_FOR_REVIEW", "")</f>
        <v/>
      </c>
      <c r="D697" s="3">
        <v>45474</v>
      </c>
      <c r="E697" s="2">
        <v>45474</v>
      </c>
      <c r="F697" s="2" t="str">
        <f t="shared" si="131"/>
        <v>OK</v>
      </c>
      <c r="G697" s="4">
        <f t="shared" si="132"/>
        <v>0</v>
      </c>
      <c r="H697" t="s">
        <v>2165</v>
      </c>
      <c r="I697" t="s">
        <v>128</v>
      </c>
      <c r="J697" t="s">
        <v>24</v>
      </c>
      <c r="K697" t="s">
        <v>63</v>
      </c>
      <c r="L697" t="str">
        <f t="shared" si="133"/>
        <v>West</v>
      </c>
      <c r="M697" t="s">
        <v>72</v>
      </c>
      <c r="N697" t="s">
        <v>73</v>
      </c>
      <c r="O697" t="s">
        <v>74</v>
      </c>
      <c r="P697" t="s">
        <v>274</v>
      </c>
      <c r="Q697" t="s">
        <v>2166</v>
      </c>
      <c r="R697" t="s">
        <v>59</v>
      </c>
      <c r="S697" t="str">
        <f t="shared" si="134"/>
        <v>Standard Class</v>
      </c>
      <c r="T697">
        <v>4</v>
      </c>
      <c r="U697">
        <v>257.39</v>
      </c>
      <c r="V697">
        <v>0</v>
      </c>
      <c r="W697">
        <f t="shared" si="135"/>
        <v>0</v>
      </c>
      <c r="X697" t="str">
        <f t="shared" si="136"/>
        <v/>
      </c>
      <c r="Y697">
        <v>1029.56</v>
      </c>
      <c r="Z697">
        <f t="shared" si="137"/>
        <v>1029.56</v>
      </c>
      <c r="AA697">
        <v>626.33000000000004</v>
      </c>
      <c r="AB697">
        <v>403.23</v>
      </c>
      <c r="AC697">
        <f t="shared" si="138"/>
        <v>772.17</v>
      </c>
      <c r="AD697" s="6">
        <f t="shared" si="139"/>
        <v>0.75</v>
      </c>
      <c r="AE697" t="s">
        <v>32</v>
      </c>
      <c r="AF697" t="s">
        <v>33</v>
      </c>
      <c r="AG697">
        <f t="shared" si="140"/>
        <v>7</v>
      </c>
      <c r="AH697">
        <f t="shared" si="141"/>
        <v>2024</v>
      </c>
      <c r="AI697" t="str">
        <f t="shared" si="142"/>
        <v>CLEAN</v>
      </c>
    </row>
    <row r="698" spans="1:35">
      <c r="A698" t="s">
        <v>2167</v>
      </c>
      <c r="B698">
        <f t="shared" si="130"/>
        <v>1</v>
      </c>
      <c r="C698" t="str">
        <f>IF(COUNTIF($A$2:A698, A698)&gt;1, "DUPLICATE_FLAGGED_FOR_REVIEW", "")</f>
        <v/>
      </c>
      <c r="D698" s="3">
        <v>45922</v>
      </c>
      <c r="E698" s="2">
        <v>45925</v>
      </c>
      <c r="F698" s="2" t="str">
        <f t="shared" si="131"/>
        <v>OK</v>
      </c>
      <c r="G698" s="4">
        <f t="shared" si="132"/>
        <v>3</v>
      </c>
      <c r="H698" t="s">
        <v>2168</v>
      </c>
      <c r="I698" t="s">
        <v>47</v>
      </c>
      <c r="J698" t="s">
        <v>37</v>
      </c>
      <c r="K698" t="s">
        <v>54</v>
      </c>
      <c r="L698" t="str">
        <f t="shared" si="133"/>
        <v>South</v>
      </c>
      <c r="M698" t="s">
        <v>185</v>
      </c>
      <c r="N698" t="s">
        <v>186</v>
      </c>
      <c r="O698" t="s">
        <v>74</v>
      </c>
      <c r="P698" t="s">
        <v>171</v>
      </c>
      <c r="Q698" t="s">
        <v>2169</v>
      </c>
      <c r="R698" t="s">
        <v>2760</v>
      </c>
      <c r="S698" t="str">
        <f t="shared" si="134"/>
        <v>Unknown</v>
      </c>
      <c r="T698">
        <v>4</v>
      </c>
      <c r="U698">
        <v>1178.8399999999999</v>
      </c>
      <c r="V698">
        <v>0.25</v>
      </c>
      <c r="W698">
        <f t="shared" si="135"/>
        <v>0.25</v>
      </c>
      <c r="X698" t="str">
        <f t="shared" si="136"/>
        <v/>
      </c>
      <c r="Y698">
        <v>3536.52</v>
      </c>
      <c r="Z698">
        <f t="shared" si="137"/>
        <v>3536.5199999999995</v>
      </c>
      <c r="AA698">
        <v>2102.41</v>
      </c>
      <c r="AB698">
        <v>1363.28</v>
      </c>
      <c r="AC698">
        <f t="shared" si="138"/>
        <v>2357.6799999999994</v>
      </c>
      <c r="AD698" s="6">
        <f t="shared" si="139"/>
        <v>0.66666666666666663</v>
      </c>
      <c r="AE698" t="s">
        <v>32</v>
      </c>
      <c r="AF698" t="s">
        <v>33</v>
      </c>
      <c r="AG698">
        <f t="shared" si="140"/>
        <v>9</v>
      </c>
      <c r="AH698">
        <f t="shared" si="141"/>
        <v>2025</v>
      </c>
      <c r="AI698" t="str">
        <f t="shared" si="142"/>
        <v>WARNING</v>
      </c>
    </row>
    <row r="699" spans="1:35">
      <c r="A699" t="s">
        <v>2170</v>
      </c>
      <c r="B699">
        <f t="shared" si="130"/>
        <v>1</v>
      </c>
      <c r="C699" t="str">
        <f>IF(COUNTIF($A$2:A699, A699)&gt;1, "DUPLICATE_FLAGGED_FOR_REVIEW", "")</f>
        <v/>
      </c>
      <c r="D699" s="3">
        <v>45660</v>
      </c>
      <c r="E699" s="2">
        <v>45723</v>
      </c>
      <c r="F699" s="2" t="str">
        <f t="shared" si="131"/>
        <v>OK</v>
      </c>
      <c r="G699" s="4">
        <f t="shared" si="132"/>
        <v>63</v>
      </c>
      <c r="H699" t="s">
        <v>2171</v>
      </c>
      <c r="I699" t="s">
        <v>53</v>
      </c>
      <c r="J699" t="s">
        <v>90</v>
      </c>
      <c r="K699" t="s">
        <v>54</v>
      </c>
      <c r="L699" t="str">
        <f t="shared" si="133"/>
        <v>South</v>
      </c>
      <c r="M699" t="s">
        <v>84</v>
      </c>
      <c r="N699" t="s">
        <v>85</v>
      </c>
      <c r="O699" t="s">
        <v>28</v>
      </c>
      <c r="P699" t="s">
        <v>91</v>
      </c>
      <c r="Q699" t="s">
        <v>2172</v>
      </c>
      <c r="R699" t="s">
        <v>50</v>
      </c>
      <c r="S699" t="str">
        <f t="shared" si="134"/>
        <v>First Class</v>
      </c>
      <c r="T699">
        <v>7</v>
      </c>
      <c r="U699">
        <v>567.15</v>
      </c>
      <c r="W699">
        <f t="shared" si="135"/>
        <v>0</v>
      </c>
      <c r="X699" t="str">
        <f t="shared" si="136"/>
        <v>DISCOUNT_MISSING_SET_TO_0</v>
      </c>
      <c r="Y699">
        <v>2977.54</v>
      </c>
      <c r="Z699">
        <f t="shared" si="137"/>
        <v>3970.0499999999997</v>
      </c>
      <c r="AA699">
        <v>1849.3</v>
      </c>
      <c r="AB699">
        <v>1128.24</v>
      </c>
      <c r="AC699">
        <f t="shared" si="138"/>
        <v>3402.8999999999996</v>
      </c>
      <c r="AD699" s="6">
        <f t="shared" si="139"/>
        <v>0.8571428571428571</v>
      </c>
      <c r="AE699" t="s">
        <v>102</v>
      </c>
      <c r="AF699" t="s">
        <v>103</v>
      </c>
      <c r="AG699">
        <f t="shared" si="140"/>
        <v>1</v>
      </c>
      <c r="AH699">
        <f t="shared" si="141"/>
        <v>2025</v>
      </c>
      <c r="AI699" t="str">
        <f t="shared" si="142"/>
        <v>WARNING</v>
      </c>
    </row>
    <row r="700" spans="1:35">
      <c r="A700" t="s">
        <v>2173</v>
      </c>
      <c r="B700">
        <f t="shared" si="130"/>
        <v>1</v>
      </c>
      <c r="C700" t="str">
        <f>IF(COUNTIF($A$2:A700, A700)&gt;1, "DUPLICATE_FLAGGED_FOR_REVIEW", "")</f>
        <v/>
      </c>
      <c r="D700" s="3">
        <v>45549</v>
      </c>
      <c r="E700" s="2">
        <v>45549</v>
      </c>
      <c r="F700" s="2" t="str">
        <f t="shared" si="131"/>
        <v>OK</v>
      </c>
      <c r="G700" s="4">
        <f t="shared" si="132"/>
        <v>0</v>
      </c>
      <c r="H700" t="s">
        <v>2174</v>
      </c>
      <c r="I700" t="s">
        <v>36</v>
      </c>
      <c r="J700" t="s">
        <v>90</v>
      </c>
      <c r="K700" t="s">
        <v>25</v>
      </c>
      <c r="L700" t="str">
        <f t="shared" si="133"/>
        <v>North</v>
      </c>
      <c r="M700" t="s">
        <v>26</v>
      </c>
      <c r="N700" t="s">
        <v>27</v>
      </c>
      <c r="O700" t="s">
        <v>74</v>
      </c>
      <c r="P700" t="s">
        <v>274</v>
      </c>
      <c r="Q700" t="s">
        <v>2175</v>
      </c>
      <c r="R700" t="s">
        <v>59</v>
      </c>
      <c r="S700" t="str">
        <f t="shared" si="134"/>
        <v>Standard Class</v>
      </c>
      <c r="T700">
        <v>8</v>
      </c>
      <c r="U700">
        <v>4081.66</v>
      </c>
      <c r="V700">
        <v>0.15</v>
      </c>
      <c r="W700">
        <f t="shared" si="135"/>
        <v>0.15</v>
      </c>
      <c r="X700" t="str">
        <f t="shared" si="136"/>
        <v/>
      </c>
      <c r="Y700">
        <v>28208.1</v>
      </c>
      <c r="Z700">
        <f t="shared" si="137"/>
        <v>27755.287999999997</v>
      </c>
      <c r="AA700">
        <v>23751.91</v>
      </c>
      <c r="AB700">
        <v>4003.38</v>
      </c>
      <c r="AC700">
        <f t="shared" si="138"/>
        <v>23673.627999999997</v>
      </c>
      <c r="AD700" s="6">
        <f t="shared" si="139"/>
        <v>0.8529411764705882</v>
      </c>
      <c r="AE700" t="s">
        <v>32</v>
      </c>
      <c r="AF700" t="s">
        <v>103</v>
      </c>
      <c r="AG700">
        <f t="shared" si="140"/>
        <v>9</v>
      </c>
      <c r="AH700">
        <f t="shared" si="141"/>
        <v>2024</v>
      </c>
      <c r="AI700" t="str">
        <f t="shared" si="142"/>
        <v>CLEAN</v>
      </c>
    </row>
    <row r="701" spans="1:35">
      <c r="A701" t="s">
        <v>2176</v>
      </c>
      <c r="B701">
        <f t="shared" si="130"/>
        <v>1</v>
      </c>
      <c r="C701" t="str">
        <f>IF(COUNTIF($A$2:A701, A701)&gt;1, "DUPLICATE_FLAGGED_FOR_REVIEW", "")</f>
        <v/>
      </c>
      <c r="D701" s="3">
        <v>45454</v>
      </c>
      <c r="E701" s="2">
        <v>45454</v>
      </c>
      <c r="F701" s="2" t="str">
        <f t="shared" si="131"/>
        <v>OK</v>
      </c>
      <c r="G701" s="4">
        <f t="shared" si="132"/>
        <v>0</v>
      </c>
      <c r="H701" t="s">
        <v>2177</v>
      </c>
      <c r="I701" t="s">
        <v>53</v>
      </c>
      <c r="J701" t="s">
        <v>37</v>
      </c>
      <c r="K701" t="s">
        <v>54</v>
      </c>
      <c r="L701" t="str">
        <f t="shared" si="133"/>
        <v>South</v>
      </c>
      <c r="M701" t="s">
        <v>175</v>
      </c>
      <c r="N701" t="s">
        <v>176</v>
      </c>
      <c r="O701" t="s">
        <v>41</v>
      </c>
      <c r="P701" t="s">
        <v>158</v>
      </c>
      <c r="Q701" t="s">
        <v>2178</v>
      </c>
      <c r="R701" t="s">
        <v>59</v>
      </c>
      <c r="S701" t="str">
        <f t="shared" si="134"/>
        <v>Standard Class</v>
      </c>
      <c r="T701">
        <v>9</v>
      </c>
      <c r="U701">
        <v>1400.11</v>
      </c>
      <c r="V701">
        <v>0.25</v>
      </c>
      <c r="W701">
        <f t="shared" si="135"/>
        <v>0.25</v>
      </c>
      <c r="X701" t="str">
        <f t="shared" si="136"/>
        <v/>
      </c>
      <c r="Y701">
        <v>9450.74</v>
      </c>
      <c r="Z701">
        <f t="shared" si="137"/>
        <v>9450.7425000000003</v>
      </c>
      <c r="AA701">
        <v>7798.56</v>
      </c>
      <c r="AB701">
        <v>1652.18</v>
      </c>
      <c r="AC701">
        <f t="shared" si="138"/>
        <v>8050.6325000000006</v>
      </c>
      <c r="AD701" s="6">
        <f t="shared" si="139"/>
        <v>0.85185185185185186</v>
      </c>
      <c r="AE701" t="s">
        <v>32</v>
      </c>
      <c r="AF701" t="s">
        <v>33</v>
      </c>
      <c r="AG701">
        <f t="shared" si="140"/>
        <v>6</v>
      </c>
      <c r="AH701">
        <f t="shared" si="141"/>
        <v>2024</v>
      </c>
      <c r="AI701" t="str">
        <f t="shared" si="142"/>
        <v>CLEAN</v>
      </c>
    </row>
    <row r="702" spans="1:35">
      <c r="A702" t="s">
        <v>2179</v>
      </c>
      <c r="B702">
        <f t="shared" si="130"/>
        <v>1</v>
      </c>
      <c r="C702" t="str">
        <f>IF(COUNTIF($A$2:A702, A702)&gt;1, "DUPLICATE_FLAGGED_FOR_REVIEW", "")</f>
        <v/>
      </c>
      <c r="D702" s="3">
        <v>45553</v>
      </c>
      <c r="E702" s="2">
        <v>45556</v>
      </c>
      <c r="F702" s="2" t="str">
        <f t="shared" si="131"/>
        <v>OK</v>
      </c>
      <c r="G702" s="4">
        <f t="shared" si="132"/>
        <v>3</v>
      </c>
      <c r="H702" t="s">
        <v>2180</v>
      </c>
      <c r="I702" t="s">
        <v>79</v>
      </c>
      <c r="J702" t="s">
        <v>90</v>
      </c>
      <c r="K702" t="s">
        <v>38</v>
      </c>
      <c r="L702" t="str">
        <f t="shared" si="133"/>
        <v>East</v>
      </c>
      <c r="M702" t="s">
        <v>99</v>
      </c>
      <c r="N702" t="s">
        <v>100</v>
      </c>
      <c r="O702" t="s">
        <v>74</v>
      </c>
      <c r="P702" t="s">
        <v>274</v>
      </c>
      <c r="Q702" t="s">
        <v>2181</v>
      </c>
      <c r="R702" t="s">
        <v>59</v>
      </c>
      <c r="S702" t="str">
        <f t="shared" si="134"/>
        <v>Standard Class</v>
      </c>
      <c r="T702">
        <v>3</v>
      </c>
      <c r="U702">
        <v>3055.9</v>
      </c>
      <c r="V702">
        <v>0.15</v>
      </c>
      <c r="W702">
        <f t="shared" si="135"/>
        <v>0.15</v>
      </c>
      <c r="X702" t="str">
        <f t="shared" si="136"/>
        <v/>
      </c>
      <c r="Y702">
        <v>7792.55</v>
      </c>
      <c r="Z702">
        <f t="shared" si="137"/>
        <v>7792.5450000000001</v>
      </c>
      <c r="AA702">
        <v>4691.7299999999996</v>
      </c>
      <c r="AB702">
        <v>3100.82</v>
      </c>
      <c r="AC702">
        <f t="shared" si="138"/>
        <v>4736.6450000000004</v>
      </c>
      <c r="AD702" s="6">
        <f t="shared" si="139"/>
        <v>0.60784313725490202</v>
      </c>
      <c r="AE702" t="s">
        <v>32</v>
      </c>
      <c r="AF702" t="s">
        <v>33</v>
      </c>
      <c r="AG702">
        <f t="shared" si="140"/>
        <v>9</v>
      </c>
      <c r="AH702">
        <f t="shared" si="141"/>
        <v>2024</v>
      </c>
      <c r="AI702" t="str">
        <f t="shared" si="142"/>
        <v>CLEAN</v>
      </c>
    </row>
    <row r="703" spans="1:35">
      <c r="A703" t="s">
        <v>2182</v>
      </c>
      <c r="B703">
        <f t="shared" si="130"/>
        <v>1</v>
      </c>
      <c r="C703" t="str">
        <f>IF(COUNTIF($A$2:A703, A703)&gt;1, "DUPLICATE_FLAGGED_FOR_REVIEW", "")</f>
        <v/>
      </c>
      <c r="D703" s="3">
        <v>45412</v>
      </c>
      <c r="E703" s="2">
        <v>45416</v>
      </c>
      <c r="F703" s="2" t="str">
        <f t="shared" si="131"/>
        <v>OK</v>
      </c>
      <c r="G703" s="4">
        <f t="shared" si="132"/>
        <v>4</v>
      </c>
      <c r="H703" t="s">
        <v>2183</v>
      </c>
      <c r="I703" t="s">
        <v>141</v>
      </c>
      <c r="J703" t="s">
        <v>37</v>
      </c>
      <c r="K703" t="s">
        <v>63</v>
      </c>
      <c r="L703" t="str">
        <f t="shared" si="133"/>
        <v>West</v>
      </c>
      <c r="M703" t="s">
        <v>180</v>
      </c>
      <c r="N703" t="s">
        <v>181</v>
      </c>
      <c r="O703" t="s">
        <v>28</v>
      </c>
      <c r="P703" t="s">
        <v>48</v>
      </c>
      <c r="Q703" t="s">
        <v>2184</v>
      </c>
      <c r="R703" t="s">
        <v>44</v>
      </c>
      <c r="S703" t="str">
        <f t="shared" si="134"/>
        <v>Same Day</v>
      </c>
      <c r="T703">
        <v>7</v>
      </c>
      <c r="U703">
        <v>1224.94</v>
      </c>
      <c r="V703">
        <v>0</v>
      </c>
      <c r="W703">
        <f t="shared" si="135"/>
        <v>0</v>
      </c>
      <c r="X703" t="str">
        <f t="shared" si="136"/>
        <v/>
      </c>
      <c r="Y703">
        <v>8574.58</v>
      </c>
      <c r="Z703">
        <f t="shared" si="137"/>
        <v>8574.58</v>
      </c>
      <c r="AA703">
        <v>6685.81</v>
      </c>
      <c r="AB703">
        <v>1888.77</v>
      </c>
      <c r="AC703">
        <f t="shared" si="138"/>
        <v>7349.6399999999994</v>
      </c>
      <c r="AD703" s="6">
        <f t="shared" si="139"/>
        <v>0.8571428571428571</v>
      </c>
      <c r="AE703" t="s">
        <v>32</v>
      </c>
      <c r="AF703" t="s">
        <v>103</v>
      </c>
      <c r="AG703">
        <f t="shared" si="140"/>
        <v>4</v>
      </c>
      <c r="AH703">
        <f t="shared" si="141"/>
        <v>2024</v>
      </c>
      <c r="AI703" t="str">
        <f t="shared" si="142"/>
        <v>CLEAN</v>
      </c>
    </row>
    <row r="704" spans="1:35">
      <c r="A704" t="s">
        <v>2185</v>
      </c>
      <c r="B704">
        <f t="shared" si="130"/>
        <v>1</v>
      </c>
      <c r="C704" t="str">
        <f>IF(COUNTIF($A$2:A704, A704)&gt;1, "DUPLICATE_FLAGGED_FOR_REVIEW", "")</f>
        <v/>
      </c>
      <c r="D704" s="3">
        <v>45690</v>
      </c>
      <c r="E704" s="2">
        <v>45810</v>
      </c>
      <c r="F704" s="2" t="str">
        <f t="shared" si="131"/>
        <v>OK</v>
      </c>
      <c r="G704" s="4">
        <f t="shared" si="132"/>
        <v>120</v>
      </c>
      <c r="H704" t="s">
        <v>2186</v>
      </c>
      <c r="I704" t="s">
        <v>23</v>
      </c>
      <c r="J704" t="s">
        <v>37</v>
      </c>
      <c r="K704" t="s">
        <v>63</v>
      </c>
      <c r="L704" t="str">
        <f t="shared" si="133"/>
        <v>West</v>
      </c>
      <c r="M704" t="s">
        <v>26</v>
      </c>
      <c r="N704" t="s">
        <v>109</v>
      </c>
      <c r="O704" t="s">
        <v>41</v>
      </c>
      <c r="P704" t="s">
        <v>42</v>
      </c>
      <c r="Q704" t="s">
        <v>2187</v>
      </c>
      <c r="R704" t="s">
        <v>31</v>
      </c>
      <c r="S704" t="str">
        <f t="shared" si="134"/>
        <v>Second Class</v>
      </c>
      <c r="T704">
        <v>3</v>
      </c>
      <c r="U704">
        <v>997.34</v>
      </c>
      <c r="V704">
        <v>0.1</v>
      </c>
      <c r="W704">
        <f t="shared" si="135"/>
        <v>0.1</v>
      </c>
      <c r="X704" t="str">
        <f t="shared" si="136"/>
        <v/>
      </c>
      <c r="Y704">
        <v>2692.82</v>
      </c>
      <c r="Z704">
        <f t="shared" si="137"/>
        <v>2692.8180000000002</v>
      </c>
      <c r="AA704">
        <v>1820.08</v>
      </c>
      <c r="AB704">
        <v>872.74</v>
      </c>
      <c r="AC704">
        <f t="shared" si="138"/>
        <v>1695.4780000000001</v>
      </c>
      <c r="AD704" s="6">
        <f t="shared" si="139"/>
        <v>0.62962962962962965</v>
      </c>
      <c r="AE704" t="s">
        <v>32</v>
      </c>
      <c r="AF704" t="s">
        <v>33</v>
      </c>
      <c r="AG704">
        <f t="shared" si="140"/>
        <v>2</v>
      </c>
      <c r="AH704">
        <f t="shared" si="141"/>
        <v>2025</v>
      </c>
      <c r="AI704" t="str">
        <f t="shared" si="142"/>
        <v>CLEAN</v>
      </c>
    </row>
    <row r="705" spans="1:35">
      <c r="A705" t="s">
        <v>2188</v>
      </c>
      <c r="B705">
        <f t="shared" si="130"/>
        <v>1</v>
      </c>
      <c r="C705" t="str">
        <f>IF(COUNTIF($A$2:A705, A705)&gt;1, "DUPLICATE_FLAGGED_FOR_REVIEW", "")</f>
        <v/>
      </c>
      <c r="D705" s="3">
        <v>45584</v>
      </c>
      <c r="E705" s="2">
        <v>45585</v>
      </c>
      <c r="F705" s="2" t="str">
        <f t="shared" si="131"/>
        <v>OK</v>
      </c>
      <c r="G705" s="4">
        <f t="shared" si="132"/>
        <v>1</v>
      </c>
      <c r="H705" t="s">
        <v>2189</v>
      </c>
      <c r="I705" t="s">
        <v>89</v>
      </c>
      <c r="J705" t="s">
        <v>90</v>
      </c>
      <c r="K705" t="s">
        <v>25</v>
      </c>
      <c r="L705" t="str">
        <f t="shared" si="133"/>
        <v>North</v>
      </c>
      <c r="M705" t="s">
        <v>26</v>
      </c>
      <c r="N705" t="s">
        <v>27</v>
      </c>
      <c r="O705" t="s">
        <v>41</v>
      </c>
      <c r="P705" t="s">
        <v>42</v>
      </c>
      <c r="Q705" t="s">
        <v>2190</v>
      </c>
      <c r="R705" t="s">
        <v>50</v>
      </c>
      <c r="S705" t="str">
        <f t="shared" si="134"/>
        <v>First Class</v>
      </c>
      <c r="T705">
        <v>1</v>
      </c>
      <c r="U705">
        <v>1150.03</v>
      </c>
      <c r="V705">
        <v>0.1</v>
      </c>
      <c r="W705">
        <f t="shared" si="135"/>
        <v>0.1</v>
      </c>
      <c r="X705" t="str">
        <f t="shared" si="136"/>
        <v/>
      </c>
      <c r="Y705">
        <v>1035.03</v>
      </c>
      <c r="Z705">
        <f t="shared" si="137"/>
        <v>1035.027</v>
      </c>
      <c r="AA705">
        <v>854.35</v>
      </c>
      <c r="AB705">
        <v>180.68</v>
      </c>
      <c r="AC705">
        <f t="shared" si="138"/>
        <v>-115.00299999999993</v>
      </c>
      <c r="AD705" s="6">
        <f t="shared" si="139"/>
        <v>-0.11111111111111104</v>
      </c>
      <c r="AE705" t="s">
        <v>32</v>
      </c>
      <c r="AF705" t="s">
        <v>33</v>
      </c>
      <c r="AG705">
        <f t="shared" si="140"/>
        <v>10</v>
      </c>
      <c r="AH705">
        <f t="shared" si="141"/>
        <v>2024</v>
      </c>
      <c r="AI705" t="str">
        <f t="shared" si="142"/>
        <v>CLEAN</v>
      </c>
    </row>
    <row r="706" spans="1:35">
      <c r="A706" t="s">
        <v>2191</v>
      </c>
      <c r="B706">
        <f t="shared" si="130"/>
        <v>1</v>
      </c>
      <c r="C706" t="str">
        <f>IF(COUNTIF($A$2:A706, A706)&gt;1, "DUPLICATE_FLAGGED_FOR_REVIEW", "")</f>
        <v/>
      </c>
      <c r="D706" s="3">
        <v>45364</v>
      </c>
      <c r="E706" s="2">
        <v>45371</v>
      </c>
      <c r="F706" s="2" t="str">
        <f t="shared" si="131"/>
        <v>OK</v>
      </c>
      <c r="G706" s="4">
        <f t="shared" si="132"/>
        <v>7</v>
      </c>
      <c r="H706" t="s">
        <v>2192</v>
      </c>
      <c r="I706" t="s">
        <v>114</v>
      </c>
      <c r="J706" t="s">
        <v>95</v>
      </c>
      <c r="K706" t="s">
        <v>54</v>
      </c>
      <c r="L706" t="str">
        <f t="shared" si="133"/>
        <v>South</v>
      </c>
      <c r="M706" t="s">
        <v>247</v>
      </c>
      <c r="N706" t="s">
        <v>248</v>
      </c>
      <c r="O706" t="s">
        <v>41</v>
      </c>
      <c r="P706" t="s">
        <v>158</v>
      </c>
      <c r="Q706" t="s">
        <v>2193</v>
      </c>
      <c r="R706" t="s">
        <v>2760</v>
      </c>
      <c r="S706" t="str">
        <f t="shared" si="134"/>
        <v>Unknown</v>
      </c>
      <c r="T706">
        <v>1</v>
      </c>
      <c r="U706">
        <v>2825.63</v>
      </c>
      <c r="V706">
        <v>0.15</v>
      </c>
      <c r="W706">
        <f t="shared" si="135"/>
        <v>0.15</v>
      </c>
      <c r="X706" t="str">
        <f t="shared" si="136"/>
        <v/>
      </c>
      <c r="Y706">
        <v>2401.79</v>
      </c>
      <c r="Z706">
        <f t="shared" si="137"/>
        <v>2401.7855</v>
      </c>
      <c r="AA706">
        <v>1820.34</v>
      </c>
      <c r="AB706">
        <v>581.45000000000005</v>
      </c>
      <c r="AC706">
        <f t="shared" si="138"/>
        <v>-423.84450000000015</v>
      </c>
      <c r="AD706" s="6">
        <f t="shared" si="139"/>
        <v>-0.17647058823529418</v>
      </c>
      <c r="AE706" t="s">
        <v>32</v>
      </c>
      <c r="AF706" t="s">
        <v>33</v>
      </c>
      <c r="AG706">
        <f t="shared" si="140"/>
        <v>3</v>
      </c>
      <c r="AH706">
        <f t="shared" si="141"/>
        <v>2024</v>
      </c>
      <c r="AI706" t="str">
        <f t="shared" si="142"/>
        <v>WARNING</v>
      </c>
    </row>
    <row r="707" spans="1:35">
      <c r="A707" t="s">
        <v>2194</v>
      </c>
      <c r="B707">
        <f t="shared" ref="B707:B770" si="143">COUNTIF($A$2:$A$932, A707)</f>
        <v>1</v>
      </c>
      <c r="C707" t="str">
        <f>IF(COUNTIF($A$2:A707, A707)&gt;1, "DUPLICATE_FLAGGED_FOR_REVIEW", "")</f>
        <v/>
      </c>
      <c r="D707" s="3">
        <v>45543</v>
      </c>
      <c r="E707" s="2">
        <v>45549</v>
      </c>
      <c r="F707" s="2" t="str">
        <f t="shared" ref="F707:F770" si="144">IF(E707&lt;D707, "ERROR: Ship before order", "OK")</f>
        <v>OK</v>
      </c>
      <c r="G707" s="4">
        <f t="shared" ref="G707:G770" si="145">IF(AND(ISNUMBER(E707),ISNUMBER(D707)), E707-D707, "")</f>
        <v>6</v>
      </c>
      <c r="H707" t="s">
        <v>2195</v>
      </c>
      <c r="I707" t="s">
        <v>141</v>
      </c>
      <c r="J707" t="s">
        <v>24</v>
      </c>
      <c r="K707" t="s">
        <v>25</v>
      </c>
      <c r="L707" t="str">
        <f t="shared" ref="L707:L770" si="146">IF(OR(K707="",ISBLANK(K707)), "Unknown", K707)</f>
        <v>North</v>
      </c>
      <c r="M707" t="s">
        <v>26</v>
      </c>
      <c r="N707" t="s">
        <v>27</v>
      </c>
      <c r="O707" t="s">
        <v>28</v>
      </c>
      <c r="P707" t="s">
        <v>153</v>
      </c>
      <c r="Q707" t="s">
        <v>2196</v>
      </c>
      <c r="R707" t="s">
        <v>59</v>
      </c>
      <c r="S707" t="str">
        <f t="shared" ref="S707:S770" si="147">IF(OR(R707="",ISBLANK(R707)), "Unknown", R707)</f>
        <v>Standard Class</v>
      </c>
      <c r="T707">
        <v>5</v>
      </c>
      <c r="U707">
        <v>3371.75</v>
      </c>
      <c r="V707">
        <v>0.05</v>
      </c>
      <c r="W707">
        <f t="shared" ref="W707:W770" si="148">IF(ISBLANK(V707), IF(AND(ISNUMBER(T707), ISNUMBER(U707)), 0, ""), IF(V707&lt;0, V707, IF(V707&gt;0.5, V707, V707)))</f>
        <v>0.05</v>
      </c>
      <c r="X707" t="str">
        <f t="shared" ref="X707:X770" si="149">IF(V707&lt;0,"INVALID_NEGATIVE_DISCOUNT",IF(V707&gt;0.5,"INVALID_DISCOUNT_ABOVE_50PCT",IF(AND(ISBLANK(V707), ISNUMBER(T707), ISNUMBER(U707)),"DISCOUNT_MISSING_SET_TO_0","")))</f>
        <v/>
      </c>
      <c r="Y707">
        <v>16015.81</v>
      </c>
      <c r="Z707">
        <f t="shared" ref="Z707:Z770" si="150">T707 * U707 * (1 - W707)</f>
        <v>16015.8125</v>
      </c>
      <c r="AA707">
        <v>11352.38</v>
      </c>
      <c r="AB707">
        <v>4663.43</v>
      </c>
      <c r="AC707">
        <f t="shared" ref="AC707:AC770" si="151">Z707-U707</f>
        <v>12644.0625</v>
      </c>
      <c r="AD707" s="6">
        <f t="shared" ref="AD707:AD770" si="152">IF(Z707&lt;&gt;0, AC707 / Z707, 0)</f>
        <v>0.78947368421052633</v>
      </c>
      <c r="AE707" t="s">
        <v>32</v>
      </c>
      <c r="AF707" t="s">
        <v>33</v>
      </c>
      <c r="AG707">
        <f t="shared" ref="AG707:AG770" si="153">MONTH(D707)</f>
        <v>9</v>
      </c>
      <c r="AH707">
        <f t="shared" ref="AH707:AH770" si="154">YEAR(D707)</f>
        <v>2024</v>
      </c>
      <c r="AI707" t="str">
        <f t="shared" ref="AI707:AI770" si="155">IF(OR(X707="INVALID_NEGATIVE_DISCOUNT",X707="INVALID_DISCOUNT_ABOVE_50PCT",F707="ERROR: Ship before order"),"INVALID",IF(OR(L707="Unknown",S707="Unknown",X707="DISCOUNT_MISSING_SET_TO_0"),"WARNING","CLEAN"))</f>
        <v>CLEAN</v>
      </c>
    </row>
    <row r="708" spans="1:35">
      <c r="A708" t="s">
        <v>2197</v>
      </c>
      <c r="B708">
        <f t="shared" si="143"/>
        <v>1</v>
      </c>
      <c r="C708" t="str">
        <f>IF(COUNTIF($A$2:A708, A708)&gt;1, "DUPLICATE_FLAGGED_FOR_REVIEW", "")</f>
        <v/>
      </c>
      <c r="D708" s="3">
        <v>45467</v>
      </c>
      <c r="E708" s="2">
        <v>45471</v>
      </c>
      <c r="F708" s="2" t="str">
        <f t="shared" si="144"/>
        <v>OK</v>
      </c>
      <c r="G708" s="4">
        <f t="shared" si="145"/>
        <v>4</v>
      </c>
      <c r="H708" t="s">
        <v>2198</v>
      </c>
      <c r="I708" t="s">
        <v>47</v>
      </c>
      <c r="J708" t="s">
        <v>37</v>
      </c>
      <c r="K708" t="s">
        <v>38</v>
      </c>
      <c r="L708" t="str">
        <f t="shared" si="146"/>
        <v>East</v>
      </c>
      <c r="M708" t="s">
        <v>39</v>
      </c>
      <c r="N708" t="s">
        <v>40</v>
      </c>
      <c r="O708" t="s">
        <v>28</v>
      </c>
      <c r="P708" t="s">
        <v>29</v>
      </c>
      <c r="Q708" t="s">
        <v>2199</v>
      </c>
      <c r="R708" t="s">
        <v>44</v>
      </c>
      <c r="S708" t="str">
        <f t="shared" si="147"/>
        <v>Same Day</v>
      </c>
      <c r="T708">
        <v>1</v>
      </c>
      <c r="U708">
        <v>2112.75</v>
      </c>
      <c r="V708">
        <v>0.1</v>
      </c>
      <c r="W708">
        <f t="shared" si="148"/>
        <v>0.1</v>
      </c>
      <c r="X708" t="str">
        <f t="shared" si="149"/>
        <v/>
      </c>
      <c r="Y708">
        <v>1901.48</v>
      </c>
      <c r="Z708">
        <f t="shared" si="150"/>
        <v>1901.4750000000001</v>
      </c>
      <c r="AA708">
        <v>1354.28</v>
      </c>
      <c r="AB708">
        <v>547.20000000000005</v>
      </c>
      <c r="AC708">
        <f t="shared" si="151"/>
        <v>-211.27499999999986</v>
      </c>
      <c r="AD708" s="6">
        <f t="shared" si="152"/>
        <v>-0.11111111111111104</v>
      </c>
      <c r="AE708" t="s">
        <v>32</v>
      </c>
      <c r="AF708" t="s">
        <v>33</v>
      </c>
      <c r="AG708">
        <f t="shared" si="153"/>
        <v>6</v>
      </c>
      <c r="AH708">
        <f t="shared" si="154"/>
        <v>2024</v>
      </c>
      <c r="AI708" t="str">
        <f t="shared" si="155"/>
        <v>CLEAN</v>
      </c>
    </row>
    <row r="709" spans="1:35">
      <c r="A709" t="s">
        <v>2200</v>
      </c>
      <c r="B709">
        <f t="shared" si="143"/>
        <v>1</v>
      </c>
      <c r="C709" t="str">
        <f>IF(COUNTIF($A$2:A709, A709)&gt;1, "DUPLICATE_FLAGGED_FOR_REVIEW", "")</f>
        <v/>
      </c>
      <c r="D709" s="3">
        <v>45832</v>
      </c>
      <c r="E709" s="2">
        <v>45834</v>
      </c>
      <c r="F709" s="2" t="str">
        <f t="shared" si="144"/>
        <v>OK</v>
      </c>
      <c r="G709" s="4">
        <f t="shared" si="145"/>
        <v>2</v>
      </c>
      <c r="H709" t="s">
        <v>2201</v>
      </c>
      <c r="I709" t="s">
        <v>71</v>
      </c>
      <c r="J709" t="s">
        <v>24</v>
      </c>
      <c r="K709" t="s">
        <v>25</v>
      </c>
      <c r="L709" t="str">
        <f t="shared" si="146"/>
        <v>North</v>
      </c>
      <c r="M709" t="s">
        <v>26</v>
      </c>
      <c r="N709" t="s">
        <v>27</v>
      </c>
      <c r="O709" t="s">
        <v>74</v>
      </c>
      <c r="P709" t="s">
        <v>75</v>
      </c>
      <c r="Q709" t="s">
        <v>2202</v>
      </c>
      <c r="R709" t="s">
        <v>44</v>
      </c>
      <c r="S709" t="str">
        <f t="shared" si="147"/>
        <v>Same Day</v>
      </c>
      <c r="T709">
        <v>5</v>
      </c>
      <c r="U709">
        <v>3722.66</v>
      </c>
      <c r="V709">
        <v>0.55000000000000004</v>
      </c>
      <c r="W709">
        <f t="shared" si="148"/>
        <v>0.55000000000000004</v>
      </c>
      <c r="X709" t="str">
        <f t="shared" si="149"/>
        <v>INVALID_DISCOUNT_ABOVE_50PCT</v>
      </c>
      <c r="Y709">
        <v>16751.97</v>
      </c>
      <c r="Z709">
        <f t="shared" si="150"/>
        <v>8375.9849999999988</v>
      </c>
      <c r="AA709">
        <v>11678.32</v>
      </c>
      <c r="AB709">
        <v>5073.6499999999996</v>
      </c>
      <c r="AC709">
        <f t="shared" si="151"/>
        <v>4653.3249999999989</v>
      </c>
      <c r="AD709" s="6">
        <f t="shared" si="152"/>
        <v>0.55555555555555547</v>
      </c>
      <c r="AE709" t="s">
        <v>32</v>
      </c>
      <c r="AF709" t="s">
        <v>33</v>
      </c>
      <c r="AG709">
        <f t="shared" si="153"/>
        <v>6</v>
      </c>
      <c r="AH709">
        <f t="shared" si="154"/>
        <v>2025</v>
      </c>
      <c r="AI709" t="str">
        <f t="shared" si="155"/>
        <v>INVALID</v>
      </c>
    </row>
    <row r="710" spans="1:35">
      <c r="A710" t="s">
        <v>2203</v>
      </c>
      <c r="B710">
        <f t="shared" si="143"/>
        <v>1</v>
      </c>
      <c r="C710" t="str">
        <f>IF(COUNTIF($A$2:A710, A710)&gt;1, "DUPLICATE_FLAGGED_FOR_REVIEW", "")</f>
        <v/>
      </c>
      <c r="D710" s="3">
        <v>45736</v>
      </c>
      <c r="E710" s="2">
        <v>45742</v>
      </c>
      <c r="F710" s="2" t="str">
        <f t="shared" si="144"/>
        <v>OK</v>
      </c>
      <c r="G710" s="4">
        <f t="shared" si="145"/>
        <v>6</v>
      </c>
      <c r="H710" t="s">
        <v>2204</v>
      </c>
      <c r="I710" t="s">
        <v>132</v>
      </c>
      <c r="J710" t="s">
        <v>24</v>
      </c>
      <c r="K710" t="s">
        <v>38</v>
      </c>
      <c r="L710" t="str">
        <f t="shared" si="146"/>
        <v>East</v>
      </c>
      <c r="M710" t="s">
        <v>166</v>
      </c>
      <c r="N710" t="s">
        <v>167</v>
      </c>
      <c r="O710" t="s">
        <v>41</v>
      </c>
      <c r="P710" t="s">
        <v>158</v>
      </c>
      <c r="Q710" t="s">
        <v>2205</v>
      </c>
      <c r="R710" t="s">
        <v>50</v>
      </c>
      <c r="S710" t="str">
        <f t="shared" si="147"/>
        <v>First Class</v>
      </c>
      <c r="T710">
        <v>4</v>
      </c>
      <c r="U710">
        <v>4357.66</v>
      </c>
      <c r="V710">
        <v>0.05</v>
      </c>
      <c r="W710">
        <f t="shared" si="148"/>
        <v>0.05</v>
      </c>
      <c r="X710" t="str">
        <f t="shared" si="149"/>
        <v/>
      </c>
      <c r="Y710">
        <v>16559.11</v>
      </c>
      <c r="Z710">
        <f t="shared" si="150"/>
        <v>16559.108</v>
      </c>
      <c r="AA710">
        <v>13233.79</v>
      </c>
      <c r="AB710">
        <v>3325.32</v>
      </c>
      <c r="AC710">
        <f t="shared" si="151"/>
        <v>12201.448</v>
      </c>
      <c r="AD710" s="6">
        <f t="shared" si="152"/>
        <v>0.73684210526315785</v>
      </c>
      <c r="AE710" t="s">
        <v>32</v>
      </c>
      <c r="AF710" t="s">
        <v>33</v>
      </c>
      <c r="AG710">
        <f t="shared" si="153"/>
        <v>3</v>
      </c>
      <c r="AH710">
        <f t="shared" si="154"/>
        <v>2025</v>
      </c>
      <c r="AI710" t="str">
        <f t="shared" si="155"/>
        <v>CLEAN</v>
      </c>
    </row>
    <row r="711" spans="1:35">
      <c r="A711" t="s">
        <v>2206</v>
      </c>
      <c r="B711">
        <f t="shared" si="143"/>
        <v>1</v>
      </c>
      <c r="C711" t="str">
        <f>IF(COUNTIF($A$2:A711, A711)&gt;1, "DUPLICATE_FLAGGED_FOR_REVIEW", "")</f>
        <v/>
      </c>
      <c r="D711" s="3">
        <v>45676</v>
      </c>
      <c r="E711" s="2">
        <v>45680</v>
      </c>
      <c r="F711" s="2" t="str">
        <f t="shared" si="144"/>
        <v>OK</v>
      </c>
      <c r="G711" s="4">
        <f t="shared" si="145"/>
        <v>4</v>
      </c>
      <c r="H711" t="s">
        <v>2207</v>
      </c>
      <c r="I711" t="s">
        <v>264</v>
      </c>
      <c r="J711" t="s">
        <v>95</v>
      </c>
      <c r="K711" t="s">
        <v>25</v>
      </c>
      <c r="L711" t="str">
        <f t="shared" si="146"/>
        <v>North</v>
      </c>
      <c r="M711" t="s">
        <v>122</v>
      </c>
      <c r="N711" t="s">
        <v>123</v>
      </c>
      <c r="O711" t="s">
        <v>74</v>
      </c>
      <c r="P711" t="s">
        <v>171</v>
      </c>
      <c r="Q711" t="s">
        <v>2208</v>
      </c>
      <c r="R711" t="s">
        <v>44</v>
      </c>
      <c r="S711" t="str">
        <f t="shared" si="147"/>
        <v>Same Day</v>
      </c>
      <c r="T711">
        <v>7</v>
      </c>
      <c r="U711">
        <v>1363.04</v>
      </c>
      <c r="V711">
        <v>0.15</v>
      </c>
      <c r="W711">
        <f t="shared" si="148"/>
        <v>0.15</v>
      </c>
      <c r="X711" t="str">
        <f t="shared" si="149"/>
        <v/>
      </c>
      <c r="Y711">
        <v>8110.09</v>
      </c>
      <c r="Z711">
        <f t="shared" si="150"/>
        <v>8110.0879999999988</v>
      </c>
      <c r="AA711">
        <v>6417.32</v>
      </c>
      <c r="AB711">
        <v>1692.77</v>
      </c>
      <c r="AC711">
        <f t="shared" si="151"/>
        <v>6747.0479999999989</v>
      </c>
      <c r="AD711" s="6">
        <f t="shared" si="152"/>
        <v>0.83193277310924363</v>
      </c>
      <c r="AE711" t="s">
        <v>32</v>
      </c>
      <c r="AF711" t="s">
        <v>68</v>
      </c>
      <c r="AG711">
        <f t="shared" si="153"/>
        <v>1</v>
      </c>
      <c r="AH711">
        <f t="shared" si="154"/>
        <v>2025</v>
      </c>
      <c r="AI711" t="str">
        <f t="shared" si="155"/>
        <v>CLEAN</v>
      </c>
    </row>
    <row r="712" spans="1:35">
      <c r="A712" t="s">
        <v>2209</v>
      </c>
      <c r="B712">
        <f t="shared" si="143"/>
        <v>1</v>
      </c>
      <c r="C712" t="str">
        <f>IF(COUNTIF($A$2:A712, A712)&gt;1, "DUPLICATE_FLAGGED_FOR_REVIEW", "")</f>
        <v/>
      </c>
      <c r="D712" s="3">
        <v>45633</v>
      </c>
      <c r="E712" s="2">
        <v>45492</v>
      </c>
      <c r="F712" s="2" t="str">
        <f t="shared" si="144"/>
        <v>ERROR: Ship before order</v>
      </c>
      <c r="G712" s="4">
        <f t="shared" si="145"/>
        <v>-141</v>
      </c>
      <c r="H712" t="s">
        <v>2210</v>
      </c>
      <c r="I712" t="s">
        <v>71</v>
      </c>
      <c r="J712" t="s">
        <v>90</v>
      </c>
      <c r="K712" t="s">
        <v>25</v>
      </c>
      <c r="L712" t="str">
        <f t="shared" si="146"/>
        <v>North</v>
      </c>
      <c r="M712" t="s">
        <v>122</v>
      </c>
      <c r="N712" t="s">
        <v>123</v>
      </c>
      <c r="O712" t="s">
        <v>28</v>
      </c>
      <c r="P712" t="s">
        <v>48</v>
      </c>
      <c r="Q712" t="s">
        <v>2211</v>
      </c>
      <c r="R712" t="s">
        <v>31</v>
      </c>
      <c r="S712" t="str">
        <f t="shared" si="147"/>
        <v>Second Class</v>
      </c>
      <c r="T712">
        <v>5</v>
      </c>
      <c r="U712">
        <v>1559.16</v>
      </c>
      <c r="V712">
        <v>0.05</v>
      </c>
      <c r="W712">
        <f t="shared" si="148"/>
        <v>0.05</v>
      </c>
      <c r="X712" t="str">
        <f t="shared" si="149"/>
        <v/>
      </c>
      <c r="Y712">
        <v>7406.01</v>
      </c>
      <c r="Z712">
        <f t="shared" si="150"/>
        <v>7406.01</v>
      </c>
      <c r="AA712">
        <v>5941.74</v>
      </c>
      <c r="AB712">
        <v>1464.27</v>
      </c>
      <c r="AC712">
        <f t="shared" si="151"/>
        <v>5846.85</v>
      </c>
      <c r="AD712" s="6">
        <f t="shared" si="152"/>
        <v>0.78947368421052633</v>
      </c>
      <c r="AE712" t="s">
        <v>32</v>
      </c>
      <c r="AF712" t="s">
        <v>33</v>
      </c>
      <c r="AG712">
        <f t="shared" si="153"/>
        <v>12</v>
      </c>
      <c r="AH712">
        <f t="shared" si="154"/>
        <v>2024</v>
      </c>
      <c r="AI712" t="str">
        <f t="shared" si="155"/>
        <v>INVALID</v>
      </c>
    </row>
    <row r="713" spans="1:35">
      <c r="A713" t="s">
        <v>2212</v>
      </c>
      <c r="B713">
        <f t="shared" si="143"/>
        <v>1</v>
      </c>
      <c r="C713" t="str">
        <f>IF(COUNTIF($A$2:A713, A713)&gt;1, "DUPLICATE_FLAGGED_FOR_REVIEW", "")</f>
        <v/>
      </c>
      <c r="D713" s="3">
        <v>45690</v>
      </c>
      <c r="E713" s="2">
        <v>45690</v>
      </c>
      <c r="F713" s="2" t="str">
        <f t="shared" si="144"/>
        <v>OK</v>
      </c>
      <c r="G713" s="4">
        <f t="shared" si="145"/>
        <v>0</v>
      </c>
      <c r="H713" t="s">
        <v>2213</v>
      </c>
      <c r="I713" t="s">
        <v>264</v>
      </c>
      <c r="J713" t="s">
        <v>90</v>
      </c>
      <c r="K713" t="s">
        <v>38</v>
      </c>
      <c r="L713" t="str">
        <f t="shared" si="146"/>
        <v>East</v>
      </c>
      <c r="M713" t="s">
        <v>99</v>
      </c>
      <c r="N713" t="s">
        <v>100</v>
      </c>
      <c r="O713" t="s">
        <v>74</v>
      </c>
      <c r="P713" t="s">
        <v>274</v>
      </c>
      <c r="Q713" t="s">
        <v>2214</v>
      </c>
      <c r="R713" t="s">
        <v>50</v>
      </c>
      <c r="S713" t="str">
        <f t="shared" si="147"/>
        <v>First Class</v>
      </c>
      <c r="T713">
        <v>1</v>
      </c>
      <c r="U713">
        <v>4326.75</v>
      </c>
      <c r="V713">
        <v>0.05</v>
      </c>
      <c r="W713">
        <f t="shared" si="148"/>
        <v>0.05</v>
      </c>
      <c r="X713" t="str">
        <f t="shared" si="149"/>
        <v/>
      </c>
      <c r="Y713">
        <v>4110.41</v>
      </c>
      <c r="Z713">
        <f t="shared" si="150"/>
        <v>4110.4124999999995</v>
      </c>
      <c r="AA713">
        <v>2394.14</v>
      </c>
      <c r="AB713">
        <v>1716.27</v>
      </c>
      <c r="AC713">
        <f t="shared" si="151"/>
        <v>-216.33750000000055</v>
      </c>
      <c r="AD713" s="6">
        <f t="shared" si="152"/>
        <v>-5.2631578947368564E-2</v>
      </c>
      <c r="AE713" t="s">
        <v>111</v>
      </c>
      <c r="AF713" t="s">
        <v>103</v>
      </c>
      <c r="AG713">
        <f t="shared" si="153"/>
        <v>2</v>
      </c>
      <c r="AH713">
        <f t="shared" si="154"/>
        <v>2025</v>
      </c>
      <c r="AI713" t="str">
        <f t="shared" si="155"/>
        <v>CLEAN</v>
      </c>
    </row>
    <row r="714" spans="1:35">
      <c r="A714" t="s">
        <v>2215</v>
      </c>
      <c r="B714">
        <f t="shared" si="143"/>
        <v>1</v>
      </c>
      <c r="C714" t="str">
        <f>IF(COUNTIF($A$2:A714, A714)&gt;1, "DUPLICATE_FLAGGED_FOR_REVIEW", "")</f>
        <v/>
      </c>
      <c r="D714" s="3">
        <v>45332</v>
      </c>
      <c r="E714" s="2">
        <v>45340</v>
      </c>
      <c r="F714" s="2" t="str">
        <f t="shared" si="144"/>
        <v>OK</v>
      </c>
      <c r="G714" s="4">
        <f t="shared" si="145"/>
        <v>8</v>
      </c>
      <c r="H714" t="s">
        <v>2216</v>
      </c>
      <c r="I714" t="s">
        <v>47</v>
      </c>
      <c r="J714" t="s">
        <v>95</v>
      </c>
      <c r="K714" t="s">
        <v>63</v>
      </c>
      <c r="L714" t="str">
        <f t="shared" si="146"/>
        <v>West</v>
      </c>
      <c r="M714" t="s">
        <v>72</v>
      </c>
      <c r="N714" t="s">
        <v>73</v>
      </c>
      <c r="O714" t="s">
        <v>41</v>
      </c>
      <c r="P714" t="s">
        <v>66</v>
      </c>
      <c r="Q714" t="s">
        <v>2217</v>
      </c>
      <c r="R714" t="s">
        <v>50</v>
      </c>
      <c r="S714" t="str">
        <f t="shared" si="147"/>
        <v>First Class</v>
      </c>
      <c r="T714">
        <v>7</v>
      </c>
      <c r="U714">
        <v>1382.86</v>
      </c>
      <c r="V714">
        <v>0</v>
      </c>
      <c r="W714">
        <f t="shared" si="148"/>
        <v>0</v>
      </c>
      <c r="X714" t="str">
        <f t="shared" si="149"/>
        <v/>
      </c>
      <c r="Y714">
        <v>9680.02</v>
      </c>
      <c r="Z714">
        <f t="shared" si="150"/>
        <v>9680.0199999999986</v>
      </c>
      <c r="AA714">
        <v>6876.66</v>
      </c>
      <c r="AB714">
        <v>2803.36</v>
      </c>
      <c r="AC714">
        <f t="shared" si="151"/>
        <v>8297.159999999998</v>
      </c>
      <c r="AD714" s="6">
        <f t="shared" si="152"/>
        <v>0.8571428571428571</v>
      </c>
      <c r="AE714" t="s">
        <v>32</v>
      </c>
      <c r="AF714" t="s">
        <v>33</v>
      </c>
      <c r="AG714">
        <f t="shared" si="153"/>
        <v>2</v>
      </c>
      <c r="AH714">
        <f t="shared" si="154"/>
        <v>2024</v>
      </c>
      <c r="AI714" t="str">
        <f t="shared" si="155"/>
        <v>CLEAN</v>
      </c>
    </row>
    <row r="715" spans="1:35">
      <c r="A715" t="s">
        <v>2218</v>
      </c>
      <c r="B715">
        <f t="shared" si="143"/>
        <v>1</v>
      </c>
      <c r="C715" t="str">
        <f>IF(COUNTIF($A$2:A715, A715)&gt;1, "DUPLICATE_FLAGGED_FOR_REVIEW", "")</f>
        <v/>
      </c>
      <c r="D715" s="3">
        <v>45814</v>
      </c>
      <c r="E715" s="2">
        <v>45936</v>
      </c>
      <c r="F715" s="2" t="str">
        <f t="shared" si="144"/>
        <v>OK</v>
      </c>
      <c r="G715" s="4">
        <f t="shared" si="145"/>
        <v>122</v>
      </c>
      <c r="H715" t="s">
        <v>598</v>
      </c>
      <c r="I715" t="s">
        <v>36</v>
      </c>
      <c r="J715" t="s">
        <v>24</v>
      </c>
      <c r="K715" t="s">
        <v>63</v>
      </c>
      <c r="L715" t="str">
        <f t="shared" si="146"/>
        <v>West</v>
      </c>
      <c r="M715" t="s">
        <v>26</v>
      </c>
      <c r="N715" t="s">
        <v>109</v>
      </c>
      <c r="O715" t="s">
        <v>74</v>
      </c>
      <c r="P715" t="s">
        <v>274</v>
      </c>
      <c r="Q715" t="s">
        <v>2219</v>
      </c>
      <c r="R715" t="s">
        <v>31</v>
      </c>
      <c r="S715" t="str">
        <f t="shared" si="147"/>
        <v>Second Class</v>
      </c>
      <c r="T715">
        <v>1</v>
      </c>
      <c r="U715">
        <v>289.97000000000003</v>
      </c>
      <c r="V715">
        <v>0.25</v>
      </c>
      <c r="W715">
        <f t="shared" si="148"/>
        <v>0.25</v>
      </c>
      <c r="X715" t="str">
        <f t="shared" si="149"/>
        <v/>
      </c>
      <c r="Y715">
        <v>217.48</v>
      </c>
      <c r="Z715">
        <f t="shared" si="150"/>
        <v>217.47750000000002</v>
      </c>
      <c r="AA715">
        <v>132.13</v>
      </c>
      <c r="AB715">
        <v>85.35</v>
      </c>
      <c r="AC715">
        <f t="shared" si="151"/>
        <v>-72.492500000000007</v>
      </c>
      <c r="AD715" s="6">
        <f t="shared" si="152"/>
        <v>-0.33333333333333331</v>
      </c>
      <c r="AE715" t="s">
        <v>32</v>
      </c>
      <c r="AF715" t="s">
        <v>33</v>
      </c>
      <c r="AG715">
        <f t="shared" si="153"/>
        <v>6</v>
      </c>
      <c r="AH715">
        <f t="shared" si="154"/>
        <v>2025</v>
      </c>
      <c r="AI715" t="str">
        <f t="shared" si="155"/>
        <v>CLEAN</v>
      </c>
    </row>
    <row r="716" spans="1:35">
      <c r="A716" t="s">
        <v>2220</v>
      </c>
      <c r="B716">
        <f t="shared" si="143"/>
        <v>1</v>
      </c>
      <c r="C716" t="str">
        <f>IF(COUNTIF($A$2:A716, A716)&gt;1, "DUPLICATE_FLAGGED_FOR_REVIEW", "")</f>
        <v/>
      </c>
      <c r="D716" s="3">
        <v>45738</v>
      </c>
      <c r="E716" s="2">
        <v>45739</v>
      </c>
      <c r="F716" s="2" t="str">
        <f t="shared" si="144"/>
        <v>OK</v>
      </c>
      <c r="G716" s="4">
        <f t="shared" si="145"/>
        <v>1</v>
      </c>
      <c r="H716" t="s">
        <v>2221</v>
      </c>
      <c r="I716" t="s">
        <v>23</v>
      </c>
      <c r="J716" t="s">
        <v>95</v>
      </c>
      <c r="K716" t="s">
        <v>25</v>
      </c>
      <c r="L716" t="str">
        <f t="shared" si="146"/>
        <v>North</v>
      </c>
      <c r="M716" t="s">
        <v>350</v>
      </c>
      <c r="N716" t="s">
        <v>351</v>
      </c>
      <c r="O716" t="s">
        <v>74</v>
      </c>
      <c r="P716" t="s">
        <v>80</v>
      </c>
      <c r="Q716" t="s">
        <v>2222</v>
      </c>
      <c r="R716" t="s">
        <v>59</v>
      </c>
      <c r="S716" t="str">
        <f t="shared" si="147"/>
        <v>Standard Class</v>
      </c>
      <c r="T716">
        <v>9</v>
      </c>
      <c r="U716">
        <v>2075.02</v>
      </c>
      <c r="V716">
        <v>0</v>
      </c>
      <c r="W716">
        <f t="shared" si="148"/>
        <v>0</v>
      </c>
      <c r="X716" t="str">
        <f t="shared" si="149"/>
        <v/>
      </c>
      <c r="Y716">
        <v>18675.18</v>
      </c>
      <c r="Z716">
        <f t="shared" si="150"/>
        <v>18675.18</v>
      </c>
      <c r="AA716">
        <v>13974.7</v>
      </c>
      <c r="AB716">
        <v>4700.4799999999996</v>
      </c>
      <c r="AC716">
        <f t="shared" si="151"/>
        <v>16600.16</v>
      </c>
      <c r="AD716" s="6">
        <f t="shared" si="152"/>
        <v>0.88888888888888884</v>
      </c>
      <c r="AE716" t="s">
        <v>32</v>
      </c>
      <c r="AF716" t="s">
        <v>33</v>
      </c>
      <c r="AG716">
        <f t="shared" si="153"/>
        <v>3</v>
      </c>
      <c r="AH716">
        <f t="shared" si="154"/>
        <v>2025</v>
      </c>
      <c r="AI716" t="str">
        <f t="shared" si="155"/>
        <v>CLEAN</v>
      </c>
    </row>
    <row r="717" spans="1:35">
      <c r="A717" t="s">
        <v>2223</v>
      </c>
      <c r="B717">
        <f t="shared" si="143"/>
        <v>1</v>
      </c>
      <c r="C717" t="str">
        <f>IF(COUNTIF($A$2:A717, A717)&gt;1, "DUPLICATE_FLAGGED_FOR_REVIEW", "")</f>
        <v/>
      </c>
      <c r="D717" s="3">
        <v>45891</v>
      </c>
      <c r="E717" s="2">
        <v>45896</v>
      </c>
      <c r="F717" s="2" t="str">
        <f t="shared" si="144"/>
        <v>OK</v>
      </c>
      <c r="G717" s="4">
        <f t="shared" si="145"/>
        <v>5</v>
      </c>
      <c r="H717" t="s">
        <v>2224</v>
      </c>
      <c r="I717" t="s">
        <v>114</v>
      </c>
      <c r="J717" t="s">
        <v>24</v>
      </c>
      <c r="K717" t="s">
        <v>25</v>
      </c>
      <c r="L717" t="str">
        <f t="shared" si="146"/>
        <v>North</v>
      </c>
      <c r="M717" t="s">
        <v>236</v>
      </c>
      <c r="N717" t="s">
        <v>237</v>
      </c>
      <c r="O717" t="s">
        <v>41</v>
      </c>
      <c r="P717" t="s">
        <v>66</v>
      </c>
      <c r="Q717" t="s">
        <v>2225</v>
      </c>
      <c r="R717" t="s">
        <v>31</v>
      </c>
      <c r="S717" t="str">
        <f t="shared" si="147"/>
        <v>Second Class</v>
      </c>
      <c r="T717">
        <v>7</v>
      </c>
      <c r="U717">
        <v>2843.09</v>
      </c>
      <c r="V717">
        <v>0</v>
      </c>
      <c r="W717">
        <f t="shared" si="148"/>
        <v>0</v>
      </c>
      <c r="X717" t="str">
        <f t="shared" si="149"/>
        <v/>
      </c>
      <c r="Y717">
        <v>19901.63</v>
      </c>
      <c r="Z717">
        <f t="shared" si="150"/>
        <v>19901.63</v>
      </c>
      <c r="AA717">
        <v>15492.03</v>
      </c>
      <c r="AB717">
        <v>4409.6000000000004</v>
      </c>
      <c r="AC717">
        <f t="shared" si="151"/>
        <v>17058.54</v>
      </c>
      <c r="AD717" s="6">
        <f t="shared" si="152"/>
        <v>0.8571428571428571</v>
      </c>
      <c r="AE717" t="s">
        <v>102</v>
      </c>
      <c r="AF717" t="s">
        <v>68</v>
      </c>
      <c r="AG717">
        <f t="shared" si="153"/>
        <v>8</v>
      </c>
      <c r="AH717">
        <f t="shared" si="154"/>
        <v>2025</v>
      </c>
      <c r="AI717" t="str">
        <f t="shared" si="155"/>
        <v>CLEAN</v>
      </c>
    </row>
    <row r="718" spans="1:35">
      <c r="A718" t="s">
        <v>2226</v>
      </c>
      <c r="B718">
        <f t="shared" si="143"/>
        <v>1</v>
      </c>
      <c r="C718" t="str">
        <f>IF(COUNTIF($A$2:A718, A718)&gt;1, "DUPLICATE_FLAGGED_FOR_REVIEW", "")</f>
        <v/>
      </c>
      <c r="D718" s="3">
        <v>45895</v>
      </c>
      <c r="E718" s="2">
        <v>45900</v>
      </c>
      <c r="F718" s="2" t="str">
        <f t="shared" si="144"/>
        <v>OK</v>
      </c>
      <c r="G718" s="4">
        <f t="shared" si="145"/>
        <v>5</v>
      </c>
      <c r="H718" t="s">
        <v>2227</v>
      </c>
      <c r="I718" t="s">
        <v>162</v>
      </c>
      <c r="J718" t="s">
        <v>37</v>
      </c>
      <c r="K718" t="s">
        <v>25</v>
      </c>
      <c r="L718" t="str">
        <f t="shared" si="146"/>
        <v>North</v>
      </c>
      <c r="M718" t="s">
        <v>236</v>
      </c>
      <c r="N718" t="s">
        <v>237</v>
      </c>
      <c r="O718" t="s">
        <v>74</v>
      </c>
      <c r="P718" t="s">
        <v>171</v>
      </c>
      <c r="Q718" t="s">
        <v>2228</v>
      </c>
      <c r="R718" t="s">
        <v>50</v>
      </c>
      <c r="S718" t="str">
        <f t="shared" si="147"/>
        <v>First Class</v>
      </c>
      <c r="T718">
        <v>1</v>
      </c>
      <c r="U718">
        <v>3388.02</v>
      </c>
      <c r="V718">
        <v>0.15</v>
      </c>
      <c r="W718">
        <f t="shared" si="148"/>
        <v>0.15</v>
      </c>
      <c r="X718" t="str">
        <f t="shared" si="149"/>
        <v/>
      </c>
      <c r="Y718">
        <v>2879.82</v>
      </c>
      <c r="Z718">
        <f t="shared" si="150"/>
        <v>2879.817</v>
      </c>
      <c r="AA718">
        <v>1824.88</v>
      </c>
      <c r="AB718">
        <v>1054.94</v>
      </c>
      <c r="AC718">
        <f t="shared" si="151"/>
        <v>-508.20299999999997</v>
      </c>
      <c r="AD718" s="6">
        <f t="shared" si="152"/>
        <v>-0.1764705882352941</v>
      </c>
      <c r="AE718" t="s">
        <v>32</v>
      </c>
      <c r="AF718" t="s">
        <v>33</v>
      </c>
      <c r="AG718">
        <f t="shared" si="153"/>
        <v>8</v>
      </c>
      <c r="AH718">
        <f t="shared" si="154"/>
        <v>2025</v>
      </c>
      <c r="AI718" t="str">
        <f t="shared" si="155"/>
        <v>CLEAN</v>
      </c>
    </row>
    <row r="719" spans="1:35">
      <c r="A719" t="s">
        <v>2229</v>
      </c>
      <c r="B719">
        <f t="shared" si="143"/>
        <v>1</v>
      </c>
      <c r="C719" t="str">
        <f>IF(COUNTIF($A$2:A719, A719)&gt;1, "DUPLICATE_FLAGGED_FOR_REVIEW", "")</f>
        <v/>
      </c>
      <c r="D719" s="3">
        <v>45942</v>
      </c>
      <c r="E719" s="2">
        <v>45945</v>
      </c>
      <c r="F719" s="2" t="str">
        <f t="shared" si="144"/>
        <v>OK</v>
      </c>
      <c r="G719" s="4">
        <f t="shared" si="145"/>
        <v>3</v>
      </c>
      <c r="H719" t="s">
        <v>2230</v>
      </c>
      <c r="I719" t="s">
        <v>264</v>
      </c>
      <c r="J719" t="s">
        <v>37</v>
      </c>
      <c r="K719" t="s">
        <v>25</v>
      </c>
      <c r="L719" t="str">
        <f t="shared" si="146"/>
        <v>North</v>
      </c>
      <c r="M719" t="s">
        <v>236</v>
      </c>
      <c r="N719" t="s">
        <v>237</v>
      </c>
      <c r="O719" t="s">
        <v>74</v>
      </c>
      <c r="P719" t="s">
        <v>274</v>
      </c>
      <c r="Q719" t="s">
        <v>2231</v>
      </c>
      <c r="R719" t="s">
        <v>59</v>
      </c>
      <c r="S719" t="str">
        <f t="shared" si="147"/>
        <v>Standard Class</v>
      </c>
      <c r="T719">
        <v>9</v>
      </c>
      <c r="U719">
        <v>2598.92</v>
      </c>
      <c r="V719">
        <v>0.2</v>
      </c>
      <c r="W719">
        <f t="shared" si="148"/>
        <v>0.2</v>
      </c>
      <c r="X719" t="str">
        <f t="shared" si="149"/>
        <v/>
      </c>
      <c r="Y719">
        <v>18712.22</v>
      </c>
      <c r="Z719">
        <f t="shared" si="150"/>
        <v>18712.223999999998</v>
      </c>
      <c r="AA719">
        <v>11852.22</v>
      </c>
      <c r="AB719">
        <v>6860</v>
      </c>
      <c r="AC719">
        <f t="shared" si="151"/>
        <v>16113.303999999998</v>
      </c>
      <c r="AD719" s="6">
        <f t="shared" si="152"/>
        <v>0.86111111111111105</v>
      </c>
      <c r="AE719" t="s">
        <v>111</v>
      </c>
      <c r="AF719" t="s">
        <v>68</v>
      </c>
      <c r="AG719">
        <f t="shared" si="153"/>
        <v>10</v>
      </c>
      <c r="AH719">
        <f t="shared" si="154"/>
        <v>2025</v>
      </c>
      <c r="AI719" t="str">
        <f t="shared" si="155"/>
        <v>CLEAN</v>
      </c>
    </row>
    <row r="720" spans="1:35">
      <c r="A720" t="s">
        <v>2232</v>
      </c>
      <c r="B720">
        <f t="shared" si="143"/>
        <v>1</v>
      </c>
      <c r="C720" t="str">
        <f>IF(COUNTIF($A$2:A720, A720)&gt;1, "DUPLICATE_FLAGGED_FOR_REVIEW", "")</f>
        <v/>
      </c>
      <c r="D720" s="3">
        <v>45541</v>
      </c>
      <c r="E720" s="2">
        <v>45544</v>
      </c>
      <c r="F720" s="2" t="str">
        <f t="shared" si="144"/>
        <v>OK</v>
      </c>
      <c r="G720" s="4">
        <f t="shared" si="145"/>
        <v>3</v>
      </c>
      <c r="H720" t="s">
        <v>2233</v>
      </c>
      <c r="I720" t="s">
        <v>36</v>
      </c>
      <c r="J720" t="s">
        <v>24</v>
      </c>
      <c r="K720" t="s">
        <v>63</v>
      </c>
      <c r="L720" t="str">
        <f t="shared" si="146"/>
        <v>West</v>
      </c>
      <c r="M720" t="s">
        <v>64</v>
      </c>
      <c r="N720" t="s">
        <v>65</v>
      </c>
      <c r="O720" t="s">
        <v>28</v>
      </c>
      <c r="P720" t="s">
        <v>48</v>
      </c>
      <c r="Q720" t="s">
        <v>2234</v>
      </c>
      <c r="R720" t="s">
        <v>44</v>
      </c>
      <c r="S720" t="str">
        <f t="shared" si="147"/>
        <v>Same Day</v>
      </c>
      <c r="T720">
        <v>3</v>
      </c>
      <c r="U720">
        <v>1972.27</v>
      </c>
      <c r="V720">
        <v>0.2</v>
      </c>
      <c r="W720">
        <f t="shared" si="148"/>
        <v>0.2</v>
      </c>
      <c r="X720" t="str">
        <f t="shared" si="149"/>
        <v/>
      </c>
      <c r="Y720">
        <v>4733.45</v>
      </c>
      <c r="Z720">
        <f t="shared" si="150"/>
        <v>4733.4479999999994</v>
      </c>
      <c r="AA720">
        <v>3672.32</v>
      </c>
      <c r="AB720">
        <v>1061.1300000000001</v>
      </c>
      <c r="AC720">
        <f t="shared" si="151"/>
        <v>2761.1779999999994</v>
      </c>
      <c r="AD720" s="6">
        <f t="shared" si="152"/>
        <v>0.58333333333333326</v>
      </c>
      <c r="AE720" t="s">
        <v>32</v>
      </c>
      <c r="AF720" t="s">
        <v>33</v>
      </c>
      <c r="AG720">
        <f t="shared" si="153"/>
        <v>9</v>
      </c>
      <c r="AH720">
        <f t="shared" si="154"/>
        <v>2024</v>
      </c>
      <c r="AI720" t="str">
        <f t="shared" si="155"/>
        <v>CLEAN</v>
      </c>
    </row>
    <row r="721" spans="1:35">
      <c r="A721" t="s">
        <v>2235</v>
      </c>
      <c r="B721">
        <f t="shared" si="143"/>
        <v>1</v>
      </c>
      <c r="C721" t="str">
        <f>IF(COUNTIF($A$2:A721, A721)&gt;1, "DUPLICATE_FLAGGED_FOR_REVIEW", "")</f>
        <v/>
      </c>
      <c r="D721" s="3">
        <v>45908</v>
      </c>
      <c r="E721" s="2">
        <v>45909</v>
      </c>
      <c r="F721" s="2" t="str">
        <f t="shared" si="144"/>
        <v>OK</v>
      </c>
      <c r="G721" s="4">
        <f t="shared" si="145"/>
        <v>1</v>
      </c>
      <c r="H721" t="s">
        <v>144</v>
      </c>
      <c r="I721" t="s">
        <v>264</v>
      </c>
      <c r="J721" t="s">
        <v>90</v>
      </c>
      <c r="K721" t="s">
        <v>63</v>
      </c>
      <c r="L721" t="str">
        <f t="shared" si="146"/>
        <v>West</v>
      </c>
      <c r="M721" t="s">
        <v>180</v>
      </c>
      <c r="N721" t="s">
        <v>181</v>
      </c>
      <c r="O721" t="s">
        <v>28</v>
      </c>
      <c r="P721" t="s">
        <v>48</v>
      </c>
      <c r="Q721" t="s">
        <v>2236</v>
      </c>
      <c r="R721" t="s">
        <v>44</v>
      </c>
      <c r="S721" t="str">
        <f t="shared" si="147"/>
        <v>Same Day</v>
      </c>
      <c r="T721">
        <v>2</v>
      </c>
      <c r="U721">
        <v>2372.41</v>
      </c>
      <c r="V721">
        <v>0.2</v>
      </c>
      <c r="W721">
        <f t="shared" si="148"/>
        <v>0.2</v>
      </c>
      <c r="X721" t="str">
        <f t="shared" si="149"/>
        <v/>
      </c>
      <c r="Y721">
        <v>3795.86</v>
      </c>
      <c r="Z721">
        <f t="shared" si="150"/>
        <v>3795.8559999999998</v>
      </c>
      <c r="AA721">
        <v>2264.92</v>
      </c>
      <c r="AB721">
        <v>1530.94</v>
      </c>
      <c r="AC721">
        <f t="shared" si="151"/>
        <v>1423.4459999999999</v>
      </c>
      <c r="AD721" s="6">
        <f t="shared" si="152"/>
        <v>0.375</v>
      </c>
      <c r="AE721" t="s">
        <v>32</v>
      </c>
      <c r="AF721" t="s">
        <v>33</v>
      </c>
      <c r="AG721">
        <f t="shared" si="153"/>
        <v>9</v>
      </c>
      <c r="AH721">
        <f t="shared" si="154"/>
        <v>2025</v>
      </c>
      <c r="AI721" t="str">
        <f t="shared" si="155"/>
        <v>CLEAN</v>
      </c>
    </row>
    <row r="722" spans="1:35">
      <c r="A722" t="s">
        <v>2237</v>
      </c>
      <c r="B722">
        <f t="shared" si="143"/>
        <v>1</v>
      </c>
      <c r="C722" t="str">
        <f>IF(COUNTIF($A$2:A722, A722)&gt;1, "DUPLICATE_FLAGGED_FOR_REVIEW", "")</f>
        <v/>
      </c>
      <c r="D722" s="3">
        <v>45489</v>
      </c>
      <c r="E722" s="2">
        <v>45489</v>
      </c>
      <c r="F722" s="2" t="str">
        <f t="shared" si="144"/>
        <v>OK</v>
      </c>
      <c r="G722" s="4">
        <f t="shared" si="145"/>
        <v>0</v>
      </c>
      <c r="H722" t="s">
        <v>2238</v>
      </c>
      <c r="I722" t="s">
        <v>89</v>
      </c>
      <c r="J722" t="s">
        <v>95</v>
      </c>
      <c r="K722" t="s">
        <v>63</v>
      </c>
      <c r="L722" t="str">
        <f t="shared" si="146"/>
        <v>West</v>
      </c>
      <c r="M722" t="s">
        <v>72</v>
      </c>
      <c r="N722" t="s">
        <v>73</v>
      </c>
      <c r="O722" t="s">
        <v>74</v>
      </c>
      <c r="P722" t="s">
        <v>80</v>
      </c>
      <c r="Q722" t="s">
        <v>2239</v>
      </c>
      <c r="R722" t="s">
        <v>44</v>
      </c>
      <c r="S722" t="str">
        <f t="shared" si="147"/>
        <v>Same Day</v>
      </c>
      <c r="T722">
        <v>4</v>
      </c>
      <c r="U722">
        <v>4479.92</v>
      </c>
      <c r="V722">
        <v>0.15</v>
      </c>
      <c r="W722">
        <f t="shared" si="148"/>
        <v>0.15</v>
      </c>
      <c r="X722" t="str">
        <f t="shared" si="149"/>
        <v/>
      </c>
      <c r="Y722">
        <v>15231.73</v>
      </c>
      <c r="Z722">
        <f t="shared" si="150"/>
        <v>15231.727999999999</v>
      </c>
      <c r="AA722">
        <v>12451.46</v>
      </c>
      <c r="AB722">
        <v>2780.27</v>
      </c>
      <c r="AC722">
        <f t="shared" si="151"/>
        <v>10751.807999999999</v>
      </c>
      <c r="AD722" s="6">
        <f t="shared" si="152"/>
        <v>0.70588235294117641</v>
      </c>
      <c r="AE722" t="s">
        <v>32</v>
      </c>
      <c r="AF722" t="s">
        <v>33</v>
      </c>
      <c r="AG722">
        <f t="shared" si="153"/>
        <v>7</v>
      </c>
      <c r="AH722">
        <f t="shared" si="154"/>
        <v>2024</v>
      </c>
      <c r="AI722" t="str">
        <f t="shared" si="155"/>
        <v>CLEAN</v>
      </c>
    </row>
    <row r="723" spans="1:35">
      <c r="A723" t="s">
        <v>2240</v>
      </c>
      <c r="B723">
        <f t="shared" si="143"/>
        <v>1</v>
      </c>
      <c r="C723" t="str">
        <f>IF(COUNTIF($A$2:A723, A723)&gt;1, "DUPLICATE_FLAGGED_FOR_REVIEW", "")</f>
        <v/>
      </c>
      <c r="D723" s="3">
        <v>45827</v>
      </c>
      <c r="E723" s="2">
        <v>45831</v>
      </c>
      <c r="F723" s="2" t="str">
        <f t="shared" si="144"/>
        <v>OK</v>
      </c>
      <c r="G723" s="4">
        <f t="shared" si="145"/>
        <v>4</v>
      </c>
      <c r="H723" t="s">
        <v>2241</v>
      </c>
      <c r="I723" t="s">
        <v>132</v>
      </c>
      <c r="J723" t="s">
        <v>24</v>
      </c>
      <c r="K723" t="s">
        <v>54</v>
      </c>
      <c r="L723" t="str">
        <f t="shared" si="146"/>
        <v>South</v>
      </c>
      <c r="M723" t="s">
        <v>175</v>
      </c>
      <c r="N723" t="s">
        <v>176</v>
      </c>
      <c r="O723" t="s">
        <v>74</v>
      </c>
      <c r="P723" t="s">
        <v>80</v>
      </c>
      <c r="Q723" t="s">
        <v>2242</v>
      </c>
      <c r="R723" t="s">
        <v>50</v>
      </c>
      <c r="S723" t="str">
        <f t="shared" si="147"/>
        <v>First Class</v>
      </c>
      <c r="T723">
        <v>5</v>
      </c>
      <c r="U723">
        <v>2729.95</v>
      </c>
      <c r="V723">
        <v>0</v>
      </c>
      <c r="W723">
        <f t="shared" si="148"/>
        <v>0</v>
      </c>
      <c r="X723" t="str">
        <f t="shared" si="149"/>
        <v/>
      </c>
      <c r="Y723">
        <v>13649.75</v>
      </c>
      <c r="Z723">
        <f t="shared" si="150"/>
        <v>13649.75</v>
      </c>
      <c r="AA723">
        <v>10288.030000000001</v>
      </c>
      <c r="AB723">
        <v>3361.72</v>
      </c>
      <c r="AC723">
        <f t="shared" si="151"/>
        <v>10919.8</v>
      </c>
      <c r="AD723" s="6">
        <f t="shared" si="152"/>
        <v>0.79999999999999993</v>
      </c>
      <c r="AE723" t="s">
        <v>32</v>
      </c>
      <c r="AF723" t="s">
        <v>33</v>
      </c>
      <c r="AG723">
        <f t="shared" si="153"/>
        <v>6</v>
      </c>
      <c r="AH723">
        <f t="shared" si="154"/>
        <v>2025</v>
      </c>
      <c r="AI723" t="str">
        <f t="shared" si="155"/>
        <v>CLEAN</v>
      </c>
    </row>
    <row r="724" spans="1:35">
      <c r="A724" t="s">
        <v>2243</v>
      </c>
      <c r="B724">
        <f t="shared" si="143"/>
        <v>1</v>
      </c>
      <c r="C724" t="str">
        <f>IF(COUNTIF($A$2:A724, A724)&gt;1, "DUPLICATE_FLAGGED_FOR_REVIEW", "")</f>
        <v/>
      </c>
      <c r="D724" s="3">
        <v>45572</v>
      </c>
      <c r="E724" s="2">
        <v>45575</v>
      </c>
      <c r="F724" s="2" t="str">
        <f t="shared" si="144"/>
        <v>OK</v>
      </c>
      <c r="G724" s="4">
        <f t="shared" si="145"/>
        <v>3</v>
      </c>
      <c r="H724" t="s">
        <v>2244</v>
      </c>
      <c r="I724" t="s">
        <v>71</v>
      </c>
      <c r="J724" t="s">
        <v>24</v>
      </c>
      <c r="K724" t="s">
        <v>38</v>
      </c>
      <c r="L724" t="str">
        <f t="shared" si="146"/>
        <v>East</v>
      </c>
      <c r="M724" t="s">
        <v>99</v>
      </c>
      <c r="N724" t="s">
        <v>100</v>
      </c>
      <c r="O724" t="s">
        <v>41</v>
      </c>
      <c r="P724" t="s">
        <v>66</v>
      </c>
      <c r="Q724" t="s">
        <v>2245</v>
      </c>
      <c r="R724" t="s">
        <v>31</v>
      </c>
      <c r="S724" t="str">
        <f t="shared" si="147"/>
        <v>Second Class</v>
      </c>
      <c r="T724">
        <v>9</v>
      </c>
      <c r="U724">
        <v>481.51</v>
      </c>
      <c r="W724">
        <f t="shared" si="148"/>
        <v>0</v>
      </c>
      <c r="X724" t="str">
        <f t="shared" si="149"/>
        <v>DISCOUNT_MISSING_SET_TO_0</v>
      </c>
      <c r="Y724">
        <v>4333.59</v>
      </c>
      <c r="Z724">
        <f t="shared" si="150"/>
        <v>4333.59</v>
      </c>
      <c r="AA724">
        <v>2533.59</v>
      </c>
      <c r="AB724">
        <v>1800</v>
      </c>
      <c r="AC724">
        <f t="shared" si="151"/>
        <v>3852.08</v>
      </c>
      <c r="AD724" s="6">
        <f t="shared" si="152"/>
        <v>0.88888888888888884</v>
      </c>
      <c r="AE724" t="s">
        <v>102</v>
      </c>
      <c r="AF724" t="s">
        <v>68</v>
      </c>
      <c r="AG724">
        <f t="shared" si="153"/>
        <v>10</v>
      </c>
      <c r="AH724">
        <f t="shared" si="154"/>
        <v>2024</v>
      </c>
      <c r="AI724" t="str">
        <f t="shared" si="155"/>
        <v>WARNING</v>
      </c>
    </row>
    <row r="725" spans="1:35">
      <c r="A725" t="s">
        <v>2246</v>
      </c>
      <c r="B725">
        <f t="shared" si="143"/>
        <v>1</v>
      </c>
      <c r="C725" t="str">
        <f>IF(COUNTIF($A$2:A725, A725)&gt;1, "DUPLICATE_FLAGGED_FOR_REVIEW", "")</f>
        <v/>
      </c>
      <c r="D725" s="3">
        <v>45818</v>
      </c>
      <c r="E725" s="2">
        <v>45943</v>
      </c>
      <c r="F725" s="2" t="str">
        <f t="shared" si="144"/>
        <v>OK</v>
      </c>
      <c r="G725" s="4">
        <f t="shared" si="145"/>
        <v>125</v>
      </c>
      <c r="H725" t="s">
        <v>2247</v>
      </c>
      <c r="I725" t="s">
        <v>264</v>
      </c>
      <c r="J725" t="s">
        <v>95</v>
      </c>
      <c r="K725" t="s">
        <v>38</v>
      </c>
      <c r="L725" t="str">
        <f t="shared" si="146"/>
        <v>East</v>
      </c>
      <c r="M725" t="s">
        <v>228</v>
      </c>
      <c r="N725" t="s">
        <v>229</v>
      </c>
      <c r="O725" t="s">
        <v>74</v>
      </c>
      <c r="P725" t="s">
        <v>75</v>
      </c>
      <c r="Q725" t="s">
        <v>2248</v>
      </c>
      <c r="R725" t="s">
        <v>59</v>
      </c>
      <c r="S725" t="str">
        <f t="shared" si="147"/>
        <v>Standard Class</v>
      </c>
      <c r="T725">
        <v>6</v>
      </c>
      <c r="U725">
        <v>2391.9299999999998</v>
      </c>
      <c r="V725">
        <v>0.05</v>
      </c>
      <c r="W725">
        <f t="shared" si="148"/>
        <v>0.05</v>
      </c>
      <c r="X725" t="str">
        <f t="shared" si="149"/>
        <v/>
      </c>
      <c r="Y725">
        <v>13634</v>
      </c>
      <c r="Z725">
        <f t="shared" si="150"/>
        <v>13634.000999999998</v>
      </c>
      <c r="AA725">
        <v>9589.81</v>
      </c>
      <c r="AB725">
        <v>4044.19</v>
      </c>
      <c r="AC725">
        <f t="shared" si="151"/>
        <v>11242.070999999998</v>
      </c>
      <c r="AD725" s="6">
        <f t="shared" si="152"/>
        <v>0.82456140350877194</v>
      </c>
      <c r="AE725" t="s">
        <v>155</v>
      </c>
      <c r="AF725" t="s">
        <v>103</v>
      </c>
      <c r="AG725">
        <f t="shared" si="153"/>
        <v>6</v>
      </c>
      <c r="AH725">
        <f t="shared" si="154"/>
        <v>2025</v>
      </c>
      <c r="AI725" t="str">
        <f t="shared" si="155"/>
        <v>CLEAN</v>
      </c>
    </row>
    <row r="726" spans="1:35">
      <c r="A726" t="s">
        <v>2249</v>
      </c>
      <c r="B726">
        <f t="shared" si="143"/>
        <v>1</v>
      </c>
      <c r="C726" t="str">
        <f>IF(COUNTIF($A$2:A726, A726)&gt;1, "DUPLICATE_FLAGGED_FOR_REVIEW", "")</f>
        <v/>
      </c>
      <c r="D726" s="3">
        <v>45567</v>
      </c>
      <c r="E726" s="2">
        <v>45338</v>
      </c>
      <c r="F726" s="2" t="str">
        <f t="shared" si="144"/>
        <v>ERROR: Ship before order</v>
      </c>
      <c r="G726" s="4">
        <f t="shared" si="145"/>
        <v>-229</v>
      </c>
      <c r="H726" t="s">
        <v>2250</v>
      </c>
      <c r="I726" t="s">
        <v>23</v>
      </c>
      <c r="J726" t="s">
        <v>24</v>
      </c>
      <c r="K726" t="s">
        <v>63</v>
      </c>
      <c r="L726" t="str">
        <f t="shared" si="146"/>
        <v>West</v>
      </c>
      <c r="M726" t="s">
        <v>190</v>
      </c>
      <c r="N726" t="s">
        <v>191</v>
      </c>
      <c r="O726" t="s">
        <v>41</v>
      </c>
      <c r="P726" t="s">
        <v>57</v>
      </c>
      <c r="Q726" t="s">
        <v>2251</v>
      </c>
      <c r="R726" t="s">
        <v>31</v>
      </c>
      <c r="S726" t="str">
        <f t="shared" si="147"/>
        <v>Second Class</v>
      </c>
      <c r="T726">
        <v>3</v>
      </c>
      <c r="U726">
        <v>253.43</v>
      </c>
      <c r="V726">
        <v>0</v>
      </c>
      <c r="W726">
        <f t="shared" si="148"/>
        <v>0</v>
      </c>
      <c r="X726" t="str">
        <f t="shared" si="149"/>
        <v/>
      </c>
      <c r="Y726">
        <v>760.29</v>
      </c>
      <c r="Z726">
        <f t="shared" si="150"/>
        <v>760.29</v>
      </c>
      <c r="AA726">
        <v>497.77</v>
      </c>
      <c r="AB726">
        <v>262.52</v>
      </c>
      <c r="AC726">
        <f t="shared" si="151"/>
        <v>506.85999999999996</v>
      </c>
      <c r="AD726" s="6">
        <f t="shared" si="152"/>
        <v>0.66666666666666663</v>
      </c>
      <c r="AE726" t="s">
        <v>32</v>
      </c>
      <c r="AF726" t="s">
        <v>33</v>
      </c>
      <c r="AG726">
        <f t="shared" si="153"/>
        <v>10</v>
      </c>
      <c r="AH726">
        <f t="shared" si="154"/>
        <v>2024</v>
      </c>
      <c r="AI726" t="str">
        <f t="shared" si="155"/>
        <v>INVALID</v>
      </c>
    </row>
    <row r="727" spans="1:35">
      <c r="A727" t="s">
        <v>2252</v>
      </c>
      <c r="B727">
        <f t="shared" si="143"/>
        <v>1</v>
      </c>
      <c r="C727" t="str">
        <f>IF(COUNTIF($A$2:A727, A727)&gt;1, "DUPLICATE_FLAGGED_FOR_REVIEW", "")</f>
        <v/>
      </c>
      <c r="D727" s="3">
        <v>45787</v>
      </c>
      <c r="E727" s="2">
        <v>45942</v>
      </c>
      <c r="F727" s="2" t="str">
        <f t="shared" si="144"/>
        <v>OK</v>
      </c>
      <c r="G727" s="4">
        <f t="shared" si="145"/>
        <v>155</v>
      </c>
      <c r="H727" t="s">
        <v>2253</v>
      </c>
      <c r="I727" t="s">
        <v>114</v>
      </c>
      <c r="J727" t="s">
        <v>90</v>
      </c>
      <c r="K727" t="s">
        <v>54</v>
      </c>
      <c r="L727" t="str">
        <f t="shared" si="146"/>
        <v>South</v>
      </c>
      <c r="M727" t="s">
        <v>175</v>
      </c>
      <c r="N727" t="s">
        <v>176</v>
      </c>
      <c r="O727" t="s">
        <v>41</v>
      </c>
      <c r="P727" t="s">
        <v>42</v>
      </c>
      <c r="Q727" t="s">
        <v>2254</v>
      </c>
      <c r="R727" t="s">
        <v>31</v>
      </c>
      <c r="S727" t="str">
        <f t="shared" si="147"/>
        <v>Second Class</v>
      </c>
      <c r="T727">
        <v>7</v>
      </c>
      <c r="U727">
        <v>2134.73</v>
      </c>
      <c r="V727">
        <v>0</v>
      </c>
      <c r="W727">
        <f t="shared" si="148"/>
        <v>0</v>
      </c>
      <c r="X727" t="str">
        <f t="shared" si="149"/>
        <v/>
      </c>
      <c r="Y727">
        <v>14943.11</v>
      </c>
      <c r="Z727">
        <f t="shared" si="150"/>
        <v>14943.11</v>
      </c>
      <c r="AA727">
        <v>8521.5</v>
      </c>
      <c r="AB727">
        <v>6421.61</v>
      </c>
      <c r="AC727">
        <f t="shared" si="151"/>
        <v>12808.380000000001</v>
      </c>
      <c r="AD727" s="6">
        <f t="shared" si="152"/>
        <v>0.85714285714285721</v>
      </c>
      <c r="AE727" t="s">
        <v>32</v>
      </c>
      <c r="AF727" t="s">
        <v>33</v>
      </c>
      <c r="AG727">
        <f t="shared" si="153"/>
        <v>5</v>
      </c>
      <c r="AH727">
        <f t="shared" si="154"/>
        <v>2025</v>
      </c>
      <c r="AI727" t="str">
        <f t="shared" si="155"/>
        <v>CLEAN</v>
      </c>
    </row>
    <row r="728" spans="1:35">
      <c r="A728" t="s">
        <v>2255</v>
      </c>
      <c r="B728">
        <f t="shared" si="143"/>
        <v>1</v>
      </c>
      <c r="C728" t="str">
        <f>IF(COUNTIF($A$2:A728, A728)&gt;1, "DUPLICATE_FLAGGED_FOR_REVIEW", "")</f>
        <v/>
      </c>
      <c r="D728" s="3">
        <v>45308</v>
      </c>
      <c r="E728" s="2">
        <v>45314</v>
      </c>
      <c r="F728" s="2" t="str">
        <f t="shared" si="144"/>
        <v>OK</v>
      </c>
      <c r="G728" s="4">
        <f t="shared" si="145"/>
        <v>6</v>
      </c>
      <c r="H728" t="s">
        <v>2256</v>
      </c>
      <c r="I728" t="s">
        <v>264</v>
      </c>
      <c r="J728" t="s">
        <v>95</v>
      </c>
      <c r="K728" t="s">
        <v>63</v>
      </c>
      <c r="L728" t="str">
        <f t="shared" si="146"/>
        <v>West</v>
      </c>
      <c r="M728" t="s">
        <v>180</v>
      </c>
      <c r="N728" t="s">
        <v>181</v>
      </c>
      <c r="O728" t="s">
        <v>74</v>
      </c>
      <c r="P728" t="s">
        <v>171</v>
      </c>
      <c r="Q728" t="s">
        <v>2257</v>
      </c>
      <c r="R728" t="s">
        <v>59</v>
      </c>
      <c r="S728" t="str">
        <f t="shared" si="147"/>
        <v>Standard Class</v>
      </c>
      <c r="T728">
        <v>5</v>
      </c>
      <c r="U728">
        <v>2018</v>
      </c>
      <c r="V728">
        <v>0.2</v>
      </c>
      <c r="W728">
        <f t="shared" si="148"/>
        <v>0.2</v>
      </c>
      <c r="X728" t="str">
        <f t="shared" si="149"/>
        <v/>
      </c>
      <c r="Y728">
        <v>8072</v>
      </c>
      <c r="Z728">
        <f t="shared" si="150"/>
        <v>8072</v>
      </c>
      <c r="AA728">
        <v>5379.22</v>
      </c>
      <c r="AB728">
        <v>2692.78</v>
      </c>
      <c r="AC728">
        <f t="shared" si="151"/>
        <v>6054</v>
      </c>
      <c r="AD728" s="6">
        <f t="shared" si="152"/>
        <v>0.75</v>
      </c>
      <c r="AE728" t="s">
        <v>111</v>
      </c>
      <c r="AF728" t="s">
        <v>103</v>
      </c>
      <c r="AG728">
        <f t="shared" si="153"/>
        <v>1</v>
      </c>
      <c r="AH728">
        <f t="shared" si="154"/>
        <v>2024</v>
      </c>
      <c r="AI728" t="str">
        <f t="shared" si="155"/>
        <v>CLEAN</v>
      </c>
    </row>
    <row r="729" spans="1:35">
      <c r="A729" t="s">
        <v>2258</v>
      </c>
      <c r="B729">
        <f t="shared" si="143"/>
        <v>1</v>
      </c>
      <c r="C729" t="str">
        <f>IF(COUNTIF($A$2:A729, A729)&gt;1, "DUPLICATE_FLAGGED_FOR_REVIEW", "")</f>
        <v/>
      </c>
      <c r="D729" s="3">
        <v>45578</v>
      </c>
      <c r="E729" s="2">
        <v>45578</v>
      </c>
      <c r="F729" s="2" t="str">
        <f t="shared" si="144"/>
        <v>OK</v>
      </c>
      <c r="G729" s="4">
        <f t="shared" si="145"/>
        <v>0</v>
      </c>
      <c r="H729" t="s">
        <v>2259</v>
      </c>
      <c r="I729" t="s">
        <v>128</v>
      </c>
      <c r="J729" t="s">
        <v>37</v>
      </c>
      <c r="K729" t="s">
        <v>38</v>
      </c>
      <c r="L729" t="str">
        <f t="shared" si="146"/>
        <v>East</v>
      </c>
      <c r="M729" t="s">
        <v>166</v>
      </c>
      <c r="N729" t="s">
        <v>167</v>
      </c>
      <c r="O729" t="s">
        <v>74</v>
      </c>
      <c r="P729" t="s">
        <v>75</v>
      </c>
      <c r="Q729" t="s">
        <v>2260</v>
      </c>
      <c r="R729" t="s">
        <v>31</v>
      </c>
      <c r="S729" t="str">
        <f t="shared" si="147"/>
        <v>Second Class</v>
      </c>
      <c r="T729">
        <v>8</v>
      </c>
      <c r="U729">
        <v>3730.66</v>
      </c>
      <c r="V729">
        <v>0.05</v>
      </c>
      <c r="W729">
        <f t="shared" si="148"/>
        <v>0.05</v>
      </c>
      <c r="X729" t="str">
        <f t="shared" si="149"/>
        <v/>
      </c>
      <c r="Y729">
        <v>28353.02</v>
      </c>
      <c r="Z729">
        <f t="shared" si="150"/>
        <v>28353.015999999996</v>
      </c>
      <c r="AA729">
        <v>19257.849999999999</v>
      </c>
      <c r="AB729">
        <v>9095.17</v>
      </c>
      <c r="AC729">
        <f t="shared" si="151"/>
        <v>24622.355999999996</v>
      </c>
      <c r="AD729" s="6">
        <f t="shared" si="152"/>
        <v>0.86842105263157898</v>
      </c>
      <c r="AE729" t="s">
        <v>32</v>
      </c>
      <c r="AF729" t="s">
        <v>33</v>
      </c>
      <c r="AG729">
        <f t="shared" si="153"/>
        <v>10</v>
      </c>
      <c r="AH729">
        <f t="shared" si="154"/>
        <v>2024</v>
      </c>
      <c r="AI729" t="str">
        <f t="shared" si="155"/>
        <v>CLEAN</v>
      </c>
    </row>
    <row r="730" spans="1:35">
      <c r="A730" t="s">
        <v>2261</v>
      </c>
      <c r="B730">
        <f t="shared" si="143"/>
        <v>1</v>
      </c>
      <c r="C730" t="str">
        <f>IF(COUNTIF($A$2:A730, A730)&gt;1, "DUPLICATE_FLAGGED_FOR_REVIEW", "")</f>
        <v/>
      </c>
      <c r="D730" s="3">
        <v>45295</v>
      </c>
      <c r="E730" s="2">
        <v>45298</v>
      </c>
      <c r="F730" s="2" t="str">
        <f t="shared" si="144"/>
        <v>OK</v>
      </c>
      <c r="G730" s="4">
        <f t="shared" si="145"/>
        <v>3</v>
      </c>
      <c r="H730" t="s">
        <v>2262</v>
      </c>
      <c r="I730" t="s">
        <v>132</v>
      </c>
      <c r="J730" t="s">
        <v>37</v>
      </c>
      <c r="K730" t="s">
        <v>54</v>
      </c>
      <c r="L730" t="str">
        <f t="shared" si="146"/>
        <v>South</v>
      </c>
      <c r="M730" t="s">
        <v>175</v>
      </c>
      <c r="N730" t="s">
        <v>176</v>
      </c>
      <c r="O730" t="s">
        <v>74</v>
      </c>
      <c r="P730" t="s">
        <v>274</v>
      </c>
      <c r="Q730" t="s">
        <v>2263</v>
      </c>
      <c r="R730" t="s">
        <v>50</v>
      </c>
      <c r="S730" t="str">
        <f t="shared" si="147"/>
        <v>First Class</v>
      </c>
      <c r="T730">
        <v>1</v>
      </c>
      <c r="U730">
        <v>2363.02</v>
      </c>
      <c r="V730">
        <v>0.15</v>
      </c>
      <c r="W730">
        <f t="shared" si="148"/>
        <v>0.15</v>
      </c>
      <c r="X730" t="str">
        <f t="shared" si="149"/>
        <v/>
      </c>
      <c r="Y730">
        <v>2008.57</v>
      </c>
      <c r="Z730">
        <f t="shared" si="150"/>
        <v>2008.567</v>
      </c>
      <c r="AA730">
        <v>1194.83</v>
      </c>
      <c r="AB730">
        <v>813.74</v>
      </c>
      <c r="AC730">
        <f t="shared" si="151"/>
        <v>-354.45299999999997</v>
      </c>
      <c r="AD730" s="6">
        <f t="shared" si="152"/>
        <v>-0.1764705882352941</v>
      </c>
      <c r="AE730" t="s">
        <v>32</v>
      </c>
      <c r="AF730" t="s">
        <v>33</v>
      </c>
      <c r="AG730">
        <f t="shared" si="153"/>
        <v>1</v>
      </c>
      <c r="AH730">
        <f t="shared" si="154"/>
        <v>2024</v>
      </c>
      <c r="AI730" t="str">
        <f t="shared" si="155"/>
        <v>CLEAN</v>
      </c>
    </row>
    <row r="731" spans="1:35">
      <c r="A731" t="s">
        <v>2264</v>
      </c>
      <c r="B731">
        <f t="shared" si="143"/>
        <v>1</v>
      </c>
      <c r="C731" t="str">
        <f>IF(COUNTIF($A$2:A731, A731)&gt;1, "DUPLICATE_FLAGGED_FOR_REVIEW", "")</f>
        <v/>
      </c>
      <c r="D731" s="3">
        <v>45794</v>
      </c>
      <c r="E731" s="2">
        <v>45802</v>
      </c>
      <c r="F731" s="2" t="str">
        <f t="shared" si="144"/>
        <v>OK</v>
      </c>
      <c r="G731" s="4">
        <f t="shared" si="145"/>
        <v>8</v>
      </c>
      <c r="H731" t="s">
        <v>2265</v>
      </c>
      <c r="I731" t="s">
        <v>62</v>
      </c>
      <c r="J731" t="s">
        <v>90</v>
      </c>
      <c r="K731" t="s">
        <v>54</v>
      </c>
      <c r="L731" t="str">
        <f t="shared" si="146"/>
        <v>South</v>
      </c>
      <c r="M731" t="s">
        <v>247</v>
      </c>
      <c r="N731" t="s">
        <v>248</v>
      </c>
      <c r="O731" t="s">
        <v>74</v>
      </c>
      <c r="P731" t="s">
        <v>274</v>
      </c>
      <c r="Q731" t="s">
        <v>2266</v>
      </c>
      <c r="R731" t="s">
        <v>44</v>
      </c>
      <c r="S731" t="str">
        <f t="shared" si="147"/>
        <v>Same Day</v>
      </c>
      <c r="T731">
        <v>6</v>
      </c>
      <c r="U731">
        <v>1810.63</v>
      </c>
      <c r="V731">
        <v>0.15</v>
      </c>
      <c r="W731">
        <f t="shared" si="148"/>
        <v>0.15</v>
      </c>
      <c r="X731" t="str">
        <f t="shared" si="149"/>
        <v/>
      </c>
      <c r="Y731">
        <v>9234.2099999999991</v>
      </c>
      <c r="Z731">
        <f t="shared" si="150"/>
        <v>9234.2129999999997</v>
      </c>
      <c r="AA731">
        <v>5516.52</v>
      </c>
      <c r="AB731">
        <v>3717.69</v>
      </c>
      <c r="AC731">
        <f t="shared" si="151"/>
        <v>7423.5829999999996</v>
      </c>
      <c r="AD731" s="6">
        <f t="shared" si="152"/>
        <v>0.80392156862745101</v>
      </c>
      <c r="AE731" t="s">
        <v>32</v>
      </c>
      <c r="AF731" t="s">
        <v>33</v>
      </c>
      <c r="AG731">
        <f t="shared" si="153"/>
        <v>5</v>
      </c>
      <c r="AH731">
        <f t="shared" si="154"/>
        <v>2025</v>
      </c>
      <c r="AI731" t="str">
        <f t="shared" si="155"/>
        <v>CLEAN</v>
      </c>
    </row>
    <row r="732" spans="1:35">
      <c r="A732" t="s">
        <v>2267</v>
      </c>
      <c r="B732">
        <f t="shared" si="143"/>
        <v>1</v>
      </c>
      <c r="C732" t="str">
        <f>IF(COUNTIF($A$2:A732, A732)&gt;1, "DUPLICATE_FLAGGED_FOR_REVIEW", "")</f>
        <v/>
      </c>
      <c r="D732" s="3">
        <v>45827</v>
      </c>
      <c r="E732" s="2">
        <v>45832</v>
      </c>
      <c r="F732" s="2" t="str">
        <f t="shared" si="144"/>
        <v>OK</v>
      </c>
      <c r="G732" s="4">
        <f t="shared" si="145"/>
        <v>5</v>
      </c>
      <c r="H732" t="s">
        <v>2268</v>
      </c>
      <c r="I732" t="s">
        <v>53</v>
      </c>
      <c r="J732" t="s">
        <v>24</v>
      </c>
      <c r="K732" t="s">
        <v>38</v>
      </c>
      <c r="L732" t="str">
        <f t="shared" si="146"/>
        <v>East</v>
      </c>
      <c r="M732" t="s">
        <v>99</v>
      </c>
      <c r="N732" t="s">
        <v>100</v>
      </c>
      <c r="O732" t="s">
        <v>28</v>
      </c>
      <c r="P732" t="s">
        <v>48</v>
      </c>
      <c r="Q732" t="s">
        <v>2269</v>
      </c>
      <c r="R732" t="s">
        <v>31</v>
      </c>
      <c r="S732" t="str">
        <f t="shared" si="147"/>
        <v>Second Class</v>
      </c>
      <c r="T732">
        <v>4</v>
      </c>
      <c r="U732">
        <v>782.01</v>
      </c>
      <c r="V732">
        <v>0.15</v>
      </c>
      <c r="W732">
        <f t="shared" si="148"/>
        <v>0.15</v>
      </c>
      <c r="X732" t="str">
        <f t="shared" si="149"/>
        <v/>
      </c>
      <c r="Y732">
        <v>2658.83</v>
      </c>
      <c r="Z732">
        <f t="shared" si="150"/>
        <v>2658.8339999999998</v>
      </c>
      <c r="AA732">
        <v>2226.9699999999998</v>
      </c>
      <c r="AB732">
        <v>431.86</v>
      </c>
      <c r="AC732">
        <f t="shared" si="151"/>
        <v>1876.8239999999998</v>
      </c>
      <c r="AD732" s="6">
        <f t="shared" si="152"/>
        <v>0.70588235294117641</v>
      </c>
      <c r="AE732" t="s">
        <v>102</v>
      </c>
      <c r="AF732" t="s">
        <v>103</v>
      </c>
      <c r="AG732">
        <f t="shared" si="153"/>
        <v>6</v>
      </c>
      <c r="AH732">
        <f t="shared" si="154"/>
        <v>2025</v>
      </c>
      <c r="AI732" t="str">
        <f t="shared" si="155"/>
        <v>CLEAN</v>
      </c>
    </row>
    <row r="733" spans="1:35">
      <c r="A733" t="s">
        <v>2270</v>
      </c>
      <c r="B733">
        <f t="shared" si="143"/>
        <v>1</v>
      </c>
      <c r="C733" t="str">
        <f>IF(COUNTIF($A$2:A733, A733)&gt;1, "DUPLICATE_FLAGGED_FOR_REVIEW", "")</f>
        <v/>
      </c>
      <c r="D733" s="3">
        <v>45368</v>
      </c>
      <c r="E733" s="2">
        <v>45370</v>
      </c>
      <c r="F733" s="2" t="str">
        <f t="shared" si="144"/>
        <v>OK</v>
      </c>
      <c r="G733" s="4">
        <f t="shared" si="145"/>
        <v>2</v>
      </c>
      <c r="H733" t="s">
        <v>2271</v>
      </c>
      <c r="I733" t="s">
        <v>62</v>
      </c>
      <c r="J733" t="s">
        <v>90</v>
      </c>
      <c r="K733" t="s">
        <v>38</v>
      </c>
      <c r="L733" t="str">
        <f t="shared" si="146"/>
        <v>East</v>
      </c>
      <c r="M733" t="s">
        <v>39</v>
      </c>
      <c r="N733" t="s">
        <v>40</v>
      </c>
      <c r="O733" t="s">
        <v>28</v>
      </c>
      <c r="P733" t="s">
        <v>153</v>
      </c>
      <c r="Q733" t="s">
        <v>2272</v>
      </c>
      <c r="R733" t="s">
        <v>50</v>
      </c>
      <c r="S733" t="str">
        <f t="shared" si="147"/>
        <v>First Class</v>
      </c>
      <c r="T733">
        <v>4</v>
      </c>
      <c r="U733">
        <v>4376.68</v>
      </c>
      <c r="V733">
        <v>0.1</v>
      </c>
      <c r="W733">
        <f t="shared" si="148"/>
        <v>0.1</v>
      </c>
      <c r="X733" t="str">
        <f t="shared" si="149"/>
        <v/>
      </c>
      <c r="Y733">
        <v>15756.05</v>
      </c>
      <c r="Z733">
        <f t="shared" si="150"/>
        <v>15756.048000000001</v>
      </c>
      <c r="AA733">
        <v>10245.44</v>
      </c>
      <c r="AB733">
        <v>5510.61</v>
      </c>
      <c r="AC733">
        <f t="shared" si="151"/>
        <v>11379.368</v>
      </c>
      <c r="AD733" s="6">
        <f t="shared" si="152"/>
        <v>0.72222222222222221</v>
      </c>
      <c r="AE733" t="s">
        <v>32</v>
      </c>
      <c r="AF733" t="s">
        <v>33</v>
      </c>
      <c r="AG733">
        <f t="shared" si="153"/>
        <v>3</v>
      </c>
      <c r="AH733">
        <f t="shared" si="154"/>
        <v>2024</v>
      </c>
      <c r="AI733" t="str">
        <f t="shared" si="155"/>
        <v>CLEAN</v>
      </c>
    </row>
    <row r="734" spans="1:35">
      <c r="A734" t="s">
        <v>2273</v>
      </c>
      <c r="B734">
        <f t="shared" si="143"/>
        <v>1</v>
      </c>
      <c r="C734" t="str">
        <f>IF(COUNTIF($A$2:A734, A734)&gt;1, "DUPLICATE_FLAGGED_FOR_REVIEW", "")</f>
        <v/>
      </c>
      <c r="D734" s="3">
        <v>45624</v>
      </c>
      <c r="E734" s="2">
        <v>45632</v>
      </c>
      <c r="F734" s="2" t="str">
        <f t="shared" si="144"/>
        <v>OK</v>
      </c>
      <c r="G734" s="4">
        <f t="shared" si="145"/>
        <v>8</v>
      </c>
      <c r="H734" t="s">
        <v>2274</v>
      </c>
      <c r="I734" t="s">
        <v>53</v>
      </c>
      <c r="J734" t="s">
        <v>37</v>
      </c>
      <c r="K734" t="s">
        <v>25</v>
      </c>
      <c r="L734" t="str">
        <f t="shared" si="146"/>
        <v>North</v>
      </c>
      <c r="M734" t="s">
        <v>122</v>
      </c>
      <c r="N734" t="s">
        <v>123</v>
      </c>
      <c r="O734" t="s">
        <v>74</v>
      </c>
      <c r="P734" t="s">
        <v>171</v>
      </c>
      <c r="Q734" t="s">
        <v>2275</v>
      </c>
      <c r="R734" t="s">
        <v>59</v>
      </c>
      <c r="S734" t="str">
        <f t="shared" si="147"/>
        <v>Standard Class</v>
      </c>
      <c r="T734">
        <v>6</v>
      </c>
      <c r="U734">
        <v>2464.63</v>
      </c>
      <c r="V734">
        <v>0</v>
      </c>
      <c r="W734">
        <f t="shared" si="148"/>
        <v>0</v>
      </c>
      <c r="X734" t="str">
        <f t="shared" si="149"/>
        <v/>
      </c>
      <c r="Y734">
        <v>14787.78</v>
      </c>
      <c r="Z734">
        <f t="shared" si="150"/>
        <v>14787.78</v>
      </c>
      <c r="AA734">
        <v>8596.65</v>
      </c>
      <c r="AB734">
        <v>6191.13</v>
      </c>
      <c r="AC734">
        <f t="shared" si="151"/>
        <v>12323.150000000001</v>
      </c>
      <c r="AD734" s="6">
        <f t="shared" si="152"/>
        <v>0.83333333333333337</v>
      </c>
      <c r="AE734" t="s">
        <v>32</v>
      </c>
      <c r="AF734" t="s">
        <v>33</v>
      </c>
      <c r="AG734">
        <f t="shared" si="153"/>
        <v>11</v>
      </c>
      <c r="AH734">
        <f t="shared" si="154"/>
        <v>2024</v>
      </c>
      <c r="AI734" t="str">
        <f t="shared" si="155"/>
        <v>CLEAN</v>
      </c>
    </row>
    <row r="735" spans="1:35">
      <c r="A735" t="s">
        <v>2276</v>
      </c>
      <c r="B735">
        <f t="shared" si="143"/>
        <v>1</v>
      </c>
      <c r="C735" t="str">
        <f>IF(COUNTIF($A$2:A735, A735)&gt;1, "DUPLICATE_FLAGGED_FOR_REVIEW", "")</f>
        <v/>
      </c>
      <c r="D735" s="3">
        <v>45464</v>
      </c>
      <c r="E735" s="2">
        <v>45471</v>
      </c>
      <c r="F735" s="2" t="str">
        <f t="shared" si="144"/>
        <v>OK</v>
      </c>
      <c r="G735" s="4">
        <f t="shared" si="145"/>
        <v>7</v>
      </c>
      <c r="H735" t="s">
        <v>2277</v>
      </c>
      <c r="I735" t="s">
        <v>128</v>
      </c>
      <c r="J735" t="s">
        <v>95</v>
      </c>
      <c r="K735" t="s">
        <v>25</v>
      </c>
      <c r="L735" t="str">
        <f t="shared" si="146"/>
        <v>North</v>
      </c>
      <c r="M735" t="s">
        <v>26</v>
      </c>
      <c r="N735" t="s">
        <v>27</v>
      </c>
      <c r="O735" t="s">
        <v>41</v>
      </c>
      <c r="P735" t="s">
        <v>57</v>
      </c>
      <c r="Q735" t="s">
        <v>2278</v>
      </c>
      <c r="R735" t="s">
        <v>50</v>
      </c>
      <c r="S735" t="str">
        <f t="shared" si="147"/>
        <v>First Class</v>
      </c>
      <c r="T735">
        <v>9</v>
      </c>
      <c r="U735">
        <v>2797.96</v>
      </c>
      <c r="V735">
        <v>0</v>
      </c>
      <c r="W735">
        <f t="shared" si="148"/>
        <v>0</v>
      </c>
      <c r="X735" t="str">
        <f t="shared" si="149"/>
        <v/>
      </c>
      <c r="Y735">
        <v>25181.64</v>
      </c>
      <c r="Z735">
        <f t="shared" si="150"/>
        <v>25181.64</v>
      </c>
      <c r="AA735">
        <v>15337.9</v>
      </c>
      <c r="AB735">
        <v>9843.74</v>
      </c>
      <c r="AC735">
        <f t="shared" si="151"/>
        <v>22383.68</v>
      </c>
      <c r="AD735" s="6">
        <f t="shared" si="152"/>
        <v>0.88888888888888895</v>
      </c>
      <c r="AE735" t="s">
        <v>32</v>
      </c>
      <c r="AF735" t="s">
        <v>33</v>
      </c>
      <c r="AG735">
        <f t="shared" si="153"/>
        <v>6</v>
      </c>
      <c r="AH735">
        <f t="shared" si="154"/>
        <v>2024</v>
      </c>
      <c r="AI735" t="str">
        <f t="shared" si="155"/>
        <v>CLEAN</v>
      </c>
    </row>
    <row r="736" spans="1:35">
      <c r="A736" t="s">
        <v>2279</v>
      </c>
      <c r="B736">
        <f t="shared" si="143"/>
        <v>1</v>
      </c>
      <c r="C736" t="str">
        <f>IF(COUNTIF($A$2:A736, A736)&gt;1, "DUPLICATE_FLAGGED_FOR_REVIEW", "")</f>
        <v/>
      </c>
      <c r="D736" s="3">
        <v>45528</v>
      </c>
      <c r="E736" s="2">
        <v>45528</v>
      </c>
      <c r="F736" s="2" t="str">
        <f t="shared" si="144"/>
        <v>OK</v>
      </c>
      <c r="G736" s="4">
        <f t="shared" si="145"/>
        <v>0</v>
      </c>
      <c r="H736" t="s">
        <v>2280</v>
      </c>
      <c r="I736" t="s">
        <v>62</v>
      </c>
      <c r="J736" t="s">
        <v>37</v>
      </c>
      <c r="K736" t="s">
        <v>25</v>
      </c>
      <c r="L736" t="str">
        <f t="shared" si="146"/>
        <v>North</v>
      </c>
      <c r="M736" t="s">
        <v>26</v>
      </c>
      <c r="N736" t="s">
        <v>27</v>
      </c>
      <c r="O736" t="s">
        <v>74</v>
      </c>
      <c r="P736" t="s">
        <v>75</v>
      </c>
      <c r="Q736" t="s">
        <v>2281</v>
      </c>
      <c r="R736" t="s">
        <v>50</v>
      </c>
      <c r="S736" t="str">
        <f t="shared" si="147"/>
        <v>First Class</v>
      </c>
      <c r="T736">
        <v>4</v>
      </c>
      <c r="U736">
        <v>2761.86</v>
      </c>
      <c r="V736">
        <v>0.2</v>
      </c>
      <c r="W736">
        <f t="shared" si="148"/>
        <v>0.2</v>
      </c>
      <c r="X736" t="str">
        <f t="shared" si="149"/>
        <v/>
      </c>
      <c r="Y736">
        <v>8837.9500000000007</v>
      </c>
      <c r="Z736">
        <f t="shared" si="150"/>
        <v>8837.9520000000011</v>
      </c>
      <c r="AA736">
        <v>6157.27</v>
      </c>
      <c r="AB736">
        <v>2680.68</v>
      </c>
      <c r="AC736">
        <f t="shared" si="151"/>
        <v>6076.0920000000006</v>
      </c>
      <c r="AD736" s="6">
        <f t="shared" si="152"/>
        <v>0.6875</v>
      </c>
      <c r="AE736" t="s">
        <v>32</v>
      </c>
      <c r="AF736" t="s">
        <v>33</v>
      </c>
      <c r="AG736">
        <f t="shared" si="153"/>
        <v>8</v>
      </c>
      <c r="AH736">
        <f t="shared" si="154"/>
        <v>2024</v>
      </c>
      <c r="AI736" t="str">
        <f t="shared" si="155"/>
        <v>CLEAN</v>
      </c>
    </row>
    <row r="737" spans="1:35">
      <c r="A737" t="s">
        <v>2282</v>
      </c>
      <c r="B737">
        <f t="shared" si="143"/>
        <v>1</v>
      </c>
      <c r="C737" t="str">
        <f>IF(COUNTIF($A$2:A737, A737)&gt;1, "DUPLICATE_FLAGGED_FOR_REVIEW", "")</f>
        <v/>
      </c>
      <c r="D737" s="3">
        <v>45515</v>
      </c>
      <c r="E737" s="2">
        <v>45523</v>
      </c>
      <c r="F737" s="2" t="str">
        <f t="shared" si="144"/>
        <v>OK</v>
      </c>
      <c r="G737" s="4">
        <f t="shared" si="145"/>
        <v>8</v>
      </c>
      <c r="H737" t="s">
        <v>2283</v>
      </c>
      <c r="I737" t="s">
        <v>36</v>
      </c>
      <c r="J737" t="s">
        <v>24</v>
      </c>
      <c r="K737" t="s">
        <v>63</v>
      </c>
      <c r="L737" t="str">
        <f t="shared" si="146"/>
        <v>West</v>
      </c>
      <c r="M737" t="s">
        <v>64</v>
      </c>
      <c r="N737" t="s">
        <v>65</v>
      </c>
      <c r="O737" t="s">
        <v>41</v>
      </c>
      <c r="P737" t="s">
        <v>42</v>
      </c>
      <c r="Q737" t="s">
        <v>2284</v>
      </c>
      <c r="R737" t="s">
        <v>59</v>
      </c>
      <c r="S737" t="str">
        <f t="shared" si="147"/>
        <v>Standard Class</v>
      </c>
      <c r="T737">
        <v>6</v>
      </c>
      <c r="U737">
        <v>1515.79</v>
      </c>
      <c r="V737">
        <v>0.2</v>
      </c>
      <c r="W737">
        <f t="shared" si="148"/>
        <v>0.2</v>
      </c>
      <c r="X737" t="str">
        <f t="shared" si="149"/>
        <v/>
      </c>
      <c r="Y737">
        <v>7275.79</v>
      </c>
      <c r="Z737">
        <f t="shared" si="150"/>
        <v>7275.7920000000004</v>
      </c>
      <c r="AA737">
        <v>6152.87</v>
      </c>
      <c r="AB737">
        <v>1122.92</v>
      </c>
      <c r="AC737">
        <f t="shared" si="151"/>
        <v>5760.0020000000004</v>
      </c>
      <c r="AD737" s="6">
        <f t="shared" si="152"/>
        <v>0.79166666666666663</v>
      </c>
      <c r="AE737" t="s">
        <v>32</v>
      </c>
      <c r="AF737" t="s">
        <v>33</v>
      </c>
      <c r="AG737">
        <f t="shared" si="153"/>
        <v>8</v>
      </c>
      <c r="AH737">
        <f t="shared" si="154"/>
        <v>2024</v>
      </c>
      <c r="AI737" t="str">
        <f t="shared" si="155"/>
        <v>CLEAN</v>
      </c>
    </row>
    <row r="738" spans="1:35">
      <c r="A738" t="s">
        <v>2285</v>
      </c>
      <c r="B738">
        <f t="shared" si="143"/>
        <v>1</v>
      </c>
      <c r="C738" t="str">
        <f>IF(COUNTIF($A$2:A738, A738)&gt;1, "DUPLICATE_FLAGGED_FOR_REVIEW", "")</f>
        <v/>
      </c>
      <c r="D738" s="3">
        <v>45632</v>
      </c>
      <c r="E738" s="2">
        <v>45635</v>
      </c>
      <c r="F738" s="2" t="str">
        <f t="shared" si="144"/>
        <v>OK</v>
      </c>
      <c r="G738" s="4">
        <f t="shared" si="145"/>
        <v>3</v>
      </c>
      <c r="H738" t="s">
        <v>2286</v>
      </c>
      <c r="I738" t="s">
        <v>89</v>
      </c>
      <c r="J738" t="s">
        <v>24</v>
      </c>
      <c r="K738" t="s">
        <v>63</v>
      </c>
      <c r="L738" t="str">
        <f t="shared" si="146"/>
        <v>West</v>
      </c>
      <c r="M738" t="s">
        <v>64</v>
      </c>
      <c r="N738" t="s">
        <v>65</v>
      </c>
      <c r="O738" t="s">
        <v>41</v>
      </c>
      <c r="P738" t="s">
        <v>66</v>
      </c>
      <c r="Q738" t="s">
        <v>2287</v>
      </c>
      <c r="R738" t="s">
        <v>31</v>
      </c>
      <c r="S738" t="str">
        <f t="shared" si="147"/>
        <v>Second Class</v>
      </c>
      <c r="T738">
        <v>9</v>
      </c>
      <c r="U738">
        <v>290.75</v>
      </c>
      <c r="V738">
        <v>0.1</v>
      </c>
      <c r="W738">
        <f t="shared" si="148"/>
        <v>0.1</v>
      </c>
      <c r="X738" t="str">
        <f t="shared" si="149"/>
        <v/>
      </c>
      <c r="Y738">
        <v>2355.08</v>
      </c>
      <c r="Z738">
        <f t="shared" si="150"/>
        <v>2355.0750000000003</v>
      </c>
      <c r="AA738">
        <v>1350.03</v>
      </c>
      <c r="AB738">
        <v>1005.05</v>
      </c>
      <c r="AC738">
        <f t="shared" si="151"/>
        <v>2064.3250000000003</v>
      </c>
      <c r="AD738" s="6">
        <f t="shared" si="152"/>
        <v>0.87654320987654322</v>
      </c>
      <c r="AE738" t="s">
        <v>32</v>
      </c>
      <c r="AF738" t="s">
        <v>33</v>
      </c>
      <c r="AG738">
        <f t="shared" si="153"/>
        <v>12</v>
      </c>
      <c r="AH738">
        <f t="shared" si="154"/>
        <v>2024</v>
      </c>
      <c r="AI738" t="str">
        <f t="shared" si="155"/>
        <v>CLEAN</v>
      </c>
    </row>
    <row r="739" spans="1:35">
      <c r="A739" t="s">
        <v>2288</v>
      </c>
      <c r="B739">
        <f t="shared" si="143"/>
        <v>1</v>
      </c>
      <c r="C739" t="str">
        <f>IF(COUNTIF($A$2:A739, A739)&gt;1, "DUPLICATE_FLAGGED_FOR_REVIEW", "")</f>
        <v/>
      </c>
      <c r="D739" s="3">
        <v>45332</v>
      </c>
      <c r="E739" s="2">
        <v>45332</v>
      </c>
      <c r="F739" s="2" t="str">
        <f t="shared" si="144"/>
        <v>OK</v>
      </c>
      <c r="G739" s="4">
        <f t="shared" si="145"/>
        <v>0</v>
      </c>
      <c r="H739" t="s">
        <v>2289</v>
      </c>
      <c r="I739" t="s">
        <v>47</v>
      </c>
      <c r="J739" t="s">
        <v>95</v>
      </c>
      <c r="K739" t="s">
        <v>63</v>
      </c>
      <c r="L739" t="str">
        <f t="shared" si="146"/>
        <v>West</v>
      </c>
      <c r="M739" t="s">
        <v>64</v>
      </c>
      <c r="N739" t="s">
        <v>65</v>
      </c>
      <c r="O739" t="s">
        <v>41</v>
      </c>
      <c r="P739" t="s">
        <v>66</v>
      </c>
      <c r="Q739" t="s">
        <v>2290</v>
      </c>
      <c r="R739" t="s">
        <v>44</v>
      </c>
      <c r="S739" t="str">
        <f t="shared" si="147"/>
        <v>Same Day</v>
      </c>
      <c r="T739">
        <v>6</v>
      </c>
      <c r="U739">
        <v>601.52</v>
      </c>
      <c r="V739">
        <v>0</v>
      </c>
      <c r="W739">
        <f t="shared" si="148"/>
        <v>0</v>
      </c>
      <c r="X739" t="str">
        <f t="shared" si="149"/>
        <v/>
      </c>
      <c r="Y739">
        <v>3609.12</v>
      </c>
      <c r="Z739">
        <f t="shared" si="150"/>
        <v>3609.12</v>
      </c>
      <c r="AA739">
        <v>2645.5</v>
      </c>
      <c r="AB739">
        <v>963.62</v>
      </c>
      <c r="AC739">
        <f t="shared" si="151"/>
        <v>3007.6</v>
      </c>
      <c r="AD739" s="6">
        <f t="shared" si="152"/>
        <v>0.83333333333333337</v>
      </c>
      <c r="AE739" t="s">
        <v>32</v>
      </c>
      <c r="AF739" t="s">
        <v>33</v>
      </c>
      <c r="AG739">
        <f t="shared" si="153"/>
        <v>2</v>
      </c>
      <c r="AH739">
        <f t="shared" si="154"/>
        <v>2024</v>
      </c>
      <c r="AI739" t="str">
        <f t="shared" si="155"/>
        <v>CLEAN</v>
      </c>
    </row>
    <row r="740" spans="1:35">
      <c r="A740" t="s">
        <v>2291</v>
      </c>
      <c r="B740">
        <f t="shared" si="143"/>
        <v>1</v>
      </c>
      <c r="C740" t="str">
        <f>IF(COUNTIF($A$2:A740, A740)&gt;1, "DUPLICATE_FLAGGED_FOR_REVIEW", "")</f>
        <v/>
      </c>
      <c r="D740" s="3">
        <v>45708</v>
      </c>
      <c r="E740" s="2">
        <v>45710</v>
      </c>
      <c r="F740" s="2" t="str">
        <f t="shared" si="144"/>
        <v>OK</v>
      </c>
      <c r="G740" s="4">
        <f t="shared" si="145"/>
        <v>2</v>
      </c>
      <c r="H740" t="s">
        <v>2292</v>
      </c>
      <c r="I740" t="s">
        <v>114</v>
      </c>
      <c r="J740" t="s">
        <v>90</v>
      </c>
      <c r="K740" t="s">
        <v>54</v>
      </c>
      <c r="L740" t="str">
        <f t="shared" si="146"/>
        <v>South</v>
      </c>
      <c r="M740" t="s">
        <v>185</v>
      </c>
      <c r="N740" t="s">
        <v>186</v>
      </c>
      <c r="O740" t="s">
        <v>28</v>
      </c>
      <c r="P740" t="s">
        <v>29</v>
      </c>
      <c r="Q740" t="s">
        <v>2293</v>
      </c>
      <c r="R740" t="s">
        <v>50</v>
      </c>
      <c r="S740" t="str">
        <f t="shared" si="147"/>
        <v>First Class</v>
      </c>
      <c r="T740">
        <v>1</v>
      </c>
      <c r="U740">
        <v>2188.19</v>
      </c>
      <c r="V740">
        <v>0</v>
      </c>
      <c r="W740">
        <f t="shared" si="148"/>
        <v>0</v>
      </c>
      <c r="X740" t="str">
        <f t="shared" si="149"/>
        <v/>
      </c>
      <c r="Y740">
        <v>2188.19</v>
      </c>
      <c r="Z740">
        <f t="shared" si="150"/>
        <v>2188.19</v>
      </c>
      <c r="AA740">
        <v>1298.8399999999999</v>
      </c>
      <c r="AB740">
        <v>889.35</v>
      </c>
      <c r="AC740">
        <f t="shared" si="151"/>
        <v>0</v>
      </c>
      <c r="AD740" s="6">
        <f t="shared" si="152"/>
        <v>0</v>
      </c>
      <c r="AE740" t="s">
        <v>32</v>
      </c>
      <c r="AF740" t="s">
        <v>33</v>
      </c>
      <c r="AG740">
        <f t="shared" si="153"/>
        <v>2</v>
      </c>
      <c r="AH740">
        <f t="shared" si="154"/>
        <v>2025</v>
      </c>
      <c r="AI740" t="str">
        <f t="shared" si="155"/>
        <v>CLEAN</v>
      </c>
    </row>
    <row r="741" spans="1:35">
      <c r="A741" t="s">
        <v>2294</v>
      </c>
      <c r="B741">
        <f t="shared" si="143"/>
        <v>1</v>
      </c>
      <c r="C741" t="str">
        <f>IF(COUNTIF($A$2:A741, A741)&gt;1, "DUPLICATE_FLAGGED_FOR_REVIEW", "")</f>
        <v/>
      </c>
      <c r="D741" s="3">
        <v>45629</v>
      </c>
      <c r="E741" s="2">
        <v>45577</v>
      </c>
      <c r="F741" s="2" t="str">
        <f t="shared" si="144"/>
        <v>ERROR: Ship before order</v>
      </c>
      <c r="G741" s="4">
        <f t="shared" si="145"/>
        <v>-52</v>
      </c>
      <c r="H741" t="s">
        <v>2295</v>
      </c>
      <c r="I741" t="s">
        <v>79</v>
      </c>
      <c r="J741" t="s">
        <v>90</v>
      </c>
      <c r="K741" t="s">
        <v>25</v>
      </c>
      <c r="L741" t="str">
        <f t="shared" si="146"/>
        <v>North</v>
      </c>
      <c r="M741" t="s">
        <v>26</v>
      </c>
      <c r="N741" t="s">
        <v>27</v>
      </c>
      <c r="O741" t="s">
        <v>74</v>
      </c>
      <c r="P741" t="s">
        <v>171</v>
      </c>
      <c r="Q741" t="s">
        <v>2296</v>
      </c>
      <c r="R741" t="s">
        <v>59</v>
      </c>
      <c r="S741" t="str">
        <f t="shared" si="147"/>
        <v>Standard Class</v>
      </c>
      <c r="T741">
        <v>5</v>
      </c>
      <c r="U741">
        <v>2393.86</v>
      </c>
      <c r="V741">
        <v>0.05</v>
      </c>
      <c r="W741">
        <f t="shared" si="148"/>
        <v>0.05</v>
      </c>
      <c r="X741" t="str">
        <f t="shared" si="149"/>
        <v/>
      </c>
      <c r="Y741">
        <v>11370.84</v>
      </c>
      <c r="Z741">
        <f t="shared" si="150"/>
        <v>11370.835000000001</v>
      </c>
      <c r="AA741">
        <v>7469.58</v>
      </c>
      <c r="AB741">
        <v>3901.26</v>
      </c>
      <c r="AC741">
        <f t="shared" si="151"/>
        <v>8976.9750000000004</v>
      </c>
      <c r="AD741" s="6">
        <f t="shared" si="152"/>
        <v>0.78947368421052633</v>
      </c>
      <c r="AE741" t="s">
        <v>32</v>
      </c>
      <c r="AF741" t="s">
        <v>33</v>
      </c>
      <c r="AG741">
        <f t="shared" si="153"/>
        <v>12</v>
      </c>
      <c r="AH741">
        <f t="shared" si="154"/>
        <v>2024</v>
      </c>
      <c r="AI741" t="str">
        <f t="shared" si="155"/>
        <v>INVALID</v>
      </c>
    </row>
    <row r="742" spans="1:35">
      <c r="A742" t="s">
        <v>2297</v>
      </c>
      <c r="B742">
        <f t="shared" si="143"/>
        <v>1</v>
      </c>
      <c r="C742" t="str">
        <f>IF(COUNTIF($A$2:A742, A742)&gt;1, "DUPLICATE_FLAGGED_FOR_REVIEW", "")</f>
        <v/>
      </c>
      <c r="D742" s="3">
        <v>45384</v>
      </c>
      <c r="E742" s="2">
        <v>45326</v>
      </c>
      <c r="F742" s="2" t="str">
        <f t="shared" si="144"/>
        <v>ERROR: Ship before order</v>
      </c>
      <c r="G742" s="4">
        <f t="shared" si="145"/>
        <v>-58</v>
      </c>
      <c r="H742" t="s">
        <v>521</v>
      </c>
      <c r="I742" t="s">
        <v>132</v>
      </c>
      <c r="J742" t="s">
        <v>37</v>
      </c>
      <c r="K742" t="s">
        <v>63</v>
      </c>
      <c r="L742" t="str">
        <f t="shared" si="146"/>
        <v>West</v>
      </c>
      <c r="M742" t="s">
        <v>64</v>
      </c>
      <c r="N742" t="s">
        <v>65</v>
      </c>
      <c r="O742" t="s">
        <v>41</v>
      </c>
      <c r="P742" t="s">
        <v>66</v>
      </c>
      <c r="Q742" t="s">
        <v>2298</v>
      </c>
      <c r="R742" t="s">
        <v>50</v>
      </c>
      <c r="S742" t="str">
        <f t="shared" si="147"/>
        <v>First Class</v>
      </c>
      <c r="T742">
        <v>4</v>
      </c>
      <c r="U742">
        <v>2583</v>
      </c>
      <c r="V742">
        <v>0.1</v>
      </c>
      <c r="W742">
        <f t="shared" si="148"/>
        <v>0.1</v>
      </c>
      <c r="X742" t="str">
        <f t="shared" si="149"/>
        <v/>
      </c>
      <c r="Y742">
        <v>9298.7999999999993</v>
      </c>
      <c r="Z742">
        <f t="shared" si="150"/>
        <v>9298.8000000000011</v>
      </c>
      <c r="AA742">
        <v>6548.5</v>
      </c>
      <c r="AB742">
        <v>2750.3</v>
      </c>
      <c r="AC742">
        <f t="shared" si="151"/>
        <v>6715.8000000000011</v>
      </c>
      <c r="AD742" s="6">
        <f t="shared" si="152"/>
        <v>0.72222222222222221</v>
      </c>
      <c r="AE742" t="s">
        <v>32</v>
      </c>
      <c r="AF742" t="s">
        <v>33</v>
      </c>
      <c r="AG742">
        <f t="shared" si="153"/>
        <v>4</v>
      </c>
      <c r="AH742">
        <f t="shared" si="154"/>
        <v>2024</v>
      </c>
      <c r="AI742" t="str">
        <f t="shared" si="155"/>
        <v>INVALID</v>
      </c>
    </row>
    <row r="743" spans="1:35">
      <c r="A743" t="s">
        <v>2299</v>
      </c>
      <c r="B743">
        <f t="shared" si="143"/>
        <v>1</v>
      </c>
      <c r="C743" t="str">
        <f>IF(COUNTIF($A$2:A743, A743)&gt;1, "DUPLICATE_FLAGGED_FOR_REVIEW", "")</f>
        <v/>
      </c>
      <c r="D743" s="3">
        <v>45770</v>
      </c>
      <c r="E743" s="2">
        <v>45772</v>
      </c>
      <c r="F743" s="2" t="str">
        <f t="shared" si="144"/>
        <v>OK</v>
      </c>
      <c r="G743" s="4">
        <f t="shared" si="145"/>
        <v>2</v>
      </c>
      <c r="H743" t="s">
        <v>2300</v>
      </c>
      <c r="I743" t="s">
        <v>47</v>
      </c>
      <c r="J743" t="s">
        <v>95</v>
      </c>
      <c r="K743" t="s">
        <v>54</v>
      </c>
      <c r="L743" t="str">
        <f t="shared" si="146"/>
        <v>South</v>
      </c>
      <c r="M743" t="s">
        <v>247</v>
      </c>
      <c r="N743" t="s">
        <v>248</v>
      </c>
      <c r="O743" t="s">
        <v>41</v>
      </c>
      <c r="P743" t="s">
        <v>66</v>
      </c>
      <c r="Q743" t="s">
        <v>2301</v>
      </c>
      <c r="R743" t="s">
        <v>31</v>
      </c>
      <c r="S743" t="str">
        <f t="shared" si="147"/>
        <v>Second Class</v>
      </c>
      <c r="T743">
        <v>3</v>
      </c>
      <c r="U743">
        <v>2951.12</v>
      </c>
      <c r="W743">
        <f t="shared" si="148"/>
        <v>0</v>
      </c>
      <c r="X743" t="str">
        <f t="shared" si="149"/>
        <v>DISCOUNT_MISSING_SET_TO_0</v>
      </c>
      <c r="Y743">
        <v>7082.69</v>
      </c>
      <c r="Z743">
        <f t="shared" si="150"/>
        <v>8853.36</v>
      </c>
      <c r="AA743">
        <v>5596.34</v>
      </c>
      <c r="AB743">
        <v>1486.35</v>
      </c>
      <c r="AC743">
        <f t="shared" si="151"/>
        <v>5902.2400000000007</v>
      </c>
      <c r="AD743" s="6">
        <f t="shared" si="152"/>
        <v>0.66666666666666674</v>
      </c>
      <c r="AE743" t="s">
        <v>32</v>
      </c>
      <c r="AF743" t="s">
        <v>68</v>
      </c>
      <c r="AG743">
        <f t="shared" si="153"/>
        <v>4</v>
      </c>
      <c r="AH743">
        <f t="shared" si="154"/>
        <v>2025</v>
      </c>
      <c r="AI743" t="str">
        <f t="shared" si="155"/>
        <v>WARNING</v>
      </c>
    </row>
    <row r="744" spans="1:35">
      <c r="A744" t="s">
        <v>2302</v>
      </c>
      <c r="B744">
        <f t="shared" si="143"/>
        <v>1</v>
      </c>
      <c r="C744" t="str">
        <f>IF(COUNTIF($A$2:A744, A744)&gt;1, "DUPLICATE_FLAGGED_FOR_REVIEW", "")</f>
        <v/>
      </c>
      <c r="D744" s="3">
        <v>45580</v>
      </c>
      <c r="E744" s="2">
        <v>45587</v>
      </c>
      <c r="F744" s="2" t="str">
        <f t="shared" si="144"/>
        <v>OK</v>
      </c>
      <c r="G744" s="4">
        <f t="shared" si="145"/>
        <v>7</v>
      </c>
      <c r="H744" t="s">
        <v>2303</v>
      </c>
      <c r="I744" t="s">
        <v>23</v>
      </c>
      <c r="J744" t="s">
        <v>90</v>
      </c>
      <c r="K744" t="s">
        <v>38</v>
      </c>
      <c r="L744" t="str">
        <f t="shared" si="146"/>
        <v>East</v>
      </c>
      <c r="M744" t="s">
        <v>39</v>
      </c>
      <c r="N744" t="s">
        <v>40</v>
      </c>
      <c r="O744" t="s">
        <v>28</v>
      </c>
      <c r="P744" t="s">
        <v>29</v>
      </c>
      <c r="Q744" t="s">
        <v>2304</v>
      </c>
      <c r="R744" t="s">
        <v>59</v>
      </c>
      <c r="S744" t="str">
        <f t="shared" si="147"/>
        <v>Standard Class</v>
      </c>
      <c r="T744">
        <v>4</v>
      </c>
      <c r="U744">
        <v>2260.9499999999998</v>
      </c>
      <c r="V744">
        <v>0</v>
      </c>
      <c r="W744">
        <f t="shared" si="148"/>
        <v>0</v>
      </c>
      <c r="X744" t="str">
        <f t="shared" si="149"/>
        <v/>
      </c>
      <c r="Y744">
        <v>9043.7999999999993</v>
      </c>
      <c r="Z744">
        <f t="shared" si="150"/>
        <v>9043.7999999999993</v>
      </c>
      <c r="AA744">
        <v>5913.38</v>
      </c>
      <c r="AB744">
        <v>3130.42</v>
      </c>
      <c r="AC744">
        <f t="shared" si="151"/>
        <v>6782.8499999999995</v>
      </c>
      <c r="AD744" s="6">
        <f t="shared" si="152"/>
        <v>0.75</v>
      </c>
      <c r="AE744" t="s">
        <v>32</v>
      </c>
      <c r="AF744" t="s">
        <v>33</v>
      </c>
      <c r="AG744">
        <f t="shared" si="153"/>
        <v>10</v>
      </c>
      <c r="AH744">
        <f t="shared" si="154"/>
        <v>2024</v>
      </c>
      <c r="AI744" t="str">
        <f t="shared" si="155"/>
        <v>CLEAN</v>
      </c>
    </row>
    <row r="745" spans="1:35">
      <c r="A745" t="s">
        <v>2305</v>
      </c>
      <c r="B745">
        <f t="shared" si="143"/>
        <v>1</v>
      </c>
      <c r="C745" t="str">
        <f>IF(COUNTIF($A$2:A745, A745)&gt;1, "DUPLICATE_FLAGGED_FOR_REVIEW", "")</f>
        <v/>
      </c>
      <c r="D745" s="3">
        <v>45993</v>
      </c>
      <c r="E745" s="2">
        <v>45702</v>
      </c>
      <c r="F745" s="2" t="str">
        <f t="shared" si="144"/>
        <v>ERROR: Ship before order</v>
      </c>
      <c r="G745" s="4">
        <f t="shared" si="145"/>
        <v>-291</v>
      </c>
      <c r="H745" t="s">
        <v>2306</v>
      </c>
      <c r="I745" t="s">
        <v>132</v>
      </c>
      <c r="J745" t="s">
        <v>24</v>
      </c>
      <c r="K745" t="s">
        <v>25</v>
      </c>
      <c r="L745" t="str">
        <f t="shared" si="146"/>
        <v>North</v>
      </c>
      <c r="M745" t="s">
        <v>136</v>
      </c>
      <c r="N745" t="s">
        <v>137</v>
      </c>
      <c r="O745" t="s">
        <v>28</v>
      </c>
      <c r="P745" t="s">
        <v>48</v>
      </c>
      <c r="Q745" t="s">
        <v>2307</v>
      </c>
      <c r="R745" t="s">
        <v>59</v>
      </c>
      <c r="S745" t="str">
        <f t="shared" si="147"/>
        <v>Standard Class</v>
      </c>
      <c r="T745">
        <v>6</v>
      </c>
      <c r="U745">
        <v>491.4</v>
      </c>
      <c r="V745">
        <v>0.25</v>
      </c>
      <c r="W745">
        <f t="shared" si="148"/>
        <v>0.25</v>
      </c>
      <c r="X745" t="str">
        <f t="shared" si="149"/>
        <v/>
      </c>
      <c r="Y745">
        <v>2211.3000000000002</v>
      </c>
      <c r="Z745">
        <f t="shared" si="150"/>
        <v>2211.2999999999997</v>
      </c>
      <c r="AA745">
        <v>1735.64</v>
      </c>
      <c r="AB745">
        <v>475.66</v>
      </c>
      <c r="AC745">
        <f t="shared" si="151"/>
        <v>1719.8999999999996</v>
      </c>
      <c r="AD745" s="6">
        <f t="shared" si="152"/>
        <v>0.77777777777777768</v>
      </c>
      <c r="AE745" t="s">
        <v>32</v>
      </c>
      <c r="AF745" t="s">
        <v>33</v>
      </c>
      <c r="AG745">
        <f t="shared" si="153"/>
        <v>12</v>
      </c>
      <c r="AH745">
        <f t="shared" si="154"/>
        <v>2025</v>
      </c>
      <c r="AI745" t="str">
        <f t="shared" si="155"/>
        <v>INVALID</v>
      </c>
    </row>
    <row r="746" spans="1:35">
      <c r="A746" t="s">
        <v>2308</v>
      </c>
      <c r="B746">
        <f t="shared" si="143"/>
        <v>1</v>
      </c>
      <c r="C746" t="str">
        <f>IF(COUNTIF($A$2:A746, A746)&gt;1, "DUPLICATE_FLAGGED_FOR_REVIEW", "")</f>
        <v/>
      </c>
      <c r="D746" s="3">
        <v>45886</v>
      </c>
      <c r="E746" s="2">
        <v>45889</v>
      </c>
      <c r="F746" s="2" t="str">
        <f t="shared" si="144"/>
        <v>OK</v>
      </c>
      <c r="G746" s="4">
        <f t="shared" si="145"/>
        <v>3</v>
      </c>
      <c r="H746" t="s">
        <v>2309</v>
      </c>
      <c r="I746" t="s">
        <v>36</v>
      </c>
      <c r="J746" t="s">
        <v>95</v>
      </c>
      <c r="K746" t="s">
        <v>25</v>
      </c>
      <c r="L746" t="str">
        <f t="shared" si="146"/>
        <v>North</v>
      </c>
      <c r="M746" t="s">
        <v>122</v>
      </c>
      <c r="N746" t="s">
        <v>123</v>
      </c>
      <c r="O746" t="s">
        <v>28</v>
      </c>
      <c r="P746" t="s">
        <v>153</v>
      </c>
      <c r="Q746" t="s">
        <v>2310</v>
      </c>
      <c r="R746" t="s">
        <v>50</v>
      </c>
      <c r="S746" t="str">
        <f t="shared" si="147"/>
        <v>First Class</v>
      </c>
      <c r="T746">
        <v>5</v>
      </c>
      <c r="U746">
        <v>2701.89</v>
      </c>
      <c r="V746">
        <v>0.1</v>
      </c>
      <c r="W746">
        <f t="shared" si="148"/>
        <v>0.1</v>
      </c>
      <c r="X746" t="str">
        <f t="shared" si="149"/>
        <v/>
      </c>
      <c r="Y746">
        <v>12158.5</v>
      </c>
      <c r="Z746">
        <f t="shared" si="150"/>
        <v>12158.504999999999</v>
      </c>
      <c r="AA746">
        <v>10260.07</v>
      </c>
      <c r="AB746">
        <v>1898.43</v>
      </c>
      <c r="AC746">
        <f t="shared" si="151"/>
        <v>9456.6149999999998</v>
      </c>
      <c r="AD746" s="6">
        <f t="shared" si="152"/>
        <v>0.77777777777777779</v>
      </c>
      <c r="AE746" t="s">
        <v>32</v>
      </c>
      <c r="AF746" t="s">
        <v>68</v>
      </c>
      <c r="AG746">
        <f t="shared" si="153"/>
        <v>8</v>
      </c>
      <c r="AH746">
        <f t="shared" si="154"/>
        <v>2025</v>
      </c>
      <c r="AI746" t="str">
        <f t="shared" si="155"/>
        <v>CLEAN</v>
      </c>
    </row>
    <row r="747" spans="1:35">
      <c r="A747" t="s">
        <v>2311</v>
      </c>
      <c r="B747">
        <f t="shared" si="143"/>
        <v>1</v>
      </c>
      <c r="C747" t="str">
        <f>IF(COUNTIF($A$2:A747, A747)&gt;1, "DUPLICATE_FLAGGED_FOR_REVIEW", "")</f>
        <v/>
      </c>
      <c r="D747" s="3">
        <v>45589</v>
      </c>
      <c r="E747" s="2">
        <v>45593</v>
      </c>
      <c r="F747" s="2" t="str">
        <f t="shared" si="144"/>
        <v>OK</v>
      </c>
      <c r="G747" s="4">
        <f t="shared" si="145"/>
        <v>4</v>
      </c>
      <c r="H747" t="s">
        <v>2312</v>
      </c>
      <c r="I747" t="s">
        <v>36</v>
      </c>
      <c r="J747" t="s">
        <v>37</v>
      </c>
      <c r="K747" t="s">
        <v>38</v>
      </c>
      <c r="L747" t="str">
        <f t="shared" si="146"/>
        <v>East</v>
      </c>
      <c r="M747" t="s">
        <v>166</v>
      </c>
      <c r="N747" t="s">
        <v>167</v>
      </c>
      <c r="O747" t="s">
        <v>74</v>
      </c>
      <c r="P747" t="s">
        <v>80</v>
      </c>
      <c r="Q747" t="s">
        <v>2313</v>
      </c>
      <c r="R747" t="s">
        <v>59</v>
      </c>
      <c r="S747" t="str">
        <f t="shared" si="147"/>
        <v>Standard Class</v>
      </c>
      <c r="T747">
        <v>3</v>
      </c>
      <c r="U747">
        <v>723.59</v>
      </c>
      <c r="V747">
        <v>0.2</v>
      </c>
      <c r="W747">
        <f t="shared" si="148"/>
        <v>0.2</v>
      </c>
      <c r="X747" t="str">
        <f t="shared" si="149"/>
        <v/>
      </c>
      <c r="Y747">
        <v>1736.62</v>
      </c>
      <c r="Z747">
        <f t="shared" si="150"/>
        <v>1736.616</v>
      </c>
      <c r="AA747">
        <v>1059.52</v>
      </c>
      <c r="AB747">
        <v>677.1</v>
      </c>
      <c r="AC747">
        <f t="shared" si="151"/>
        <v>1013.026</v>
      </c>
      <c r="AD747" s="6">
        <f t="shared" si="152"/>
        <v>0.58333333333333326</v>
      </c>
      <c r="AE747" t="s">
        <v>32</v>
      </c>
      <c r="AF747" t="s">
        <v>33</v>
      </c>
      <c r="AG747">
        <f t="shared" si="153"/>
        <v>10</v>
      </c>
      <c r="AH747">
        <f t="shared" si="154"/>
        <v>2024</v>
      </c>
      <c r="AI747" t="str">
        <f t="shared" si="155"/>
        <v>CLEAN</v>
      </c>
    </row>
    <row r="748" spans="1:35">
      <c r="A748" t="s">
        <v>2314</v>
      </c>
      <c r="B748">
        <f t="shared" si="143"/>
        <v>1</v>
      </c>
      <c r="C748" t="str">
        <f>IF(COUNTIF($A$2:A748, A748)&gt;1, "DUPLICATE_FLAGGED_FOR_REVIEW", "")</f>
        <v/>
      </c>
      <c r="D748" s="3">
        <v>45661</v>
      </c>
      <c r="E748" s="2">
        <v>45667</v>
      </c>
      <c r="F748" s="2" t="str">
        <f t="shared" si="144"/>
        <v>OK</v>
      </c>
      <c r="G748" s="4">
        <f t="shared" si="145"/>
        <v>6</v>
      </c>
      <c r="H748" t="s">
        <v>2023</v>
      </c>
      <c r="I748" t="s">
        <v>128</v>
      </c>
      <c r="J748" t="s">
        <v>95</v>
      </c>
      <c r="K748" t="s">
        <v>38</v>
      </c>
      <c r="L748" t="str">
        <f t="shared" si="146"/>
        <v>East</v>
      </c>
      <c r="M748" t="s">
        <v>99</v>
      </c>
      <c r="N748" t="s">
        <v>100</v>
      </c>
      <c r="O748" t="s">
        <v>28</v>
      </c>
      <c r="P748" t="s">
        <v>29</v>
      </c>
      <c r="Q748" t="s">
        <v>2315</v>
      </c>
      <c r="R748" t="s">
        <v>59</v>
      </c>
      <c r="S748" t="str">
        <f t="shared" si="147"/>
        <v>Standard Class</v>
      </c>
      <c r="T748">
        <v>4</v>
      </c>
      <c r="U748">
        <v>2583.19</v>
      </c>
      <c r="V748">
        <v>0.2</v>
      </c>
      <c r="W748">
        <f t="shared" si="148"/>
        <v>0.2</v>
      </c>
      <c r="X748" t="str">
        <f t="shared" si="149"/>
        <v/>
      </c>
      <c r="Y748">
        <v>8266.2099999999991</v>
      </c>
      <c r="Z748">
        <f t="shared" si="150"/>
        <v>8266.2080000000005</v>
      </c>
      <c r="AA748">
        <v>6236.32</v>
      </c>
      <c r="AB748">
        <v>2029.89</v>
      </c>
      <c r="AC748">
        <f t="shared" si="151"/>
        <v>5683.018</v>
      </c>
      <c r="AD748" s="6">
        <f t="shared" si="152"/>
        <v>0.6875</v>
      </c>
      <c r="AE748" t="s">
        <v>32</v>
      </c>
      <c r="AF748" t="s">
        <v>33</v>
      </c>
      <c r="AG748">
        <f t="shared" si="153"/>
        <v>1</v>
      </c>
      <c r="AH748">
        <f t="shared" si="154"/>
        <v>2025</v>
      </c>
      <c r="AI748" t="str">
        <f t="shared" si="155"/>
        <v>CLEAN</v>
      </c>
    </row>
    <row r="749" spans="1:35">
      <c r="A749" t="s">
        <v>2316</v>
      </c>
      <c r="B749">
        <f t="shared" si="143"/>
        <v>1</v>
      </c>
      <c r="C749" t="str">
        <f>IF(COUNTIF($A$2:A749, A749)&gt;1, "DUPLICATE_FLAGGED_FOR_REVIEW", "")</f>
        <v/>
      </c>
      <c r="D749" s="3">
        <v>45413</v>
      </c>
      <c r="E749" s="2">
        <v>45419</v>
      </c>
      <c r="F749" s="2" t="str">
        <f t="shared" si="144"/>
        <v>OK</v>
      </c>
      <c r="G749" s="4">
        <f t="shared" si="145"/>
        <v>6</v>
      </c>
      <c r="H749" t="s">
        <v>2317</v>
      </c>
      <c r="I749" t="s">
        <v>47</v>
      </c>
      <c r="J749" t="s">
        <v>95</v>
      </c>
      <c r="K749" t="s">
        <v>38</v>
      </c>
      <c r="L749" t="str">
        <f t="shared" si="146"/>
        <v>East</v>
      </c>
      <c r="M749" t="s">
        <v>39</v>
      </c>
      <c r="N749" t="s">
        <v>40</v>
      </c>
      <c r="O749" t="s">
        <v>28</v>
      </c>
      <c r="P749" t="s">
        <v>29</v>
      </c>
      <c r="Q749" t="s">
        <v>2318</v>
      </c>
      <c r="R749" t="s">
        <v>44</v>
      </c>
      <c r="S749" t="str">
        <f t="shared" si="147"/>
        <v>Same Day</v>
      </c>
      <c r="T749">
        <v>8</v>
      </c>
      <c r="U749">
        <v>1473.83</v>
      </c>
      <c r="V749">
        <v>0.15</v>
      </c>
      <c r="W749">
        <f t="shared" si="148"/>
        <v>0.15</v>
      </c>
      <c r="X749" t="str">
        <f t="shared" si="149"/>
        <v/>
      </c>
      <c r="Y749">
        <v>10022.040000000001</v>
      </c>
      <c r="Z749">
        <f t="shared" si="150"/>
        <v>10022.044</v>
      </c>
      <c r="AA749">
        <v>5576.98</v>
      </c>
      <c r="AB749">
        <v>4445.0600000000004</v>
      </c>
      <c r="AC749">
        <f t="shared" si="151"/>
        <v>8548.2139999999999</v>
      </c>
      <c r="AD749" s="6">
        <f t="shared" si="152"/>
        <v>0.8529411764705882</v>
      </c>
      <c r="AE749" t="s">
        <v>32</v>
      </c>
      <c r="AF749" t="s">
        <v>33</v>
      </c>
      <c r="AG749">
        <f t="shared" si="153"/>
        <v>5</v>
      </c>
      <c r="AH749">
        <f t="shared" si="154"/>
        <v>2024</v>
      </c>
      <c r="AI749" t="str">
        <f t="shared" si="155"/>
        <v>CLEAN</v>
      </c>
    </row>
    <row r="750" spans="1:35">
      <c r="A750" t="s">
        <v>2319</v>
      </c>
      <c r="B750">
        <f t="shared" si="143"/>
        <v>1</v>
      </c>
      <c r="C750" t="str">
        <f>IF(COUNTIF($A$2:A750, A750)&gt;1, "DUPLICATE_FLAGGED_FOR_REVIEW", "")</f>
        <v/>
      </c>
      <c r="D750" s="3">
        <v>45442</v>
      </c>
      <c r="E750" s="2">
        <v>45442</v>
      </c>
      <c r="F750" s="2" t="str">
        <f t="shared" si="144"/>
        <v>OK</v>
      </c>
      <c r="G750" s="4">
        <f t="shared" si="145"/>
        <v>0</v>
      </c>
      <c r="H750" t="s">
        <v>2320</v>
      </c>
      <c r="I750" t="s">
        <v>162</v>
      </c>
      <c r="J750" t="s">
        <v>95</v>
      </c>
      <c r="K750" t="s">
        <v>25</v>
      </c>
      <c r="L750" t="str">
        <f t="shared" si="146"/>
        <v>North</v>
      </c>
      <c r="M750" t="s">
        <v>236</v>
      </c>
      <c r="N750" t="s">
        <v>237</v>
      </c>
      <c r="O750" t="s">
        <v>74</v>
      </c>
      <c r="P750" t="s">
        <v>171</v>
      </c>
      <c r="Q750" t="s">
        <v>2321</v>
      </c>
      <c r="R750" t="s">
        <v>31</v>
      </c>
      <c r="S750" t="str">
        <f t="shared" si="147"/>
        <v>Second Class</v>
      </c>
      <c r="T750">
        <v>1</v>
      </c>
      <c r="U750">
        <v>3848.04</v>
      </c>
      <c r="V750">
        <v>0.25</v>
      </c>
      <c r="W750">
        <f t="shared" si="148"/>
        <v>0.25</v>
      </c>
      <c r="X750" t="str">
        <f t="shared" si="149"/>
        <v/>
      </c>
      <c r="Y750">
        <v>2886.03</v>
      </c>
      <c r="Z750">
        <f t="shared" si="150"/>
        <v>2886.0299999999997</v>
      </c>
      <c r="AA750">
        <v>2064.83</v>
      </c>
      <c r="AB750">
        <v>821.2</v>
      </c>
      <c r="AC750">
        <f t="shared" si="151"/>
        <v>-962.01000000000022</v>
      </c>
      <c r="AD750" s="6">
        <f t="shared" si="152"/>
        <v>-0.33333333333333343</v>
      </c>
      <c r="AE750" t="s">
        <v>32</v>
      </c>
      <c r="AF750" t="s">
        <v>33</v>
      </c>
      <c r="AG750">
        <f t="shared" si="153"/>
        <v>5</v>
      </c>
      <c r="AH750">
        <f t="shared" si="154"/>
        <v>2024</v>
      </c>
      <c r="AI750" t="str">
        <f t="shared" si="155"/>
        <v>CLEAN</v>
      </c>
    </row>
    <row r="751" spans="1:35">
      <c r="A751" t="s">
        <v>2322</v>
      </c>
      <c r="B751">
        <f t="shared" si="143"/>
        <v>1</v>
      </c>
      <c r="C751" t="str">
        <f>IF(COUNTIF($A$2:A751, A751)&gt;1, "DUPLICATE_FLAGGED_FOR_REVIEW", "")</f>
        <v/>
      </c>
      <c r="D751" s="3">
        <v>45372</v>
      </c>
      <c r="E751" s="2">
        <v>45376</v>
      </c>
      <c r="F751" s="2" t="str">
        <f t="shared" si="144"/>
        <v>OK</v>
      </c>
      <c r="G751" s="4">
        <f t="shared" si="145"/>
        <v>4</v>
      </c>
      <c r="H751" t="s">
        <v>2323</v>
      </c>
      <c r="I751" t="s">
        <v>89</v>
      </c>
      <c r="J751" t="s">
        <v>95</v>
      </c>
      <c r="K751" t="s">
        <v>38</v>
      </c>
      <c r="L751" t="str">
        <f t="shared" si="146"/>
        <v>East</v>
      </c>
      <c r="M751" t="s">
        <v>166</v>
      </c>
      <c r="N751" t="s">
        <v>167</v>
      </c>
      <c r="O751" t="s">
        <v>74</v>
      </c>
      <c r="P751" t="s">
        <v>274</v>
      </c>
      <c r="Q751" t="s">
        <v>2324</v>
      </c>
      <c r="R751" t="s">
        <v>59</v>
      </c>
      <c r="S751" t="str">
        <f t="shared" si="147"/>
        <v>Standard Class</v>
      </c>
      <c r="T751">
        <v>1</v>
      </c>
      <c r="U751">
        <v>1716.7</v>
      </c>
      <c r="V751">
        <v>0.15</v>
      </c>
      <c r="W751">
        <f t="shared" si="148"/>
        <v>0.15</v>
      </c>
      <c r="X751" t="str">
        <f t="shared" si="149"/>
        <v/>
      </c>
      <c r="Y751">
        <v>1459.19</v>
      </c>
      <c r="Z751">
        <f t="shared" si="150"/>
        <v>1459.1949999999999</v>
      </c>
      <c r="AA751">
        <v>1055.79</v>
      </c>
      <c r="AB751">
        <v>403.4</v>
      </c>
      <c r="AC751">
        <f t="shared" si="151"/>
        <v>-257.50500000000011</v>
      </c>
      <c r="AD751" s="6">
        <f t="shared" si="152"/>
        <v>-0.17647058823529421</v>
      </c>
      <c r="AE751" t="s">
        <v>32</v>
      </c>
      <c r="AF751" t="s">
        <v>33</v>
      </c>
      <c r="AG751">
        <f t="shared" si="153"/>
        <v>3</v>
      </c>
      <c r="AH751">
        <f t="shared" si="154"/>
        <v>2024</v>
      </c>
      <c r="AI751" t="str">
        <f t="shared" si="155"/>
        <v>CLEAN</v>
      </c>
    </row>
    <row r="752" spans="1:35">
      <c r="A752" t="s">
        <v>2325</v>
      </c>
      <c r="B752">
        <f t="shared" si="143"/>
        <v>1</v>
      </c>
      <c r="C752" t="str">
        <f>IF(COUNTIF($A$2:A752, A752)&gt;1, "DUPLICATE_FLAGGED_FOR_REVIEW", "")</f>
        <v/>
      </c>
      <c r="D752" s="3">
        <v>45694</v>
      </c>
      <c r="E752" s="2">
        <v>45810</v>
      </c>
      <c r="F752" s="2" t="str">
        <f t="shared" si="144"/>
        <v>OK</v>
      </c>
      <c r="G752" s="4">
        <f t="shared" si="145"/>
        <v>116</v>
      </c>
      <c r="H752" t="s">
        <v>2326</v>
      </c>
      <c r="I752" t="s">
        <v>128</v>
      </c>
      <c r="J752" t="s">
        <v>95</v>
      </c>
      <c r="K752" t="s">
        <v>54</v>
      </c>
      <c r="L752" t="str">
        <f t="shared" si="146"/>
        <v>South</v>
      </c>
      <c r="M752" t="s">
        <v>55</v>
      </c>
      <c r="N752" t="s">
        <v>56</v>
      </c>
      <c r="O752" t="s">
        <v>74</v>
      </c>
      <c r="P752" t="s">
        <v>75</v>
      </c>
      <c r="Q752" t="s">
        <v>2327</v>
      </c>
      <c r="R752" t="s">
        <v>50</v>
      </c>
      <c r="S752" t="str">
        <f t="shared" si="147"/>
        <v>First Class</v>
      </c>
      <c r="T752">
        <v>8</v>
      </c>
      <c r="U752">
        <v>3925.93</v>
      </c>
      <c r="V752">
        <v>0.15</v>
      </c>
      <c r="W752">
        <f t="shared" si="148"/>
        <v>0.15</v>
      </c>
      <c r="X752" t="str">
        <f t="shared" si="149"/>
        <v/>
      </c>
      <c r="Y752">
        <v>26696.32</v>
      </c>
      <c r="Z752">
        <f t="shared" si="150"/>
        <v>26696.323999999997</v>
      </c>
      <c r="AA752">
        <v>22724.52</v>
      </c>
      <c r="AB752">
        <v>3971.8</v>
      </c>
      <c r="AC752">
        <f t="shared" si="151"/>
        <v>22770.393999999997</v>
      </c>
      <c r="AD752" s="6">
        <f t="shared" si="152"/>
        <v>0.8529411764705882</v>
      </c>
      <c r="AE752" t="s">
        <v>32</v>
      </c>
      <c r="AF752" t="s">
        <v>33</v>
      </c>
      <c r="AG752">
        <f t="shared" si="153"/>
        <v>2</v>
      </c>
      <c r="AH752">
        <f t="shared" si="154"/>
        <v>2025</v>
      </c>
      <c r="AI752" t="str">
        <f t="shared" si="155"/>
        <v>CLEAN</v>
      </c>
    </row>
    <row r="753" spans="1:35">
      <c r="A753" t="s">
        <v>2328</v>
      </c>
      <c r="B753">
        <f t="shared" si="143"/>
        <v>1</v>
      </c>
      <c r="C753" t="str">
        <f>IF(COUNTIF($A$2:A753, A753)&gt;1, "DUPLICATE_FLAGGED_FOR_REVIEW", "")</f>
        <v/>
      </c>
      <c r="D753" s="3">
        <v>45856</v>
      </c>
      <c r="E753" s="2">
        <v>45857</v>
      </c>
      <c r="F753" s="2" t="str">
        <f t="shared" si="144"/>
        <v>OK</v>
      </c>
      <c r="G753" s="4">
        <f t="shared" si="145"/>
        <v>1</v>
      </c>
      <c r="H753" t="s">
        <v>2329</v>
      </c>
      <c r="I753" t="s">
        <v>114</v>
      </c>
      <c r="J753" t="s">
        <v>95</v>
      </c>
      <c r="K753" t="s">
        <v>2760</v>
      </c>
      <c r="L753" t="str">
        <f t="shared" si="146"/>
        <v>Unknown</v>
      </c>
      <c r="M753" t="s">
        <v>136</v>
      </c>
      <c r="N753" t="s">
        <v>137</v>
      </c>
      <c r="O753" t="s">
        <v>74</v>
      </c>
      <c r="P753" t="s">
        <v>274</v>
      </c>
      <c r="Q753" t="s">
        <v>2330</v>
      </c>
      <c r="R753" t="s">
        <v>2760</v>
      </c>
      <c r="S753" t="str">
        <f t="shared" si="147"/>
        <v>Unknown</v>
      </c>
      <c r="T753">
        <v>3</v>
      </c>
      <c r="U753">
        <v>2963.25</v>
      </c>
      <c r="V753">
        <v>0.05</v>
      </c>
      <c r="W753">
        <f t="shared" si="148"/>
        <v>0.05</v>
      </c>
      <c r="X753" t="str">
        <f t="shared" si="149"/>
        <v/>
      </c>
      <c r="Y753">
        <v>8445.26</v>
      </c>
      <c r="Z753">
        <f t="shared" si="150"/>
        <v>8445.2624999999989</v>
      </c>
      <c r="AA753">
        <v>6937.6</v>
      </c>
      <c r="AB753">
        <v>1507.66</v>
      </c>
      <c r="AC753">
        <f t="shared" si="151"/>
        <v>5482.0124999999989</v>
      </c>
      <c r="AD753" s="6">
        <f t="shared" si="152"/>
        <v>0.64912280701754377</v>
      </c>
      <c r="AE753" t="s">
        <v>32</v>
      </c>
      <c r="AF753" t="s">
        <v>33</v>
      </c>
      <c r="AG753">
        <f t="shared" si="153"/>
        <v>7</v>
      </c>
      <c r="AH753">
        <f t="shared" si="154"/>
        <v>2025</v>
      </c>
      <c r="AI753" t="str">
        <f t="shared" si="155"/>
        <v>WARNING</v>
      </c>
    </row>
    <row r="754" spans="1:35">
      <c r="A754" t="s">
        <v>2331</v>
      </c>
      <c r="B754">
        <f t="shared" si="143"/>
        <v>1</v>
      </c>
      <c r="C754" t="str">
        <f>IF(COUNTIF($A$2:A754, A754)&gt;1, "DUPLICATE_FLAGGED_FOR_REVIEW", "")</f>
        <v/>
      </c>
      <c r="D754" s="3">
        <v>45375</v>
      </c>
      <c r="E754" s="2">
        <v>45378</v>
      </c>
      <c r="F754" s="2" t="str">
        <f t="shared" si="144"/>
        <v>OK</v>
      </c>
      <c r="G754" s="4">
        <f t="shared" si="145"/>
        <v>3</v>
      </c>
      <c r="H754" t="s">
        <v>2332</v>
      </c>
      <c r="I754" t="s">
        <v>89</v>
      </c>
      <c r="J754" t="s">
        <v>90</v>
      </c>
      <c r="K754" t="s">
        <v>63</v>
      </c>
      <c r="L754" t="str">
        <f t="shared" si="146"/>
        <v>West</v>
      </c>
      <c r="M754" t="s">
        <v>180</v>
      </c>
      <c r="N754" t="s">
        <v>181</v>
      </c>
      <c r="O754" t="s">
        <v>28</v>
      </c>
      <c r="P754" t="s">
        <v>124</v>
      </c>
      <c r="Q754" t="s">
        <v>2333</v>
      </c>
      <c r="R754" t="s">
        <v>50</v>
      </c>
      <c r="S754" t="str">
        <f t="shared" si="147"/>
        <v>First Class</v>
      </c>
      <c r="T754">
        <v>5</v>
      </c>
      <c r="U754">
        <v>2465.2199999999998</v>
      </c>
      <c r="V754">
        <v>0.05</v>
      </c>
      <c r="W754">
        <f t="shared" si="148"/>
        <v>0.05</v>
      </c>
      <c r="X754" t="str">
        <f t="shared" si="149"/>
        <v/>
      </c>
      <c r="Y754">
        <v>11709.79</v>
      </c>
      <c r="Z754">
        <f t="shared" si="150"/>
        <v>11709.794999999998</v>
      </c>
      <c r="AA754">
        <v>8372.2900000000009</v>
      </c>
      <c r="AB754">
        <v>3337.5</v>
      </c>
      <c r="AC754">
        <f t="shared" si="151"/>
        <v>9244.5749999999989</v>
      </c>
      <c r="AD754" s="6">
        <f t="shared" si="152"/>
        <v>0.78947368421052633</v>
      </c>
      <c r="AE754" t="s">
        <v>32</v>
      </c>
      <c r="AF754" t="s">
        <v>33</v>
      </c>
      <c r="AG754">
        <f t="shared" si="153"/>
        <v>3</v>
      </c>
      <c r="AH754">
        <f t="shared" si="154"/>
        <v>2024</v>
      </c>
      <c r="AI754" t="str">
        <f t="shared" si="155"/>
        <v>CLEAN</v>
      </c>
    </row>
    <row r="755" spans="1:35">
      <c r="A755" t="s">
        <v>2334</v>
      </c>
      <c r="B755">
        <f t="shared" si="143"/>
        <v>1</v>
      </c>
      <c r="C755" t="str">
        <f>IF(COUNTIF($A$2:A755, A755)&gt;1, "DUPLICATE_FLAGGED_FOR_REVIEW", "")</f>
        <v/>
      </c>
      <c r="D755" s="3">
        <v>45515</v>
      </c>
      <c r="E755" s="2">
        <v>45514</v>
      </c>
      <c r="F755" s="2" t="str">
        <f t="shared" si="144"/>
        <v>ERROR: Ship before order</v>
      </c>
      <c r="G755" s="4">
        <f t="shared" si="145"/>
        <v>-1</v>
      </c>
      <c r="H755" t="s">
        <v>2335</v>
      </c>
      <c r="I755" t="s">
        <v>89</v>
      </c>
      <c r="J755" t="s">
        <v>90</v>
      </c>
      <c r="K755" t="s">
        <v>25</v>
      </c>
      <c r="L755" t="str">
        <f t="shared" si="146"/>
        <v>North</v>
      </c>
      <c r="M755" t="s">
        <v>350</v>
      </c>
      <c r="N755" t="s">
        <v>351</v>
      </c>
      <c r="O755" t="s">
        <v>41</v>
      </c>
      <c r="P755" t="s">
        <v>57</v>
      </c>
      <c r="Q755" t="s">
        <v>2336</v>
      </c>
      <c r="R755" t="s">
        <v>31</v>
      </c>
      <c r="S755" t="str">
        <f t="shared" si="147"/>
        <v>Second Class</v>
      </c>
      <c r="T755">
        <v>3</v>
      </c>
      <c r="U755">
        <v>1017.22</v>
      </c>
      <c r="V755">
        <v>0.15</v>
      </c>
      <c r="W755">
        <f t="shared" si="148"/>
        <v>0.15</v>
      </c>
      <c r="X755" t="str">
        <f t="shared" si="149"/>
        <v/>
      </c>
      <c r="Y755">
        <v>2593.91</v>
      </c>
      <c r="Z755">
        <f t="shared" si="150"/>
        <v>2593.9109999999996</v>
      </c>
      <c r="AA755">
        <v>1848.48</v>
      </c>
      <c r="AB755">
        <v>745.43</v>
      </c>
      <c r="AC755">
        <f t="shared" si="151"/>
        <v>1576.6909999999996</v>
      </c>
      <c r="AD755" s="6">
        <f t="shared" si="152"/>
        <v>0.60784313725490191</v>
      </c>
      <c r="AE755" t="s">
        <v>155</v>
      </c>
      <c r="AF755" t="s">
        <v>103</v>
      </c>
      <c r="AG755">
        <f t="shared" si="153"/>
        <v>8</v>
      </c>
      <c r="AH755">
        <f t="shared" si="154"/>
        <v>2024</v>
      </c>
      <c r="AI755" t="str">
        <f t="shared" si="155"/>
        <v>INVALID</v>
      </c>
    </row>
    <row r="756" spans="1:35">
      <c r="A756" t="s">
        <v>2337</v>
      </c>
      <c r="B756">
        <f t="shared" si="143"/>
        <v>1</v>
      </c>
      <c r="C756" t="str">
        <f>IF(COUNTIF($A$2:A756, A756)&gt;1, "DUPLICATE_FLAGGED_FOR_REVIEW", "")</f>
        <v/>
      </c>
      <c r="D756" s="3">
        <v>45753</v>
      </c>
      <c r="E756" s="2">
        <v>45753</v>
      </c>
      <c r="F756" s="2" t="str">
        <f t="shared" si="144"/>
        <v>OK</v>
      </c>
      <c r="G756" s="4">
        <f t="shared" si="145"/>
        <v>0</v>
      </c>
      <c r="H756" t="s">
        <v>2338</v>
      </c>
      <c r="I756" t="s">
        <v>79</v>
      </c>
      <c r="J756" t="s">
        <v>90</v>
      </c>
      <c r="K756" t="s">
        <v>54</v>
      </c>
      <c r="L756" t="str">
        <f t="shared" si="146"/>
        <v>South</v>
      </c>
      <c r="M756" t="s">
        <v>185</v>
      </c>
      <c r="N756" t="s">
        <v>186</v>
      </c>
      <c r="O756" t="s">
        <v>28</v>
      </c>
      <c r="P756" t="s">
        <v>124</v>
      </c>
      <c r="Q756" t="s">
        <v>2339</v>
      </c>
      <c r="R756" t="s">
        <v>59</v>
      </c>
      <c r="S756" t="str">
        <f t="shared" si="147"/>
        <v>Standard Class</v>
      </c>
      <c r="T756">
        <v>4</v>
      </c>
      <c r="U756">
        <v>891.34</v>
      </c>
      <c r="V756">
        <v>0.25</v>
      </c>
      <c r="W756">
        <f t="shared" si="148"/>
        <v>0.25</v>
      </c>
      <c r="X756" t="str">
        <f t="shared" si="149"/>
        <v/>
      </c>
      <c r="Y756">
        <v>2674.02</v>
      </c>
      <c r="Z756">
        <f t="shared" si="150"/>
        <v>2674.02</v>
      </c>
      <c r="AA756">
        <v>2207.5700000000002</v>
      </c>
      <c r="AB756">
        <v>466.45</v>
      </c>
      <c r="AC756">
        <f t="shared" si="151"/>
        <v>1782.6799999999998</v>
      </c>
      <c r="AD756" s="6">
        <f t="shared" si="152"/>
        <v>0.66666666666666663</v>
      </c>
      <c r="AE756" t="s">
        <v>32</v>
      </c>
      <c r="AF756" t="s">
        <v>33</v>
      </c>
      <c r="AG756">
        <f t="shared" si="153"/>
        <v>4</v>
      </c>
      <c r="AH756">
        <f t="shared" si="154"/>
        <v>2025</v>
      </c>
      <c r="AI756" t="str">
        <f t="shared" si="155"/>
        <v>CLEAN</v>
      </c>
    </row>
    <row r="757" spans="1:35">
      <c r="A757" t="s">
        <v>2340</v>
      </c>
      <c r="B757">
        <f t="shared" si="143"/>
        <v>1</v>
      </c>
      <c r="C757" t="str">
        <f>IF(COUNTIF($A$2:A757, A757)&gt;1, "DUPLICATE_FLAGGED_FOR_REVIEW", "")</f>
        <v/>
      </c>
      <c r="D757" s="3">
        <v>45858</v>
      </c>
      <c r="E757" s="2">
        <v>45862</v>
      </c>
      <c r="F757" s="2" t="str">
        <f t="shared" si="144"/>
        <v>OK</v>
      </c>
      <c r="G757" s="4">
        <f t="shared" si="145"/>
        <v>4</v>
      </c>
      <c r="H757" t="s">
        <v>2341</v>
      </c>
      <c r="I757" t="s">
        <v>114</v>
      </c>
      <c r="J757" t="s">
        <v>95</v>
      </c>
      <c r="K757" t="s">
        <v>63</v>
      </c>
      <c r="L757" t="str">
        <f t="shared" si="146"/>
        <v>West</v>
      </c>
      <c r="M757" t="s">
        <v>72</v>
      </c>
      <c r="N757" t="s">
        <v>73</v>
      </c>
      <c r="O757" t="s">
        <v>28</v>
      </c>
      <c r="P757" t="s">
        <v>124</v>
      </c>
      <c r="Q757" t="s">
        <v>2342</v>
      </c>
      <c r="R757" t="s">
        <v>31</v>
      </c>
      <c r="S757" t="str">
        <f t="shared" si="147"/>
        <v>Second Class</v>
      </c>
      <c r="T757">
        <v>5</v>
      </c>
      <c r="U757">
        <v>2481.7399999999998</v>
      </c>
      <c r="V757">
        <v>0.2</v>
      </c>
      <c r="W757">
        <f t="shared" si="148"/>
        <v>0.2</v>
      </c>
      <c r="X757" t="str">
        <f t="shared" si="149"/>
        <v/>
      </c>
      <c r="Y757">
        <v>9926.9599999999991</v>
      </c>
      <c r="Z757">
        <f t="shared" si="150"/>
        <v>9926.9599999999991</v>
      </c>
      <c r="AA757">
        <v>7994.98</v>
      </c>
      <c r="AB757">
        <v>1931.98</v>
      </c>
      <c r="AC757">
        <f t="shared" si="151"/>
        <v>7445.2199999999993</v>
      </c>
      <c r="AD757" s="6">
        <f t="shared" si="152"/>
        <v>0.75</v>
      </c>
      <c r="AE757" t="s">
        <v>32</v>
      </c>
      <c r="AF757" t="s">
        <v>33</v>
      </c>
      <c r="AG757">
        <f t="shared" si="153"/>
        <v>7</v>
      </c>
      <c r="AH757">
        <f t="shared" si="154"/>
        <v>2025</v>
      </c>
      <c r="AI757" t="str">
        <f t="shared" si="155"/>
        <v>CLEAN</v>
      </c>
    </row>
    <row r="758" spans="1:35">
      <c r="A758" t="s">
        <v>2343</v>
      </c>
      <c r="B758">
        <f t="shared" si="143"/>
        <v>1</v>
      </c>
      <c r="C758" t="str">
        <f>IF(COUNTIF($A$2:A758, A758)&gt;1, "DUPLICATE_FLAGGED_FOR_REVIEW", "")</f>
        <v/>
      </c>
      <c r="D758" s="3">
        <v>45592</v>
      </c>
      <c r="E758" s="2">
        <v>45302</v>
      </c>
      <c r="F758" s="2" t="str">
        <f t="shared" si="144"/>
        <v>ERROR: Ship before order</v>
      </c>
      <c r="G758" s="4">
        <f t="shared" si="145"/>
        <v>-290</v>
      </c>
      <c r="H758" t="s">
        <v>2344</v>
      </c>
      <c r="I758" t="s">
        <v>141</v>
      </c>
      <c r="J758" t="s">
        <v>24</v>
      </c>
      <c r="K758" t="s">
        <v>25</v>
      </c>
      <c r="L758" t="str">
        <f t="shared" si="146"/>
        <v>North</v>
      </c>
      <c r="M758" t="s">
        <v>26</v>
      </c>
      <c r="N758" t="s">
        <v>27</v>
      </c>
      <c r="O758" t="s">
        <v>74</v>
      </c>
      <c r="P758" t="s">
        <v>75</v>
      </c>
      <c r="Q758" t="s">
        <v>2345</v>
      </c>
      <c r="R758" t="s">
        <v>44</v>
      </c>
      <c r="S758" t="str">
        <f t="shared" si="147"/>
        <v>Same Day</v>
      </c>
      <c r="T758">
        <v>7</v>
      </c>
      <c r="U758">
        <v>2177.1</v>
      </c>
      <c r="V758">
        <v>0.2</v>
      </c>
      <c r="W758">
        <f t="shared" si="148"/>
        <v>0.2</v>
      </c>
      <c r="X758" t="str">
        <f t="shared" si="149"/>
        <v/>
      </c>
      <c r="Y758">
        <v>12191.76</v>
      </c>
      <c r="Z758">
        <f t="shared" si="150"/>
        <v>12191.76</v>
      </c>
      <c r="AA758">
        <v>10457.49</v>
      </c>
      <c r="AB758">
        <v>1734.27</v>
      </c>
      <c r="AC758">
        <f t="shared" si="151"/>
        <v>10014.66</v>
      </c>
      <c r="AD758" s="6">
        <f t="shared" si="152"/>
        <v>0.8214285714285714</v>
      </c>
      <c r="AE758" t="s">
        <v>32</v>
      </c>
      <c r="AF758" t="s">
        <v>103</v>
      </c>
      <c r="AG758">
        <f t="shared" si="153"/>
        <v>10</v>
      </c>
      <c r="AH758">
        <f t="shared" si="154"/>
        <v>2024</v>
      </c>
      <c r="AI758" t="str">
        <f t="shared" si="155"/>
        <v>INVALID</v>
      </c>
    </row>
    <row r="759" spans="1:35">
      <c r="A759" t="s">
        <v>2346</v>
      </c>
      <c r="B759">
        <f t="shared" si="143"/>
        <v>1</v>
      </c>
      <c r="C759" t="str">
        <f>IF(COUNTIF($A$2:A759, A759)&gt;1, "DUPLICATE_FLAGGED_FOR_REVIEW", "")</f>
        <v/>
      </c>
      <c r="D759" s="3">
        <v>45870</v>
      </c>
      <c r="E759" s="2">
        <v>45872</v>
      </c>
      <c r="F759" s="2" t="str">
        <f t="shared" si="144"/>
        <v>OK</v>
      </c>
      <c r="G759" s="4">
        <f t="shared" si="145"/>
        <v>2</v>
      </c>
      <c r="H759" t="s">
        <v>2347</v>
      </c>
      <c r="I759" t="s">
        <v>89</v>
      </c>
      <c r="J759" t="s">
        <v>37</v>
      </c>
      <c r="K759" t="s">
        <v>54</v>
      </c>
      <c r="L759" t="str">
        <f t="shared" si="146"/>
        <v>South</v>
      </c>
      <c r="M759" t="s">
        <v>185</v>
      </c>
      <c r="N759" t="s">
        <v>186</v>
      </c>
      <c r="O759" t="s">
        <v>41</v>
      </c>
      <c r="P759" t="s">
        <v>158</v>
      </c>
      <c r="Q759" t="s">
        <v>2348</v>
      </c>
      <c r="R759" t="s">
        <v>59</v>
      </c>
      <c r="S759" t="str">
        <f t="shared" si="147"/>
        <v>Standard Class</v>
      </c>
      <c r="T759">
        <v>3</v>
      </c>
      <c r="U759">
        <v>1904.78</v>
      </c>
      <c r="V759">
        <v>0.25</v>
      </c>
      <c r="W759">
        <f t="shared" si="148"/>
        <v>0.25</v>
      </c>
      <c r="X759" t="str">
        <f t="shared" si="149"/>
        <v/>
      </c>
      <c r="Y759">
        <v>4285.76</v>
      </c>
      <c r="Z759">
        <f t="shared" si="150"/>
        <v>4285.7550000000001</v>
      </c>
      <c r="AA759">
        <v>2386.33</v>
      </c>
      <c r="AB759">
        <v>1899.43</v>
      </c>
      <c r="AC759">
        <f t="shared" si="151"/>
        <v>2380.9750000000004</v>
      </c>
      <c r="AD759" s="6">
        <f t="shared" si="152"/>
        <v>0.55555555555555558</v>
      </c>
      <c r="AE759" t="s">
        <v>155</v>
      </c>
      <c r="AF759" t="s">
        <v>68</v>
      </c>
      <c r="AG759">
        <f t="shared" si="153"/>
        <v>8</v>
      </c>
      <c r="AH759">
        <f t="shared" si="154"/>
        <v>2025</v>
      </c>
      <c r="AI759" t="str">
        <f t="shared" si="155"/>
        <v>CLEAN</v>
      </c>
    </row>
    <row r="760" spans="1:35">
      <c r="A760" t="s">
        <v>2349</v>
      </c>
      <c r="B760">
        <f t="shared" si="143"/>
        <v>1</v>
      </c>
      <c r="C760" t="str">
        <f>IF(COUNTIF($A$2:A760, A760)&gt;1, "DUPLICATE_FLAGGED_FOR_REVIEW", "")</f>
        <v/>
      </c>
      <c r="D760" s="3">
        <v>45414</v>
      </c>
      <c r="E760" s="2">
        <v>45422</v>
      </c>
      <c r="F760" s="2" t="str">
        <f t="shared" si="144"/>
        <v>OK</v>
      </c>
      <c r="G760" s="4">
        <f t="shared" si="145"/>
        <v>8</v>
      </c>
      <c r="H760" t="s">
        <v>2350</v>
      </c>
      <c r="I760" t="s">
        <v>128</v>
      </c>
      <c r="J760" t="s">
        <v>37</v>
      </c>
      <c r="K760" t="s">
        <v>54</v>
      </c>
      <c r="L760" t="str">
        <f t="shared" si="146"/>
        <v>South</v>
      </c>
      <c r="M760" t="s">
        <v>175</v>
      </c>
      <c r="N760" t="s">
        <v>176</v>
      </c>
      <c r="O760" t="s">
        <v>41</v>
      </c>
      <c r="P760" t="s">
        <v>66</v>
      </c>
      <c r="Q760" t="s">
        <v>2351</v>
      </c>
      <c r="R760" t="s">
        <v>59</v>
      </c>
      <c r="S760" t="str">
        <f t="shared" si="147"/>
        <v>Standard Class</v>
      </c>
      <c r="T760">
        <v>1</v>
      </c>
      <c r="U760">
        <v>4166.91</v>
      </c>
      <c r="V760">
        <v>0</v>
      </c>
      <c r="W760">
        <f t="shared" si="148"/>
        <v>0</v>
      </c>
      <c r="X760" t="str">
        <f t="shared" si="149"/>
        <v/>
      </c>
      <c r="Y760">
        <v>4166.91</v>
      </c>
      <c r="Z760">
        <f t="shared" si="150"/>
        <v>4166.91</v>
      </c>
      <c r="AA760">
        <v>3412.63</v>
      </c>
      <c r="AB760">
        <v>754.28</v>
      </c>
      <c r="AC760">
        <f t="shared" si="151"/>
        <v>0</v>
      </c>
      <c r="AD760" s="6">
        <f t="shared" si="152"/>
        <v>0</v>
      </c>
      <c r="AE760" t="s">
        <v>32</v>
      </c>
      <c r="AF760" t="s">
        <v>33</v>
      </c>
      <c r="AG760">
        <f t="shared" si="153"/>
        <v>5</v>
      </c>
      <c r="AH760">
        <f t="shared" si="154"/>
        <v>2024</v>
      </c>
      <c r="AI760" t="str">
        <f t="shared" si="155"/>
        <v>CLEAN</v>
      </c>
    </row>
    <row r="761" spans="1:35">
      <c r="A761" t="s">
        <v>2352</v>
      </c>
      <c r="B761">
        <f t="shared" si="143"/>
        <v>1</v>
      </c>
      <c r="C761" t="str">
        <f>IF(COUNTIF($A$2:A761, A761)&gt;1, "DUPLICATE_FLAGGED_FOR_REVIEW", "")</f>
        <v/>
      </c>
      <c r="D761" s="3">
        <v>45492</v>
      </c>
      <c r="E761" s="2">
        <v>45499</v>
      </c>
      <c r="F761" s="2" t="str">
        <f t="shared" si="144"/>
        <v>OK</v>
      </c>
      <c r="G761" s="4">
        <f t="shared" si="145"/>
        <v>7</v>
      </c>
      <c r="H761" t="s">
        <v>2353</v>
      </c>
      <c r="I761" t="s">
        <v>53</v>
      </c>
      <c r="J761" t="s">
        <v>95</v>
      </c>
      <c r="K761" t="s">
        <v>54</v>
      </c>
      <c r="L761" t="str">
        <f t="shared" si="146"/>
        <v>South</v>
      </c>
      <c r="M761" t="s">
        <v>175</v>
      </c>
      <c r="N761" t="s">
        <v>176</v>
      </c>
      <c r="O761" t="s">
        <v>41</v>
      </c>
      <c r="P761" t="s">
        <v>42</v>
      </c>
      <c r="Q761" t="s">
        <v>2354</v>
      </c>
      <c r="R761" t="s">
        <v>31</v>
      </c>
      <c r="S761" t="str">
        <f t="shared" si="147"/>
        <v>Second Class</v>
      </c>
      <c r="T761">
        <v>5</v>
      </c>
      <c r="U761">
        <v>3986.01</v>
      </c>
      <c r="V761">
        <v>0.25</v>
      </c>
      <c r="W761">
        <f t="shared" si="148"/>
        <v>0.25</v>
      </c>
      <c r="X761" t="str">
        <f t="shared" si="149"/>
        <v/>
      </c>
      <c r="Y761">
        <v>14947.54</v>
      </c>
      <c r="Z761">
        <f t="shared" si="150"/>
        <v>14947.537500000002</v>
      </c>
      <c r="AA761">
        <v>9438.4599999999991</v>
      </c>
      <c r="AB761">
        <v>5509.08</v>
      </c>
      <c r="AC761">
        <f t="shared" si="151"/>
        <v>10961.527500000002</v>
      </c>
      <c r="AD761" s="6">
        <f t="shared" si="152"/>
        <v>0.73333333333333339</v>
      </c>
      <c r="AE761" t="s">
        <v>32</v>
      </c>
      <c r="AF761" t="s">
        <v>33</v>
      </c>
      <c r="AG761">
        <f t="shared" si="153"/>
        <v>7</v>
      </c>
      <c r="AH761">
        <f t="shared" si="154"/>
        <v>2024</v>
      </c>
      <c r="AI761" t="str">
        <f t="shared" si="155"/>
        <v>CLEAN</v>
      </c>
    </row>
    <row r="762" spans="1:35">
      <c r="A762" t="s">
        <v>2355</v>
      </c>
      <c r="B762">
        <f t="shared" si="143"/>
        <v>1</v>
      </c>
      <c r="C762" t="str">
        <f>IF(COUNTIF($A$2:A762, A762)&gt;1, "DUPLICATE_FLAGGED_FOR_REVIEW", "")</f>
        <v/>
      </c>
      <c r="D762" s="3">
        <v>45532</v>
      </c>
      <c r="E762" s="2">
        <v>45537</v>
      </c>
      <c r="F762" s="2" t="str">
        <f t="shared" si="144"/>
        <v>OK</v>
      </c>
      <c r="G762" s="4">
        <f t="shared" si="145"/>
        <v>5</v>
      </c>
      <c r="H762" t="s">
        <v>2356</v>
      </c>
      <c r="I762" t="s">
        <v>89</v>
      </c>
      <c r="J762" t="s">
        <v>95</v>
      </c>
      <c r="K762" t="s">
        <v>38</v>
      </c>
      <c r="L762" t="str">
        <f t="shared" si="146"/>
        <v>East</v>
      </c>
      <c r="M762" t="s">
        <v>166</v>
      </c>
      <c r="N762" t="s">
        <v>167</v>
      </c>
      <c r="O762" t="s">
        <v>28</v>
      </c>
      <c r="P762" t="s">
        <v>48</v>
      </c>
      <c r="Q762" t="s">
        <v>2357</v>
      </c>
      <c r="R762" t="s">
        <v>31</v>
      </c>
      <c r="S762" t="str">
        <f t="shared" si="147"/>
        <v>Second Class</v>
      </c>
      <c r="T762">
        <v>4</v>
      </c>
      <c r="U762">
        <v>3365.53</v>
      </c>
      <c r="V762">
        <v>0</v>
      </c>
      <c r="W762">
        <f t="shared" si="148"/>
        <v>0</v>
      </c>
      <c r="X762" t="str">
        <f t="shared" si="149"/>
        <v/>
      </c>
      <c r="Y762">
        <v>13462.12</v>
      </c>
      <c r="Z762">
        <f t="shared" si="150"/>
        <v>13462.12</v>
      </c>
      <c r="AA762">
        <v>7600.63</v>
      </c>
      <c r="AB762">
        <v>5861.49</v>
      </c>
      <c r="AC762">
        <f t="shared" si="151"/>
        <v>10096.59</v>
      </c>
      <c r="AD762" s="6">
        <f t="shared" si="152"/>
        <v>0.75</v>
      </c>
      <c r="AE762" t="s">
        <v>111</v>
      </c>
      <c r="AF762" t="s">
        <v>103</v>
      </c>
      <c r="AG762">
        <f t="shared" si="153"/>
        <v>8</v>
      </c>
      <c r="AH762">
        <f t="shared" si="154"/>
        <v>2024</v>
      </c>
      <c r="AI762" t="str">
        <f t="shared" si="155"/>
        <v>CLEAN</v>
      </c>
    </row>
    <row r="763" spans="1:35">
      <c r="A763" t="s">
        <v>2358</v>
      </c>
      <c r="B763">
        <f t="shared" si="143"/>
        <v>1</v>
      </c>
      <c r="C763" t="str">
        <f>IF(COUNTIF($A$2:A763, A763)&gt;1, "DUPLICATE_FLAGGED_FOR_REVIEW", "")</f>
        <v/>
      </c>
      <c r="D763" s="3">
        <v>45896</v>
      </c>
      <c r="E763" s="2">
        <v>45900</v>
      </c>
      <c r="F763" s="2" t="str">
        <f t="shared" si="144"/>
        <v>OK</v>
      </c>
      <c r="G763" s="4">
        <f t="shared" si="145"/>
        <v>4</v>
      </c>
      <c r="H763" t="s">
        <v>2359</v>
      </c>
      <c r="I763" t="s">
        <v>47</v>
      </c>
      <c r="J763" t="s">
        <v>24</v>
      </c>
      <c r="K763" t="s">
        <v>54</v>
      </c>
      <c r="L763" t="str">
        <f t="shared" si="146"/>
        <v>South</v>
      </c>
      <c r="M763" t="s">
        <v>175</v>
      </c>
      <c r="N763" t="s">
        <v>176</v>
      </c>
      <c r="O763" t="s">
        <v>74</v>
      </c>
      <c r="P763" t="s">
        <v>274</v>
      </c>
      <c r="Q763" t="s">
        <v>2360</v>
      </c>
      <c r="R763" t="s">
        <v>50</v>
      </c>
      <c r="S763" t="str">
        <f t="shared" si="147"/>
        <v>First Class</v>
      </c>
      <c r="T763">
        <v>3</v>
      </c>
      <c r="U763">
        <v>2489.12</v>
      </c>
      <c r="V763">
        <v>0</v>
      </c>
      <c r="W763">
        <f t="shared" si="148"/>
        <v>0</v>
      </c>
      <c r="X763" t="str">
        <f t="shared" si="149"/>
        <v/>
      </c>
      <c r="Y763">
        <v>7467.36</v>
      </c>
      <c r="Z763">
        <f t="shared" si="150"/>
        <v>7467.36</v>
      </c>
      <c r="AA763">
        <v>5010.6099999999997</v>
      </c>
      <c r="AB763">
        <v>2456.75</v>
      </c>
      <c r="AC763">
        <f t="shared" si="151"/>
        <v>4978.24</v>
      </c>
      <c r="AD763" s="6">
        <f t="shared" si="152"/>
        <v>0.66666666666666663</v>
      </c>
      <c r="AE763" t="s">
        <v>32</v>
      </c>
      <c r="AF763" t="s">
        <v>33</v>
      </c>
      <c r="AG763">
        <f t="shared" si="153"/>
        <v>8</v>
      </c>
      <c r="AH763">
        <f t="shared" si="154"/>
        <v>2025</v>
      </c>
      <c r="AI763" t="str">
        <f t="shared" si="155"/>
        <v>CLEAN</v>
      </c>
    </row>
    <row r="764" spans="1:35">
      <c r="A764" t="s">
        <v>2361</v>
      </c>
      <c r="B764">
        <f t="shared" si="143"/>
        <v>1</v>
      </c>
      <c r="C764" t="str">
        <f>IF(COUNTIF($A$2:A764, A764)&gt;1, "DUPLICATE_FLAGGED_FOR_REVIEW", "")</f>
        <v/>
      </c>
      <c r="D764" s="3">
        <v>45292</v>
      </c>
      <c r="E764" s="2">
        <v>45296</v>
      </c>
      <c r="F764" s="2" t="str">
        <f t="shared" si="144"/>
        <v>OK</v>
      </c>
      <c r="G764" s="4">
        <f t="shared" si="145"/>
        <v>4</v>
      </c>
      <c r="H764" t="s">
        <v>2362</v>
      </c>
      <c r="I764" t="s">
        <v>162</v>
      </c>
      <c r="J764" t="s">
        <v>90</v>
      </c>
      <c r="K764" t="s">
        <v>63</v>
      </c>
      <c r="L764" t="str">
        <f t="shared" si="146"/>
        <v>West</v>
      </c>
      <c r="M764" t="s">
        <v>72</v>
      </c>
      <c r="N764" t="s">
        <v>73</v>
      </c>
      <c r="O764" t="s">
        <v>74</v>
      </c>
      <c r="P764" t="s">
        <v>274</v>
      </c>
      <c r="Q764" t="s">
        <v>2363</v>
      </c>
      <c r="R764" t="s">
        <v>31</v>
      </c>
      <c r="S764" t="str">
        <f t="shared" si="147"/>
        <v>Second Class</v>
      </c>
      <c r="T764">
        <v>2</v>
      </c>
      <c r="U764">
        <v>3694.12</v>
      </c>
      <c r="V764">
        <v>0.2</v>
      </c>
      <c r="W764">
        <f t="shared" si="148"/>
        <v>0.2</v>
      </c>
      <c r="X764" t="str">
        <f t="shared" si="149"/>
        <v/>
      </c>
      <c r="Y764">
        <v>5910.59</v>
      </c>
      <c r="Z764">
        <f t="shared" si="150"/>
        <v>5910.5920000000006</v>
      </c>
      <c r="AA764">
        <v>4775.4399999999996</v>
      </c>
      <c r="AB764">
        <v>1135.1500000000001</v>
      </c>
      <c r="AC764">
        <f t="shared" si="151"/>
        <v>2216.4720000000007</v>
      </c>
      <c r="AD764" s="6">
        <f t="shared" si="152"/>
        <v>0.37500000000000006</v>
      </c>
      <c r="AE764" t="s">
        <v>102</v>
      </c>
      <c r="AF764" t="s">
        <v>103</v>
      </c>
      <c r="AG764">
        <f t="shared" si="153"/>
        <v>1</v>
      </c>
      <c r="AH764">
        <f t="shared" si="154"/>
        <v>2024</v>
      </c>
      <c r="AI764" t="str">
        <f t="shared" si="155"/>
        <v>CLEAN</v>
      </c>
    </row>
    <row r="765" spans="1:35">
      <c r="A765" t="s">
        <v>2364</v>
      </c>
      <c r="B765">
        <f t="shared" si="143"/>
        <v>1</v>
      </c>
      <c r="C765" t="str">
        <f>IF(COUNTIF($A$2:A765, A765)&gt;1, "DUPLICATE_FLAGGED_FOR_REVIEW", "")</f>
        <v/>
      </c>
      <c r="D765" s="3">
        <v>45892</v>
      </c>
      <c r="E765" s="2">
        <v>45894</v>
      </c>
      <c r="F765" s="2" t="str">
        <f t="shared" si="144"/>
        <v>OK</v>
      </c>
      <c r="G765" s="4">
        <f t="shared" si="145"/>
        <v>2</v>
      </c>
      <c r="H765" t="s">
        <v>2365</v>
      </c>
      <c r="I765" t="s">
        <v>162</v>
      </c>
      <c r="J765" t="s">
        <v>24</v>
      </c>
      <c r="K765" t="s">
        <v>25</v>
      </c>
      <c r="L765" t="str">
        <f t="shared" si="146"/>
        <v>North</v>
      </c>
      <c r="M765" t="s">
        <v>26</v>
      </c>
      <c r="N765" t="s">
        <v>27</v>
      </c>
      <c r="O765" t="s">
        <v>41</v>
      </c>
      <c r="P765" t="s">
        <v>57</v>
      </c>
      <c r="Q765" t="s">
        <v>2366</v>
      </c>
      <c r="R765" t="s">
        <v>44</v>
      </c>
      <c r="S765" t="str">
        <f t="shared" si="147"/>
        <v>Same Day</v>
      </c>
      <c r="T765">
        <v>6</v>
      </c>
      <c r="U765">
        <v>2742.48</v>
      </c>
      <c r="V765">
        <v>0</v>
      </c>
      <c r="W765">
        <f t="shared" si="148"/>
        <v>0</v>
      </c>
      <c r="X765" t="str">
        <f t="shared" si="149"/>
        <v/>
      </c>
      <c r="Y765">
        <v>16454.88</v>
      </c>
      <c r="Z765">
        <f t="shared" si="150"/>
        <v>16454.88</v>
      </c>
      <c r="AA765">
        <v>12081.54</v>
      </c>
      <c r="AB765">
        <v>4373.34</v>
      </c>
      <c r="AC765">
        <f t="shared" si="151"/>
        <v>13712.400000000001</v>
      </c>
      <c r="AD765" s="6">
        <f t="shared" si="152"/>
        <v>0.83333333333333337</v>
      </c>
      <c r="AE765" t="s">
        <v>32</v>
      </c>
      <c r="AF765" t="s">
        <v>33</v>
      </c>
      <c r="AG765">
        <f t="shared" si="153"/>
        <v>8</v>
      </c>
      <c r="AH765">
        <f t="shared" si="154"/>
        <v>2025</v>
      </c>
      <c r="AI765" t="str">
        <f t="shared" si="155"/>
        <v>CLEAN</v>
      </c>
    </row>
    <row r="766" spans="1:35">
      <c r="A766" t="s">
        <v>2367</v>
      </c>
      <c r="B766">
        <f t="shared" si="143"/>
        <v>1</v>
      </c>
      <c r="C766" t="str">
        <f>IF(COUNTIF($A$2:A766, A766)&gt;1, "DUPLICATE_FLAGGED_FOR_REVIEW", "")</f>
        <v/>
      </c>
      <c r="D766" s="3">
        <v>45760</v>
      </c>
      <c r="E766" s="2">
        <v>45760</v>
      </c>
      <c r="F766" s="2" t="str">
        <f t="shared" si="144"/>
        <v>OK</v>
      </c>
      <c r="G766" s="4">
        <f t="shared" si="145"/>
        <v>0</v>
      </c>
      <c r="H766" t="s">
        <v>884</v>
      </c>
      <c r="I766" t="s">
        <v>114</v>
      </c>
      <c r="J766" t="s">
        <v>90</v>
      </c>
      <c r="K766" t="s">
        <v>54</v>
      </c>
      <c r="L766" t="str">
        <f t="shared" si="146"/>
        <v>South</v>
      </c>
      <c r="M766" t="s">
        <v>185</v>
      </c>
      <c r="N766" t="s">
        <v>186</v>
      </c>
      <c r="O766" t="s">
        <v>41</v>
      </c>
      <c r="P766" t="s">
        <v>158</v>
      </c>
      <c r="Q766" t="s">
        <v>2368</v>
      </c>
      <c r="R766" t="s">
        <v>50</v>
      </c>
      <c r="S766" t="str">
        <f t="shared" si="147"/>
        <v>First Class</v>
      </c>
      <c r="T766">
        <v>6</v>
      </c>
      <c r="U766">
        <v>4414</v>
      </c>
      <c r="V766">
        <v>0.05</v>
      </c>
      <c r="W766">
        <f t="shared" si="148"/>
        <v>0.05</v>
      </c>
      <c r="X766" t="str">
        <f t="shared" si="149"/>
        <v/>
      </c>
      <c r="Y766">
        <v>25159.8</v>
      </c>
      <c r="Z766">
        <f t="shared" si="150"/>
        <v>25159.8</v>
      </c>
      <c r="AA766">
        <v>21606.83</v>
      </c>
      <c r="AB766">
        <v>3552.97</v>
      </c>
      <c r="AC766">
        <f t="shared" si="151"/>
        <v>20745.8</v>
      </c>
      <c r="AD766" s="6">
        <f t="shared" si="152"/>
        <v>0.82456140350877194</v>
      </c>
      <c r="AE766" t="s">
        <v>32</v>
      </c>
      <c r="AF766" t="s">
        <v>33</v>
      </c>
      <c r="AG766">
        <f t="shared" si="153"/>
        <v>4</v>
      </c>
      <c r="AH766">
        <f t="shared" si="154"/>
        <v>2025</v>
      </c>
      <c r="AI766" t="str">
        <f t="shared" si="155"/>
        <v>CLEAN</v>
      </c>
    </row>
    <row r="767" spans="1:35">
      <c r="A767" t="s">
        <v>2369</v>
      </c>
      <c r="B767">
        <f t="shared" si="143"/>
        <v>1</v>
      </c>
      <c r="C767" t="str">
        <f>IF(COUNTIF($A$2:A767, A767)&gt;1, "DUPLICATE_FLAGGED_FOR_REVIEW", "")</f>
        <v/>
      </c>
      <c r="D767" s="3">
        <v>45837</v>
      </c>
      <c r="E767" s="2">
        <v>45841</v>
      </c>
      <c r="F767" s="2" t="str">
        <f t="shared" si="144"/>
        <v>OK</v>
      </c>
      <c r="G767" s="4">
        <f t="shared" si="145"/>
        <v>4</v>
      </c>
      <c r="H767" t="s">
        <v>2370</v>
      </c>
      <c r="I767" t="s">
        <v>71</v>
      </c>
      <c r="J767" t="s">
        <v>90</v>
      </c>
      <c r="K767" t="s">
        <v>38</v>
      </c>
      <c r="L767" t="str">
        <f t="shared" si="146"/>
        <v>East</v>
      </c>
      <c r="M767" t="s">
        <v>228</v>
      </c>
      <c r="N767" t="s">
        <v>229</v>
      </c>
      <c r="O767" t="s">
        <v>28</v>
      </c>
      <c r="P767" t="s">
        <v>91</v>
      </c>
      <c r="Q767" t="s">
        <v>2371</v>
      </c>
      <c r="R767" t="s">
        <v>50</v>
      </c>
      <c r="S767" t="str">
        <f t="shared" si="147"/>
        <v>First Class</v>
      </c>
      <c r="T767">
        <v>3</v>
      </c>
      <c r="U767">
        <v>608.14</v>
      </c>
      <c r="V767">
        <v>0</v>
      </c>
      <c r="W767">
        <f t="shared" si="148"/>
        <v>0</v>
      </c>
      <c r="X767" t="str">
        <f t="shared" si="149"/>
        <v/>
      </c>
      <c r="Y767">
        <v>1824.42</v>
      </c>
      <c r="Z767">
        <f t="shared" si="150"/>
        <v>1824.42</v>
      </c>
      <c r="AA767">
        <v>1214.8699999999999</v>
      </c>
      <c r="AB767">
        <v>609.54999999999995</v>
      </c>
      <c r="AC767">
        <f t="shared" si="151"/>
        <v>1216.2800000000002</v>
      </c>
      <c r="AD767" s="6">
        <f t="shared" si="152"/>
        <v>0.66666666666666674</v>
      </c>
      <c r="AE767" t="s">
        <v>32</v>
      </c>
      <c r="AF767" t="s">
        <v>33</v>
      </c>
      <c r="AG767">
        <f t="shared" si="153"/>
        <v>6</v>
      </c>
      <c r="AH767">
        <f t="shared" si="154"/>
        <v>2025</v>
      </c>
      <c r="AI767" t="str">
        <f t="shared" si="155"/>
        <v>CLEAN</v>
      </c>
    </row>
    <row r="768" spans="1:35">
      <c r="A768" t="s">
        <v>2372</v>
      </c>
      <c r="B768">
        <f t="shared" si="143"/>
        <v>1</v>
      </c>
      <c r="C768" t="str">
        <f>IF(COUNTIF($A$2:A768, A768)&gt;1, "DUPLICATE_FLAGGED_FOR_REVIEW", "")</f>
        <v/>
      </c>
      <c r="D768" s="3">
        <v>45552</v>
      </c>
      <c r="E768" s="2">
        <v>45559</v>
      </c>
      <c r="F768" s="2" t="str">
        <f t="shared" si="144"/>
        <v>OK</v>
      </c>
      <c r="G768" s="4">
        <f t="shared" si="145"/>
        <v>7</v>
      </c>
      <c r="H768" t="s">
        <v>2373</v>
      </c>
      <c r="I768" t="s">
        <v>36</v>
      </c>
      <c r="J768" t="s">
        <v>90</v>
      </c>
      <c r="K768" t="s">
        <v>63</v>
      </c>
      <c r="L768" t="str">
        <f t="shared" si="146"/>
        <v>West</v>
      </c>
      <c r="M768" t="s">
        <v>180</v>
      </c>
      <c r="N768" t="s">
        <v>181</v>
      </c>
      <c r="O768" t="s">
        <v>28</v>
      </c>
      <c r="P768" t="s">
        <v>48</v>
      </c>
      <c r="Q768" t="s">
        <v>2374</v>
      </c>
      <c r="R768" t="s">
        <v>31</v>
      </c>
      <c r="S768" t="str">
        <f t="shared" si="147"/>
        <v>Second Class</v>
      </c>
      <c r="T768">
        <v>9</v>
      </c>
      <c r="U768">
        <v>2307.96</v>
      </c>
      <c r="V768">
        <v>0.2</v>
      </c>
      <c r="W768">
        <f t="shared" si="148"/>
        <v>0.2</v>
      </c>
      <c r="X768" t="str">
        <f t="shared" si="149"/>
        <v/>
      </c>
      <c r="Y768">
        <v>16617.310000000001</v>
      </c>
      <c r="Z768">
        <f t="shared" si="150"/>
        <v>16617.312000000002</v>
      </c>
      <c r="AA768">
        <v>9195.73</v>
      </c>
      <c r="AB768">
        <v>7421.58</v>
      </c>
      <c r="AC768">
        <f t="shared" si="151"/>
        <v>14309.352000000003</v>
      </c>
      <c r="AD768" s="6">
        <f t="shared" si="152"/>
        <v>0.86111111111111116</v>
      </c>
      <c r="AE768" t="s">
        <v>32</v>
      </c>
      <c r="AF768" t="s">
        <v>68</v>
      </c>
      <c r="AG768">
        <f t="shared" si="153"/>
        <v>9</v>
      </c>
      <c r="AH768">
        <f t="shared" si="154"/>
        <v>2024</v>
      </c>
      <c r="AI768" t="str">
        <f t="shared" si="155"/>
        <v>CLEAN</v>
      </c>
    </row>
    <row r="769" spans="1:35">
      <c r="A769" t="s">
        <v>2375</v>
      </c>
      <c r="B769">
        <f t="shared" si="143"/>
        <v>1</v>
      </c>
      <c r="C769" t="str">
        <f>IF(COUNTIF($A$2:A769, A769)&gt;1, "DUPLICATE_FLAGGED_FOR_REVIEW", "")</f>
        <v/>
      </c>
      <c r="D769" s="3">
        <v>45415</v>
      </c>
      <c r="E769" s="2">
        <v>45448</v>
      </c>
      <c r="F769" s="2" t="str">
        <f t="shared" si="144"/>
        <v>OK</v>
      </c>
      <c r="G769" s="4">
        <f t="shared" si="145"/>
        <v>33</v>
      </c>
      <c r="H769" t="s">
        <v>2376</v>
      </c>
      <c r="I769" t="s">
        <v>62</v>
      </c>
      <c r="J769" t="s">
        <v>95</v>
      </c>
      <c r="K769" t="s">
        <v>25</v>
      </c>
      <c r="L769" t="str">
        <f t="shared" si="146"/>
        <v>North</v>
      </c>
      <c r="M769" t="s">
        <v>136</v>
      </c>
      <c r="N769" t="s">
        <v>137</v>
      </c>
      <c r="O769" t="s">
        <v>28</v>
      </c>
      <c r="P769" t="s">
        <v>153</v>
      </c>
      <c r="Q769" t="s">
        <v>2377</v>
      </c>
      <c r="R769" t="s">
        <v>59</v>
      </c>
      <c r="S769" t="str">
        <f t="shared" si="147"/>
        <v>Standard Class</v>
      </c>
      <c r="T769">
        <v>1</v>
      </c>
      <c r="U769">
        <v>1244.58</v>
      </c>
      <c r="V769">
        <v>0.25</v>
      </c>
      <c r="W769">
        <f t="shared" si="148"/>
        <v>0.25</v>
      </c>
      <c r="X769" t="str">
        <f t="shared" si="149"/>
        <v/>
      </c>
      <c r="Y769">
        <v>933.43</v>
      </c>
      <c r="Z769">
        <f t="shared" si="150"/>
        <v>933.43499999999995</v>
      </c>
      <c r="AA769">
        <v>583.09</v>
      </c>
      <c r="AB769">
        <v>350.34</v>
      </c>
      <c r="AC769">
        <f t="shared" si="151"/>
        <v>-311.14499999999998</v>
      </c>
      <c r="AD769" s="6">
        <f t="shared" si="152"/>
        <v>-0.33333333333333331</v>
      </c>
      <c r="AE769" t="s">
        <v>32</v>
      </c>
      <c r="AF769" t="s">
        <v>33</v>
      </c>
      <c r="AG769">
        <f t="shared" si="153"/>
        <v>5</v>
      </c>
      <c r="AH769">
        <f t="shared" si="154"/>
        <v>2024</v>
      </c>
      <c r="AI769" t="str">
        <f t="shared" si="155"/>
        <v>CLEAN</v>
      </c>
    </row>
    <row r="770" spans="1:35">
      <c r="A770" t="s">
        <v>2378</v>
      </c>
      <c r="B770">
        <f t="shared" si="143"/>
        <v>1</v>
      </c>
      <c r="C770" t="str">
        <f>IF(COUNTIF($A$2:A770, A770)&gt;1, "DUPLICATE_FLAGGED_FOR_REVIEW", "")</f>
        <v/>
      </c>
      <c r="D770" s="3">
        <v>45749</v>
      </c>
      <c r="E770" s="2">
        <v>45751</v>
      </c>
      <c r="F770" s="2" t="str">
        <f t="shared" si="144"/>
        <v>OK</v>
      </c>
      <c r="G770" s="4">
        <f t="shared" si="145"/>
        <v>2</v>
      </c>
      <c r="H770" t="s">
        <v>2379</v>
      </c>
      <c r="I770" t="s">
        <v>132</v>
      </c>
      <c r="J770" t="s">
        <v>95</v>
      </c>
      <c r="K770" t="s">
        <v>38</v>
      </c>
      <c r="L770" t="str">
        <f t="shared" si="146"/>
        <v>East</v>
      </c>
      <c r="M770" t="s">
        <v>228</v>
      </c>
      <c r="N770" t="s">
        <v>229</v>
      </c>
      <c r="O770" t="s">
        <v>28</v>
      </c>
      <c r="P770" t="s">
        <v>29</v>
      </c>
      <c r="Q770" t="s">
        <v>2380</v>
      </c>
      <c r="R770" t="s">
        <v>44</v>
      </c>
      <c r="S770" t="str">
        <f t="shared" si="147"/>
        <v>Same Day</v>
      </c>
      <c r="T770">
        <v>5</v>
      </c>
      <c r="U770">
        <v>3234.24</v>
      </c>
      <c r="V770">
        <v>0.1</v>
      </c>
      <c r="W770">
        <f t="shared" si="148"/>
        <v>0.1</v>
      </c>
      <c r="X770" t="str">
        <f t="shared" si="149"/>
        <v/>
      </c>
      <c r="Y770">
        <v>14554.08</v>
      </c>
      <c r="Z770">
        <f t="shared" si="150"/>
        <v>14554.08</v>
      </c>
      <c r="AA770">
        <v>11166.84</v>
      </c>
      <c r="AB770">
        <v>3387.24</v>
      </c>
      <c r="AC770">
        <f t="shared" si="151"/>
        <v>11319.84</v>
      </c>
      <c r="AD770" s="6">
        <f t="shared" si="152"/>
        <v>0.77777777777777779</v>
      </c>
      <c r="AE770" t="s">
        <v>32</v>
      </c>
      <c r="AF770" t="s">
        <v>33</v>
      </c>
      <c r="AG770">
        <f t="shared" si="153"/>
        <v>4</v>
      </c>
      <c r="AH770">
        <f t="shared" si="154"/>
        <v>2025</v>
      </c>
      <c r="AI770" t="str">
        <f t="shared" si="155"/>
        <v>CLEAN</v>
      </c>
    </row>
    <row r="771" spans="1:35">
      <c r="A771" t="s">
        <v>2381</v>
      </c>
      <c r="B771">
        <f t="shared" ref="B771:B834" si="156">COUNTIF($A$2:$A$932, A771)</f>
        <v>1</v>
      </c>
      <c r="C771" t="str">
        <f>IF(COUNTIF($A$2:A771, A771)&gt;1, "DUPLICATE_FLAGGED_FOR_REVIEW", "")</f>
        <v/>
      </c>
      <c r="D771" s="3">
        <v>45601</v>
      </c>
      <c r="E771" s="2">
        <v>45425</v>
      </c>
      <c r="F771" s="2" t="str">
        <f t="shared" ref="F771:F834" si="157">IF(E771&lt;D771, "ERROR: Ship before order", "OK")</f>
        <v>ERROR: Ship before order</v>
      </c>
      <c r="G771" s="4">
        <f t="shared" ref="G771:G834" si="158">IF(AND(ISNUMBER(E771),ISNUMBER(D771)), E771-D771, "")</f>
        <v>-176</v>
      </c>
      <c r="H771" t="s">
        <v>2382</v>
      </c>
      <c r="I771" t="s">
        <v>114</v>
      </c>
      <c r="J771" t="s">
        <v>95</v>
      </c>
      <c r="K771" t="s">
        <v>63</v>
      </c>
      <c r="L771" t="str">
        <f t="shared" ref="L771:L834" si="159">IF(OR(K771="",ISBLANK(K771)), "Unknown", K771)</f>
        <v>West</v>
      </c>
      <c r="M771" t="s">
        <v>190</v>
      </c>
      <c r="N771" t="s">
        <v>191</v>
      </c>
      <c r="O771" t="s">
        <v>41</v>
      </c>
      <c r="P771" t="s">
        <v>158</v>
      </c>
      <c r="Q771" t="s">
        <v>2383</v>
      </c>
      <c r="R771" t="s">
        <v>44</v>
      </c>
      <c r="S771" t="str">
        <f t="shared" ref="S771:S834" si="160">IF(OR(R771="",ISBLANK(R771)), "Unknown", R771)</f>
        <v>Same Day</v>
      </c>
      <c r="T771">
        <v>3</v>
      </c>
      <c r="U771">
        <v>3612.75</v>
      </c>
      <c r="V771">
        <v>0.25</v>
      </c>
      <c r="W771">
        <f t="shared" ref="W771:W834" si="161">IF(ISBLANK(V771), IF(AND(ISNUMBER(T771), ISNUMBER(U771)), 0, ""), IF(V771&lt;0, V771, IF(V771&gt;0.5, V771, V771)))</f>
        <v>0.25</v>
      </c>
      <c r="X771" t="str">
        <f t="shared" ref="X771:X834" si="162">IF(V771&lt;0,"INVALID_NEGATIVE_DISCOUNT",IF(V771&gt;0.5,"INVALID_DISCOUNT_ABOVE_50PCT",IF(AND(ISBLANK(V771), ISNUMBER(T771), ISNUMBER(U771)),"DISCOUNT_MISSING_SET_TO_0","")))</f>
        <v/>
      </c>
      <c r="Y771">
        <v>8128.69</v>
      </c>
      <c r="Z771">
        <f t="shared" ref="Z771:Z834" si="163">T771 * U771 * (1 - W771)</f>
        <v>8128.6875</v>
      </c>
      <c r="AA771">
        <v>5071.66</v>
      </c>
      <c r="AB771">
        <v>3057.03</v>
      </c>
      <c r="AC771">
        <f t="shared" ref="AC771:AC834" si="164">Z771-U771</f>
        <v>4515.9375</v>
      </c>
      <c r="AD771" s="6">
        <f t="shared" ref="AD771:AD834" si="165">IF(Z771&lt;&gt;0, AC771 / Z771, 0)</f>
        <v>0.55555555555555558</v>
      </c>
      <c r="AE771" t="s">
        <v>32</v>
      </c>
      <c r="AF771" t="s">
        <v>33</v>
      </c>
      <c r="AG771">
        <f t="shared" ref="AG771:AG834" si="166">MONTH(D771)</f>
        <v>11</v>
      </c>
      <c r="AH771">
        <f t="shared" ref="AH771:AH834" si="167">YEAR(D771)</f>
        <v>2024</v>
      </c>
      <c r="AI771" t="str">
        <f t="shared" ref="AI771:AI834" si="168">IF(OR(X771="INVALID_NEGATIVE_DISCOUNT",X771="INVALID_DISCOUNT_ABOVE_50PCT",F771="ERROR: Ship before order"),"INVALID",IF(OR(L771="Unknown",S771="Unknown",X771="DISCOUNT_MISSING_SET_TO_0"),"WARNING","CLEAN"))</f>
        <v>INVALID</v>
      </c>
    </row>
    <row r="772" spans="1:35">
      <c r="A772" t="s">
        <v>2384</v>
      </c>
      <c r="B772">
        <f t="shared" si="156"/>
        <v>1</v>
      </c>
      <c r="C772" t="str">
        <f>IF(COUNTIF($A$2:A772, A772)&gt;1, "DUPLICATE_FLAGGED_FOR_REVIEW", "")</f>
        <v/>
      </c>
      <c r="D772" s="3">
        <v>45337</v>
      </c>
      <c r="E772" s="2">
        <v>45339</v>
      </c>
      <c r="F772" s="2" t="str">
        <f t="shared" si="157"/>
        <v>OK</v>
      </c>
      <c r="G772" s="4">
        <f t="shared" si="158"/>
        <v>2</v>
      </c>
      <c r="H772" t="s">
        <v>2385</v>
      </c>
      <c r="I772" t="s">
        <v>79</v>
      </c>
      <c r="J772" t="s">
        <v>24</v>
      </c>
      <c r="K772" t="s">
        <v>25</v>
      </c>
      <c r="L772" t="str">
        <f t="shared" si="159"/>
        <v>North</v>
      </c>
      <c r="M772" t="s">
        <v>136</v>
      </c>
      <c r="N772" t="s">
        <v>137</v>
      </c>
      <c r="O772" t="s">
        <v>74</v>
      </c>
      <c r="P772" t="s">
        <v>80</v>
      </c>
      <c r="Q772" t="s">
        <v>2386</v>
      </c>
      <c r="R772" t="s">
        <v>50</v>
      </c>
      <c r="S772" t="str">
        <f t="shared" si="160"/>
        <v>First Class</v>
      </c>
      <c r="T772">
        <v>4</v>
      </c>
      <c r="U772">
        <v>863</v>
      </c>
      <c r="W772">
        <f t="shared" si="161"/>
        <v>0</v>
      </c>
      <c r="X772" t="str">
        <f t="shared" si="162"/>
        <v>DISCOUNT_MISSING_SET_TO_0</v>
      </c>
      <c r="Y772">
        <v>3106.8</v>
      </c>
      <c r="Z772">
        <f t="shared" si="163"/>
        <v>3452</v>
      </c>
      <c r="AA772">
        <v>2376.62</v>
      </c>
      <c r="AB772">
        <v>730.18</v>
      </c>
      <c r="AC772">
        <f t="shared" si="164"/>
        <v>2589</v>
      </c>
      <c r="AD772" s="6">
        <f t="shared" si="165"/>
        <v>0.75</v>
      </c>
      <c r="AE772" t="s">
        <v>32</v>
      </c>
      <c r="AF772" t="s">
        <v>33</v>
      </c>
      <c r="AG772">
        <f t="shared" si="166"/>
        <v>2</v>
      </c>
      <c r="AH772">
        <f t="shared" si="167"/>
        <v>2024</v>
      </c>
      <c r="AI772" t="str">
        <f t="shared" si="168"/>
        <v>WARNING</v>
      </c>
    </row>
    <row r="773" spans="1:35">
      <c r="A773" t="s">
        <v>2387</v>
      </c>
      <c r="B773">
        <f t="shared" si="156"/>
        <v>1</v>
      </c>
      <c r="C773" t="str">
        <f>IF(COUNTIF($A$2:A773, A773)&gt;1, "DUPLICATE_FLAGGED_FOR_REVIEW", "")</f>
        <v/>
      </c>
      <c r="D773" s="3">
        <v>45485</v>
      </c>
      <c r="E773" s="2">
        <v>45487</v>
      </c>
      <c r="F773" s="2" t="str">
        <f t="shared" si="157"/>
        <v>OK</v>
      </c>
      <c r="G773" s="4">
        <f t="shared" si="158"/>
        <v>2</v>
      </c>
      <c r="H773" t="s">
        <v>467</v>
      </c>
      <c r="I773" t="s">
        <v>62</v>
      </c>
      <c r="J773" t="s">
        <v>24</v>
      </c>
      <c r="K773" t="s">
        <v>25</v>
      </c>
      <c r="L773" t="str">
        <f t="shared" si="159"/>
        <v>North</v>
      </c>
      <c r="M773" t="s">
        <v>236</v>
      </c>
      <c r="N773" t="s">
        <v>237</v>
      </c>
      <c r="O773" t="s">
        <v>74</v>
      </c>
      <c r="P773" t="s">
        <v>274</v>
      </c>
      <c r="Q773" t="s">
        <v>2388</v>
      </c>
      <c r="R773" t="s">
        <v>31</v>
      </c>
      <c r="S773" t="str">
        <f t="shared" si="160"/>
        <v>Second Class</v>
      </c>
      <c r="T773">
        <v>4</v>
      </c>
      <c r="U773">
        <v>2131.41</v>
      </c>
      <c r="W773">
        <f t="shared" si="161"/>
        <v>0</v>
      </c>
      <c r="X773" t="str">
        <f t="shared" si="162"/>
        <v>DISCOUNT_MISSING_SET_TO_0</v>
      </c>
      <c r="Y773">
        <v>6394.23</v>
      </c>
      <c r="Z773">
        <f t="shared" si="163"/>
        <v>8525.64</v>
      </c>
      <c r="AA773">
        <v>3520.69</v>
      </c>
      <c r="AB773">
        <v>2873.54</v>
      </c>
      <c r="AC773">
        <f t="shared" si="164"/>
        <v>6394.23</v>
      </c>
      <c r="AD773" s="6">
        <f t="shared" si="165"/>
        <v>0.75</v>
      </c>
      <c r="AE773" t="s">
        <v>32</v>
      </c>
      <c r="AF773" t="s">
        <v>33</v>
      </c>
      <c r="AG773">
        <f t="shared" si="166"/>
        <v>7</v>
      </c>
      <c r="AH773">
        <f t="shared" si="167"/>
        <v>2024</v>
      </c>
      <c r="AI773" t="str">
        <f t="shared" si="168"/>
        <v>WARNING</v>
      </c>
    </row>
    <row r="774" spans="1:35">
      <c r="A774" t="s">
        <v>2389</v>
      </c>
      <c r="B774">
        <f t="shared" si="156"/>
        <v>1</v>
      </c>
      <c r="C774" t="str">
        <f>IF(COUNTIF($A$2:A774, A774)&gt;1, "DUPLICATE_FLAGGED_FOR_REVIEW", "")</f>
        <v/>
      </c>
      <c r="D774" s="3">
        <v>45853</v>
      </c>
      <c r="E774" s="2">
        <v>45857</v>
      </c>
      <c r="F774" s="2" t="str">
        <f t="shared" si="157"/>
        <v>OK</v>
      </c>
      <c r="G774" s="4">
        <f t="shared" si="158"/>
        <v>4</v>
      </c>
      <c r="H774" t="s">
        <v>2390</v>
      </c>
      <c r="I774" t="s">
        <v>162</v>
      </c>
      <c r="J774" t="s">
        <v>24</v>
      </c>
      <c r="K774" t="s">
        <v>54</v>
      </c>
      <c r="L774" t="str">
        <f t="shared" si="159"/>
        <v>South</v>
      </c>
      <c r="M774" t="s">
        <v>247</v>
      </c>
      <c r="N774" t="s">
        <v>248</v>
      </c>
      <c r="O774" t="s">
        <v>41</v>
      </c>
      <c r="P774" t="s">
        <v>66</v>
      </c>
      <c r="Q774" t="s">
        <v>2391</v>
      </c>
      <c r="R774" t="s">
        <v>44</v>
      </c>
      <c r="S774" t="str">
        <f t="shared" si="160"/>
        <v>Same Day</v>
      </c>
      <c r="T774">
        <v>1</v>
      </c>
      <c r="U774">
        <v>3903.22</v>
      </c>
      <c r="V774">
        <v>0.05</v>
      </c>
      <c r="W774">
        <f t="shared" si="161"/>
        <v>0.05</v>
      </c>
      <c r="X774" t="str">
        <f t="shared" si="162"/>
        <v/>
      </c>
      <c r="Y774">
        <v>3708.06</v>
      </c>
      <c r="Z774">
        <f t="shared" si="163"/>
        <v>3708.0589999999997</v>
      </c>
      <c r="AA774">
        <v>2760.29</v>
      </c>
      <c r="AB774">
        <v>947.77</v>
      </c>
      <c r="AC774">
        <f t="shared" si="164"/>
        <v>-195.16100000000006</v>
      </c>
      <c r="AD774" s="6">
        <f t="shared" si="165"/>
        <v>-5.2631578947368439E-2</v>
      </c>
      <c r="AE774" t="s">
        <v>111</v>
      </c>
      <c r="AF774" t="s">
        <v>68</v>
      </c>
      <c r="AG774">
        <f t="shared" si="166"/>
        <v>7</v>
      </c>
      <c r="AH774">
        <f t="shared" si="167"/>
        <v>2025</v>
      </c>
      <c r="AI774" t="str">
        <f t="shared" si="168"/>
        <v>CLEAN</v>
      </c>
    </row>
    <row r="775" spans="1:35">
      <c r="A775" t="s">
        <v>2392</v>
      </c>
      <c r="B775">
        <f t="shared" si="156"/>
        <v>1</v>
      </c>
      <c r="C775" t="str">
        <f>IF(COUNTIF($A$2:A775, A775)&gt;1, "DUPLICATE_FLAGGED_FOR_REVIEW", "")</f>
        <v/>
      </c>
      <c r="D775" s="3">
        <v>45709</v>
      </c>
      <c r="E775" s="2">
        <v>45709</v>
      </c>
      <c r="F775" s="2" t="str">
        <f t="shared" si="157"/>
        <v>OK</v>
      </c>
      <c r="G775" s="4">
        <f t="shared" si="158"/>
        <v>0</v>
      </c>
      <c r="H775" t="s">
        <v>2393</v>
      </c>
      <c r="I775" t="s">
        <v>23</v>
      </c>
      <c r="J775" t="s">
        <v>95</v>
      </c>
      <c r="K775" t="s">
        <v>63</v>
      </c>
      <c r="L775" t="str">
        <f t="shared" si="159"/>
        <v>West</v>
      </c>
      <c r="M775" t="s">
        <v>180</v>
      </c>
      <c r="N775" t="s">
        <v>181</v>
      </c>
      <c r="O775" t="s">
        <v>74</v>
      </c>
      <c r="P775" t="s">
        <v>171</v>
      </c>
      <c r="Q775" t="s">
        <v>2394</v>
      </c>
      <c r="R775" t="s">
        <v>2760</v>
      </c>
      <c r="S775" t="str">
        <f t="shared" si="160"/>
        <v>Unknown</v>
      </c>
      <c r="T775">
        <v>4</v>
      </c>
      <c r="U775">
        <v>2945.07</v>
      </c>
      <c r="V775">
        <v>0.2</v>
      </c>
      <c r="W775">
        <f t="shared" si="161"/>
        <v>0.2</v>
      </c>
      <c r="X775" t="str">
        <f t="shared" si="162"/>
        <v/>
      </c>
      <c r="Y775">
        <v>9424.2199999999993</v>
      </c>
      <c r="Z775">
        <f t="shared" si="163"/>
        <v>9424.2240000000002</v>
      </c>
      <c r="AA775">
        <v>6178.92</v>
      </c>
      <c r="AB775">
        <v>3245.3</v>
      </c>
      <c r="AC775">
        <f t="shared" si="164"/>
        <v>6479.1540000000005</v>
      </c>
      <c r="AD775" s="6">
        <f t="shared" si="165"/>
        <v>0.6875</v>
      </c>
      <c r="AE775" t="s">
        <v>32</v>
      </c>
      <c r="AF775" t="s">
        <v>33</v>
      </c>
      <c r="AG775">
        <f t="shared" si="166"/>
        <v>2</v>
      </c>
      <c r="AH775">
        <f t="shared" si="167"/>
        <v>2025</v>
      </c>
      <c r="AI775" t="str">
        <f t="shared" si="168"/>
        <v>WARNING</v>
      </c>
    </row>
    <row r="776" spans="1:35">
      <c r="A776" t="s">
        <v>2395</v>
      </c>
      <c r="B776">
        <f t="shared" si="156"/>
        <v>1</v>
      </c>
      <c r="C776" t="str">
        <f>IF(COUNTIF($A$2:A776, A776)&gt;1, "DUPLICATE_FLAGGED_FOR_REVIEW", "")</f>
        <v/>
      </c>
      <c r="D776" s="3">
        <v>45876</v>
      </c>
      <c r="E776" s="2">
        <v>45876</v>
      </c>
      <c r="F776" s="2" t="str">
        <f t="shared" si="157"/>
        <v>OK</v>
      </c>
      <c r="G776" s="4">
        <f t="shared" si="158"/>
        <v>0</v>
      </c>
      <c r="H776" t="s">
        <v>2396</v>
      </c>
      <c r="I776" t="s">
        <v>264</v>
      </c>
      <c r="J776" t="s">
        <v>24</v>
      </c>
      <c r="K776" t="s">
        <v>63</v>
      </c>
      <c r="L776" t="str">
        <f t="shared" si="159"/>
        <v>West</v>
      </c>
      <c r="M776" t="s">
        <v>26</v>
      </c>
      <c r="N776" t="s">
        <v>109</v>
      </c>
      <c r="O776" t="s">
        <v>74</v>
      </c>
      <c r="P776" t="s">
        <v>274</v>
      </c>
      <c r="Q776" t="s">
        <v>2397</v>
      </c>
      <c r="R776" t="s">
        <v>2760</v>
      </c>
      <c r="S776" t="str">
        <f t="shared" si="160"/>
        <v>Unknown</v>
      </c>
      <c r="T776">
        <v>9</v>
      </c>
      <c r="U776">
        <v>1076.75</v>
      </c>
      <c r="V776">
        <v>0.2</v>
      </c>
      <c r="W776">
        <f t="shared" si="161"/>
        <v>0.2</v>
      </c>
      <c r="X776" t="str">
        <f t="shared" si="162"/>
        <v/>
      </c>
      <c r="Y776">
        <v>7752.6</v>
      </c>
      <c r="Z776">
        <f t="shared" si="163"/>
        <v>7752.6</v>
      </c>
      <c r="AA776">
        <v>4689.3</v>
      </c>
      <c r="AB776">
        <v>3063.3</v>
      </c>
      <c r="AC776">
        <f t="shared" si="164"/>
        <v>6675.85</v>
      </c>
      <c r="AD776" s="6">
        <f t="shared" si="165"/>
        <v>0.86111111111111116</v>
      </c>
      <c r="AE776" t="s">
        <v>32</v>
      </c>
      <c r="AF776" t="s">
        <v>33</v>
      </c>
      <c r="AG776">
        <f t="shared" si="166"/>
        <v>8</v>
      </c>
      <c r="AH776">
        <f t="shared" si="167"/>
        <v>2025</v>
      </c>
      <c r="AI776" t="str">
        <f t="shared" si="168"/>
        <v>WARNING</v>
      </c>
    </row>
    <row r="777" spans="1:35">
      <c r="A777" t="s">
        <v>2398</v>
      </c>
      <c r="B777">
        <f t="shared" si="156"/>
        <v>1</v>
      </c>
      <c r="C777" t="str">
        <f>IF(COUNTIF($A$2:A777, A777)&gt;1, "DUPLICATE_FLAGGED_FOR_REVIEW", "")</f>
        <v/>
      </c>
      <c r="D777" s="3">
        <v>45396</v>
      </c>
      <c r="E777" s="2">
        <v>45404</v>
      </c>
      <c r="F777" s="2" t="str">
        <f t="shared" si="157"/>
        <v>OK</v>
      </c>
      <c r="G777" s="4">
        <f t="shared" si="158"/>
        <v>8</v>
      </c>
      <c r="H777" t="s">
        <v>2399</v>
      </c>
      <c r="I777" t="s">
        <v>53</v>
      </c>
      <c r="J777" t="s">
        <v>24</v>
      </c>
      <c r="K777" t="s">
        <v>25</v>
      </c>
      <c r="L777" t="str">
        <f t="shared" si="159"/>
        <v>North</v>
      </c>
      <c r="M777" t="s">
        <v>236</v>
      </c>
      <c r="N777" t="s">
        <v>237</v>
      </c>
      <c r="O777" t="s">
        <v>74</v>
      </c>
      <c r="P777" t="s">
        <v>75</v>
      </c>
      <c r="Q777" t="s">
        <v>2400</v>
      </c>
      <c r="R777" t="s">
        <v>59</v>
      </c>
      <c r="S777" t="str">
        <f t="shared" si="160"/>
        <v>Standard Class</v>
      </c>
      <c r="T777">
        <v>8</v>
      </c>
      <c r="U777">
        <v>3956.12</v>
      </c>
      <c r="V777">
        <v>0.25</v>
      </c>
      <c r="W777">
        <f t="shared" si="161"/>
        <v>0.25</v>
      </c>
      <c r="X777" t="str">
        <f t="shared" si="162"/>
        <v/>
      </c>
      <c r="Y777">
        <v>23736.720000000001</v>
      </c>
      <c r="Z777">
        <f t="shared" si="163"/>
        <v>23736.720000000001</v>
      </c>
      <c r="AA777">
        <v>13890.9</v>
      </c>
      <c r="AB777">
        <v>9845.82</v>
      </c>
      <c r="AC777">
        <f t="shared" si="164"/>
        <v>19780.600000000002</v>
      </c>
      <c r="AD777" s="6">
        <f t="shared" si="165"/>
        <v>0.83333333333333337</v>
      </c>
      <c r="AE777" t="s">
        <v>32</v>
      </c>
      <c r="AF777" t="s">
        <v>33</v>
      </c>
      <c r="AG777">
        <f t="shared" si="166"/>
        <v>4</v>
      </c>
      <c r="AH777">
        <f t="shared" si="167"/>
        <v>2024</v>
      </c>
      <c r="AI777" t="str">
        <f t="shared" si="168"/>
        <v>CLEAN</v>
      </c>
    </row>
    <row r="778" spans="1:35">
      <c r="A778" t="s">
        <v>2401</v>
      </c>
      <c r="B778">
        <f t="shared" si="156"/>
        <v>1</v>
      </c>
      <c r="C778" t="str">
        <f>IF(COUNTIF($A$2:A778, A778)&gt;1, "DUPLICATE_FLAGGED_FOR_REVIEW", "")</f>
        <v/>
      </c>
      <c r="D778" s="3">
        <v>45816</v>
      </c>
      <c r="E778" s="2">
        <v>45821</v>
      </c>
      <c r="F778" s="2" t="str">
        <f t="shared" si="157"/>
        <v>OK</v>
      </c>
      <c r="G778" s="4">
        <f t="shared" si="158"/>
        <v>5</v>
      </c>
      <c r="H778" t="s">
        <v>2402</v>
      </c>
      <c r="I778" t="s">
        <v>89</v>
      </c>
      <c r="J778" t="s">
        <v>37</v>
      </c>
      <c r="K778" t="s">
        <v>25</v>
      </c>
      <c r="L778" t="str">
        <f t="shared" si="159"/>
        <v>North</v>
      </c>
      <c r="M778" t="s">
        <v>26</v>
      </c>
      <c r="N778" t="s">
        <v>27</v>
      </c>
      <c r="O778" t="s">
        <v>74</v>
      </c>
      <c r="P778" t="s">
        <v>80</v>
      </c>
      <c r="Q778" t="s">
        <v>2403</v>
      </c>
      <c r="R778" t="s">
        <v>31</v>
      </c>
      <c r="S778" t="str">
        <f t="shared" si="160"/>
        <v>Second Class</v>
      </c>
      <c r="T778">
        <v>7</v>
      </c>
      <c r="U778">
        <v>3857.13</v>
      </c>
      <c r="V778">
        <v>0</v>
      </c>
      <c r="W778">
        <f t="shared" si="161"/>
        <v>0</v>
      </c>
      <c r="X778" t="str">
        <f t="shared" si="162"/>
        <v/>
      </c>
      <c r="Y778">
        <v>26999.91</v>
      </c>
      <c r="Z778">
        <f t="shared" si="163"/>
        <v>26999.91</v>
      </c>
      <c r="AA778">
        <v>17815.98</v>
      </c>
      <c r="AB778">
        <v>9183.93</v>
      </c>
      <c r="AC778">
        <f t="shared" si="164"/>
        <v>23142.78</v>
      </c>
      <c r="AD778" s="6">
        <f t="shared" si="165"/>
        <v>0.8571428571428571</v>
      </c>
      <c r="AE778" t="s">
        <v>32</v>
      </c>
      <c r="AF778" t="s">
        <v>33</v>
      </c>
      <c r="AG778">
        <f t="shared" si="166"/>
        <v>6</v>
      </c>
      <c r="AH778">
        <f t="shared" si="167"/>
        <v>2025</v>
      </c>
      <c r="AI778" t="str">
        <f t="shared" si="168"/>
        <v>CLEAN</v>
      </c>
    </row>
    <row r="779" spans="1:35">
      <c r="A779" t="s">
        <v>2404</v>
      </c>
      <c r="B779">
        <f t="shared" si="156"/>
        <v>1</v>
      </c>
      <c r="C779" t="str">
        <f>IF(COUNTIF($A$2:A779, A779)&gt;1, "DUPLICATE_FLAGGED_FOR_REVIEW", "")</f>
        <v/>
      </c>
      <c r="D779" s="3">
        <v>45326</v>
      </c>
      <c r="E779" s="2">
        <v>45328</v>
      </c>
      <c r="F779" s="2" t="str">
        <f t="shared" si="157"/>
        <v>OK</v>
      </c>
      <c r="G779" s="4">
        <f t="shared" si="158"/>
        <v>2</v>
      </c>
      <c r="H779" t="s">
        <v>2405</v>
      </c>
      <c r="I779" t="s">
        <v>264</v>
      </c>
      <c r="J779" t="s">
        <v>37</v>
      </c>
      <c r="K779" t="s">
        <v>63</v>
      </c>
      <c r="L779" t="str">
        <f t="shared" si="159"/>
        <v>West</v>
      </c>
      <c r="M779" t="s">
        <v>72</v>
      </c>
      <c r="N779" t="s">
        <v>73</v>
      </c>
      <c r="O779" t="s">
        <v>74</v>
      </c>
      <c r="P779" t="s">
        <v>75</v>
      </c>
      <c r="Q779" t="s">
        <v>2406</v>
      </c>
      <c r="R779" t="s">
        <v>31</v>
      </c>
      <c r="S779" t="str">
        <f t="shared" si="160"/>
        <v>Second Class</v>
      </c>
      <c r="T779">
        <v>4</v>
      </c>
      <c r="U779">
        <v>1489.74</v>
      </c>
      <c r="V779">
        <v>0.15</v>
      </c>
      <c r="W779">
        <f t="shared" si="161"/>
        <v>0.15</v>
      </c>
      <c r="X779" t="str">
        <f t="shared" si="162"/>
        <v/>
      </c>
      <c r="Y779">
        <v>5065.12</v>
      </c>
      <c r="Z779">
        <f t="shared" si="163"/>
        <v>5065.116</v>
      </c>
      <c r="AA779">
        <v>3530.12</v>
      </c>
      <c r="AB779">
        <v>1535</v>
      </c>
      <c r="AC779">
        <f t="shared" si="164"/>
        <v>3575.3760000000002</v>
      </c>
      <c r="AD779" s="6">
        <f t="shared" si="165"/>
        <v>0.70588235294117652</v>
      </c>
      <c r="AE779" t="s">
        <v>155</v>
      </c>
      <c r="AF779" t="s">
        <v>68</v>
      </c>
      <c r="AG779">
        <f t="shared" si="166"/>
        <v>2</v>
      </c>
      <c r="AH779">
        <f t="shared" si="167"/>
        <v>2024</v>
      </c>
      <c r="AI779" t="str">
        <f t="shared" si="168"/>
        <v>CLEAN</v>
      </c>
    </row>
    <row r="780" spans="1:35">
      <c r="A780" t="s">
        <v>2407</v>
      </c>
      <c r="B780">
        <f t="shared" si="156"/>
        <v>1</v>
      </c>
      <c r="C780" t="str">
        <f>IF(COUNTIF($A$2:A780, A780)&gt;1, "DUPLICATE_FLAGGED_FOR_REVIEW", "")</f>
        <v/>
      </c>
      <c r="D780" s="3">
        <v>45497</v>
      </c>
      <c r="E780" s="2">
        <v>45497</v>
      </c>
      <c r="F780" s="2" t="str">
        <f t="shared" si="157"/>
        <v>OK</v>
      </c>
      <c r="G780" s="4">
        <f t="shared" si="158"/>
        <v>0</v>
      </c>
      <c r="H780" t="s">
        <v>2408</v>
      </c>
      <c r="I780" t="s">
        <v>23</v>
      </c>
      <c r="J780" t="s">
        <v>37</v>
      </c>
      <c r="K780" t="s">
        <v>25</v>
      </c>
      <c r="L780" t="str">
        <f t="shared" si="159"/>
        <v>North</v>
      </c>
      <c r="M780" t="s">
        <v>236</v>
      </c>
      <c r="N780" t="s">
        <v>237</v>
      </c>
      <c r="O780" t="s">
        <v>74</v>
      </c>
      <c r="P780" t="s">
        <v>80</v>
      </c>
      <c r="Q780" t="s">
        <v>2409</v>
      </c>
      <c r="R780" t="s">
        <v>31</v>
      </c>
      <c r="S780" t="str">
        <f t="shared" si="160"/>
        <v>Second Class</v>
      </c>
      <c r="T780">
        <v>4</v>
      </c>
      <c r="U780">
        <v>1676.88</v>
      </c>
      <c r="V780">
        <v>0</v>
      </c>
      <c r="W780">
        <f t="shared" si="161"/>
        <v>0</v>
      </c>
      <c r="X780" t="str">
        <f t="shared" si="162"/>
        <v/>
      </c>
      <c r="Y780">
        <v>6707.52</v>
      </c>
      <c r="Z780">
        <f t="shared" si="163"/>
        <v>6707.52</v>
      </c>
      <c r="AA780">
        <v>5672.57</v>
      </c>
      <c r="AB780">
        <v>1034.95</v>
      </c>
      <c r="AC780">
        <f t="shared" si="164"/>
        <v>5030.6400000000003</v>
      </c>
      <c r="AD780" s="6">
        <f t="shared" si="165"/>
        <v>0.75</v>
      </c>
      <c r="AE780" t="s">
        <v>32</v>
      </c>
      <c r="AF780" t="s">
        <v>33</v>
      </c>
      <c r="AG780">
        <f t="shared" si="166"/>
        <v>7</v>
      </c>
      <c r="AH780">
        <f t="shared" si="167"/>
        <v>2024</v>
      </c>
      <c r="AI780" t="str">
        <f t="shared" si="168"/>
        <v>CLEAN</v>
      </c>
    </row>
    <row r="781" spans="1:35">
      <c r="A781" t="s">
        <v>2410</v>
      </c>
      <c r="B781">
        <f t="shared" si="156"/>
        <v>1</v>
      </c>
      <c r="C781" t="str">
        <f>IF(COUNTIF($A$2:A781, A781)&gt;1, "DUPLICATE_FLAGGED_FOR_REVIEW", "")</f>
        <v/>
      </c>
      <c r="D781" s="3">
        <v>45306</v>
      </c>
      <c r="E781" s="2">
        <v>45311</v>
      </c>
      <c r="F781" s="2" t="str">
        <f t="shared" si="157"/>
        <v>OK</v>
      </c>
      <c r="G781" s="4">
        <f t="shared" si="158"/>
        <v>5</v>
      </c>
      <c r="H781" t="s">
        <v>2411</v>
      </c>
      <c r="I781" t="s">
        <v>114</v>
      </c>
      <c r="J781" t="s">
        <v>37</v>
      </c>
      <c r="K781" t="s">
        <v>54</v>
      </c>
      <c r="L781" t="str">
        <f t="shared" si="159"/>
        <v>South</v>
      </c>
      <c r="M781" t="s">
        <v>84</v>
      </c>
      <c r="N781" t="s">
        <v>85</v>
      </c>
      <c r="O781" t="s">
        <v>41</v>
      </c>
      <c r="P781" t="s">
        <v>66</v>
      </c>
      <c r="Q781" t="s">
        <v>2412</v>
      </c>
      <c r="R781" t="s">
        <v>59</v>
      </c>
      <c r="S781" t="str">
        <f t="shared" si="160"/>
        <v>Standard Class</v>
      </c>
      <c r="T781">
        <v>4</v>
      </c>
      <c r="U781">
        <v>3153.54</v>
      </c>
      <c r="V781">
        <v>0.05</v>
      </c>
      <c r="W781">
        <f t="shared" si="161"/>
        <v>0.05</v>
      </c>
      <c r="X781" t="str">
        <f t="shared" si="162"/>
        <v/>
      </c>
      <c r="Y781">
        <v>11983.45</v>
      </c>
      <c r="Z781">
        <f t="shared" si="163"/>
        <v>11983.451999999999</v>
      </c>
      <c r="AA781">
        <v>8572.9</v>
      </c>
      <c r="AB781">
        <v>3410.55</v>
      </c>
      <c r="AC781">
        <f t="shared" si="164"/>
        <v>8829.9120000000003</v>
      </c>
      <c r="AD781" s="6">
        <f t="shared" si="165"/>
        <v>0.73684210526315796</v>
      </c>
      <c r="AE781" t="s">
        <v>32</v>
      </c>
      <c r="AF781" t="s">
        <v>33</v>
      </c>
      <c r="AG781">
        <f t="shared" si="166"/>
        <v>1</v>
      </c>
      <c r="AH781">
        <f t="shared" si="167"/>
        <v>2024</v>
      </c>
      <c r="AI781" t="str">
        <f t="shared" si="168"/>
        <v>CLEAN</v>
      </c>
    </row>
    <row r="782" spans="1:35">
      <c r="A782" t="s">
        <v>2413</v>
      </c>
      <c r="B782">
        <f t="shared" si="156"/>
        <v>1</v>
      </c>
      <c r="C782" t="str">
        <f>IF(COUNTIF($A$2:A782, A782)&gt;1, "DUPLICATE_FLAGGED_FOR_REVIEW", "")</f>
        <v/>
      </c>
      <c r="D782" s="3">
        <v>45508</v>
      </c>
      <c r="E782" s="2">
        <v>45573</v>
      </c>
      <c r="F782" s="2" t="str">
        <f t="shared" si="157"/>
        <v>OK</v>
      </c>
      <c r="G782" s="4">
        <f t="shared" si="158"/>
        <v>65</v>
      </c>
      <c r="H782" t="s">
        <v>2414</v>
      </c>
      <c r="I782" t="s">
        <v>162</v>
      </c>
      <c r="J782" t="s">
        <v>37</v>
      </c>
      <c r="K782" t="s">
        <v>63</v>
      </c>
      <c r="L782" t="str">
        <f t="shared" si="159"/>
        <v>West</v>
      </c>
      <c r="M782" t="s">
        <v>26</v>
      </c>
      <c r="N782" t="s">
        <v>109</v>
      </c>
      <c r="O782" t="s">
        <v>41</v>
      </c>
      <c r="P782" t="s">
        <v>66</v>
      </c>
      <c r="Q782" t="s">
        <v>2415</v>
      </c>
      <c r="R782" t="s">
        <v>44</v>
      </c>
      <c r="S782" t="str">
        <f t="shared" si="160"/>
        <v>Same Day</v>
      </c>
      <c r="T782">
        <v>4</v>
      </c>
      <c r="U782">
        <v>426.43</v>
      </c>
      <c r="V782">
        <v>0.2</v>
      </c>
      <c r="W782">
        <f t="shared" si="161"/>
        <v>0.2</v>
      </c>
      <c r="X782" t="str">
        <f t="shared" si="162"/>
        <v/>
      </c>
      <c r="Y782">
        <v>1364.58</v>
      </c>
      <c r="Z782">
        <f t="shared" si="163"/>
        <v>1364.576</v>
      </c>
      <c r="AA782">
        <v>978.16</v>
      </c>
      <c r="AB782">
        <v>386.42</v>
      </c>
      <c r="AC782">
        <f t="shared" si="164"/>
        <v>938.14599999999996</v>
      </c>
      <c r="AD782" s="6">
        <f t="shared" si="165"/>
        <v>0.6875</v>
      </c>
      <c r="AE782" t="s">
        <v>32</v>
      </c>
      <c r="AF782" t="s">
        <v>33</v>
      </c>
      <c r="AG782">
        <f t="shared" si="166"/>
        <v>8</v>
      </c>
      <c r="AH782">
        <f t="shared" si="167"/>
        <v>2024</v>
      </c>
      <c r="AI782" t="str">
        <f t="shared" si="168"/>
        <v>CLEAN</v>
      </c>
    </row>
    <row r="783" spans="1:35">
      <c r="A783" t="s">
        <v>2416</v>
      </c>
      <c r="B783">
        <f t="shared" si="156"/>
        <v>1</v>
      </c>
      <c r="C783" t="str">
        <f>IF(COUNTIF($A$2:A783, A783)&gt;1, "DUPLICATE_FLAGGED_FOR_REVIEW", "")</f>
        <v/>
      </c>
      <c r="D783" s="3">
        <v>45324</v>
      </c>
      <c r="E783" s="2">
        <v>45332</v>
      </c>
      <c r="F783" s="2" t="str">
        <f t="shared" si="157"/>
        <v>OK</v>
      </c>
      <c r="G783" s="4">
        <f t="shared" si="158"/>
        <v>8</v>
      </c>
      <c r="H783" t="s">
        <v>2417</v>
      </c>
      <c r="I783" t="s">
        <v>23</v>
      </c>
      <c r="J783" t="s">
        <v>95</v>
      </c>
      <c r="K783" t="s">
        <v>63</v>
      </c>
      <c r="L783" t="str">
        <f t="shared" si="159"/>
        <v>West</v>
      </c>
      <c r="M783" t="s">
        <v>26</v>
      </c>
      <c r="N783" t="s">
        <v>109</v>
      </c>
      <c r="O783" t="s">
        <v>28</v>
      </c>
      <c r="P783" t="s">
        <v>91</v>
      </c>
      <c r="Q783" t="s">
        <v>2418</v>
      </c>
      <c r="R783" t="s">
        <v>50</v>
      </c>
      <c r="S783" t="str">
        <f t="shared" si="160"/>
        <v>First Class</v>
      </c>
      <c r="T783">
        <v>3</v>
      </c>
      <c r="U783">
        <v>383.4</v>
      </c>
      <c r="V783">
        <v>0.25</v>
      </c>
      <c r="W783">
        <f t="shared" si="161"/>
        <v>0.25</v>
      </c>
      <c r="X783" t="str">
        <f t="shared" si="162"/>
        <v/>
      </c>
      <c r="Y783">
        <v>862.65</v>
      </c>
      <c r="Z783">
        <f t="shared" si="163"/>
        <v>862.64999999999986</v>
      </c>
      <c r="AA783">
        <v>603.73</v>
      </c>
      <c r="AB783">
        <v>258.92</v>
      </c>
      <c r="AC783">
        <f t="shared" si="164"/>
        <v>479.24999999999989</v>
      </c>
      <c r="AD783" s="6">
        <f t="shared" si="165"/>
        <v>0.55555555555555547</v>
      </c>
      <c r="AE783" t="s">
        <v>111</v>
      </c>
      <c r="AF783" t="s">
        <v>103</v>
      </c>
      <c r="AG783">
        <f t="shared" si="166"/>
        <v>2</v>
      </c>
      <c r="AH783">
        <f t="shared" si="167"/>
        <v>2024</v>
      </c>
      <c r="AI783" t="str">
        <f t="shared" si="168"/>
        <v>CLEAN</v>
      </c>
    </row>
    <row r="784" spans="1:35">
      <c r="A784" t="s">
        <v>2419</v>
      </c>
      <c r="B784">
        <f t="shared" si="156"/>
        <v>1</v>
      </c>
      <c r="C784" t="str">
        <f>IF(COUNTIF($A$2:A784, A784)&gt;1, "DUPLICATE_FLAGGED_FOR_REVIEW", "")</f>
        <v/>
      </c>
      <c r="D784" s="3">
        <v>45730</v>
      </c>
      <c r="E784" s="2">
        <v>45738</v>
      </c>
      <c r="F784" s="2" t="str">
        <f t="shared" si="157"/>
        <v>OK</v>
      </c>
      <c r="G784" s="4">
        <f t="shared" si="158"/>
        <v>8</v>
      </c>
      <c r="H784" t="s">
        <v>2420</v>
      </c>
      <c r="I784" t="s">
        <v>36</v>
      </c>
      <c r="J784" t="s">
        <v>90</v>
      </c>
      <c r="K784" t="s">
        <v>38</v>
      </c>
      <c r="L784" t="str">
        <f t="shared" si="159"/>
        <v>East</v>
      </c>
      <c r="M784" t="s">
        <v>99</v>
      </c>
      <c r="N784" t="s">
        <v>100</v>
      </c>
      <c r="O784" t="s">
        <v>74</v>
      </c>
      <c r="P784" t="s">
        <v>80</v>
      </c>
      <c r="Q784" t="s">
        <v>2421</v>
      </c>
      <c r="R784" t="s">
        <v>59</v>
      </c>
      <c r="S784" t="str">
        <f t="shared" si="160"/>
        <v>Standard Class</v>
      </c>
      <c r="T784">
        <v>2</v>
      </c>
      <c r="U784">
        <v>669.63</v>
      </c>
      <c r="V784">
        <v>0.15</v>
      </c>
      <c r="W784">
        <f t="shared" si="161"/>
        <v>0.15</v>
      </c>
      <c r="X784" t="str">
        <f t="shared" si="162"/>
        <v/>
      </c>
      <c r="Y784">
        <v>1138.3699999999999</v>
      </c>
      <c r="Z784">
        <f t="shared" si="163"/>
        <v>1138.3709999999999</v>
      </c>
      <c r="AA784">
        <v>797.34</v>
      </c>
      <c r="AB784">
        <v>341.03</v>
      </c>
      <c r="AC784">
        <f t="shared" si="164"/>
        <v>468.74099999999987</v>
      </c>
      <c r="AD784" s="6">
        <f t="shared" si="165"/>
        <v>0.41176470588235287</v>
      </c>
      <c r="AE784" t="s">
        <v>32</v>
      </c>
      <c r="AF784" t="s">
        <v>33</v>
      </c>
      <c r="AG784">
        <f t="shared" si="166"/>
        <v>3</v>
      </c>
      <c r="AH784">
        <f t="shared" si="167"/>
        <v>2025</v>
      </c>
      <c r="AI784" t="str">
        <f t="shared" si="168"/>
        <v>CLEAN</v>
      </c>
    </row>
    <row r="785" spans="1:35">
      <c r="A785" t="s">
        <v>2422</v>
      </c>
      <c r="B785">
        <f t="shared" si="156"/>
        <v>1</v>
      </c>
      <c r="C785" t="str">
        <f>IF(COUNTIF($A$2:A785, A785)&gt;1, "DUPLICATE_FLAGGED_FOR_REVIEW", "")</f>
        <v/>
      </c>
      <c r="D785" s="3">
        <v>45450</v>
      </c>
      <c r="E785" s="2">
        <v>45450</v>
      </c>
      <c r="F785" s="2" t="str">
        <f t="shared" si="157"/>
        <v>OK</v>
      </c>
      <c r="G785" s="4">
        <f t="shared" si="158"/>
        <v>0</v>
      </c>
      <c r="H785" t="s">
        <v>2423</v>
      </c>
      <c r="I785" t="s">
        <v>128</v>
      </c>
      <c r="J785" t="s">
        <v>37</v>
      </c>
      <c r="K785" t="s">
        <v>38</v>
      </c>
      <c r="L785" t="str">
        <f t="shared" si="159"/>
        <v>East</v>
      </c>
      <c r="M785" t="s">
        <v>145</v>
      </c>
      <c r="N785" t="s">
        <v>146</v>
      </c>
      <c r="O785" t="s">
        <v>28</v>
      </c>
      <c r="P785" t="s">
        <v>48</v>
      </c>
      <c r="Q785" t="s">
        <v>2424</v>
      </c>
      <c r="R785" t="s">
        <v>31</v>
      </c>
      <c r="S785" t="str">
        <f t="shared" si="160"/>
        <v>Second Class</v>
      </c>
      <c r="T785">
        <v>1</v>
      </c>
      <c r="U785">
        <v>2581.9299999999998</v>
      </c>
      <c r="V785">
        <v>0.05</v>
      </c>
      <c r="W785">
        <f t="shared" si="161"/>
        <v>0.05</v>
      </c>
      <c r="X785" t="str">
        <f t="shared" si="162"/>
        <v/>
      </c>
      <c r="Y785">
        <v>2452.83</v>
      </c>
      <c r="Z785">
        <f t="shared" si="163"/>
        <v>2452.8334999999997</v>
      </c>
      <c r="AA785">
        <v>1906.7</v>
      </c>
      <c r="AB785">
        <v>546.13</v>
      </c>
      <c r="AC785">
        <f t="shared" si="164"/>
        <v>-129.09650000000011</v>
      </c>
      <c r="AD785" s="6">
        <f t="shared" si="165"/>
        <v>-5.2631578947368467E-2</v>
      </c>
      <c r="AE785" t="s">
        <v>32</v>
      </c>
      <c r="AF785" t="s">
        <v>33</v>
      </c>
      <c r="AG785">
        <f t="shared" si="166"/>
        <v>6</v>
      </c>
      <c r="AH785">
        <f t="shared" si="167"/>
        <v>2024</v>
      </c>
      <c r="AI785" t="str">
        <f t="shared" si="168"/>
        <v>CLEAN</v>
      </c>
    </row>
    <row r="786" spans="1:35">
      <c r="A786" t="s">
        <v>2425</v>
      </c>
      <c r="B786">
        <f t="shared" si="156"/>
        <v>1</v>
      </c>
      <c r="C786" t="str">
        <f>IF(COUNTIF($A$2:A786, A786)&gt;1, "DUPLICATE_FLAGGED_FOR_REVIEW", "")</f>
        <v/>
      </c>
      <c r="D786" s="3">
        <v>45757</v>
      </c>
      <c r="E786" s="2">
        <v>45935</v>
      </c>
      <c r="F786" s="2" t="str">
        <f t="shared" si="157"/>
        <v>OK</v>
      </c>
      <c r="G786" s="4">
        <f t="shared" si="158"/>
        <v>178</v>
      </c>
      <c r="H786" t="s">
        <v>2426</v>
      </c>
      <c r="I786" t="s">
        <v>114</v>
      </c>
      <c r="J786" t="s">
        <v>90</v>
      </c>
      <c r="K786" t="s">
        <v>25</v>
      </c>
      <c r="L786" t="str">
        <f t="shared" si="159"/>
        <v>North</v>
      </c>
      <c r="M786" t="s">
        <v>122</v>
      </c>
      <c r="N786" t="s">
        <v>123</v>
      </c>
      <c r="O786" t="s">
        <v>74</v>
      </c>
      <c r="P786" t="s">
        <v>80</v>
      </c>
      <c r="Q786" t="s">
        <v>2427</v>
      </c>
      <c r="R786" t="s">
        <v>50</v>
      </c>
      <c r="S786" t="str">
        <f t="shared" si="160"/>
        <v>First Class</v>
      </c>
      <c r="T786">
        <v>4</v>
      </c>
      <c r="U786">
        <v>418.18</v>
      </c>
      <c r="V786">
        <v>0.05</v>
      </c>
      <c r="W786">
        <f t="shared" si="161"/>
        <v>0.05</v>
      </c>
      <c r="X786" t="str">
        <f t="shared" si="162"/>
        <v/>
      </c>
      <c r="Y786">
        <v>1589.08</v>
      </c>
      <c r="Z786">
        <f t="shared" si="163"/>
        <v>1589.0840000000001</v>
      </c>
      <c r="AA786">
        <v>1084.6600000000001</v>
      </c>
      <c r="AB786">
        <v>504.42</v>
      </c>
      <c r="AC786">
        <f t="shared" si="164"/>
        <v>1170.904</v>
      </c>
      <c r="AD786" s="6">
        <f t="shared" si="165"/>
        <v>0.73684210526315785</v>
      </c>
      <c r="AE786" t="s">
        <v>32</v>
      </c>
      <c r="AF786" t="s">
        <v>33</v>
      </c>
      <c r="AG786">
        <f t="shared" si="166"/>
        <v>4</v>
      </c>
      <c r="AH786">
        <f t="shared" si="167"/>
        <v>2025</v>
      </c>
      <c r="AI786" t="str">
        <f t="shared" si="168"/>
        <v>CLEAN</v>
      </c>
    </row>
    <row r="787" spans="1:35">
      <c r="A787" t="s">
        <v>2428</v>
      </c>
      <c r="B787">
        <f t="shared" si="156"/>
        <v>1</v>
      </c>
      <c r="C787" t="str">
        <f>IF(COUNTIF($A$2:A787, A787)&gt;1, "DUPLICATE_FLAGGED_FOR_REVIEW", "")</f>
        <v/>
      </c>
      <c r="D787" s="3">
        <v>45435</v>
      </c>
      <c r="E787" s="2">
        <v>45441</v>
      </c>
      <c r="F787" s="2" t="str">
        <f t="shared" si="157"/>
        <v>OK</v>
      </c>
      <c r="G787" s="4">
        <f t="shared" si="158"/>
        <v>6</v>
      </c>
      <c r="H787" t="s">
        <v>2429</v>
      </c>
      <c r="I787" t="s">
        <v>162</v>
      </c>
      <c r="J787" t="s">
        <v>37</v>
      </c>
      <c r="K787" t="s">
        <v>25</v>
      </c>
      <c r="L787" t="str">
        <f t="shared" si="159"/>
        <v>North</v>
      </c>
      <c r="M787" t="s">
        <v>236</v>
      </c>
      <c r="N787" t="s">
        <v>237</v>
      </c>
      <c r="O787" t="s">
        <v>28</v>
      </c>
      <c r="P787" t="s">
        <v>124</v>
      </c>
      <c r="Q787" t="s">
        <v>2430</v>
      </c>
      <c r="R787" t="s">
        <v>44</v>
      </c>
      <c r="S787" t="str">
        <f t="shared" si="160"/>
        <v>Same Day</v>
      </c>
      <c r="T787">
        <v>2</v>
      </c>
      <c r="U787">
        <v>3012.94</v>
      </c>
      <c r="V787">
        <v>0.25</v>
      </c>
      <c r="W787">
        <f t="shared" si="161"/>
        <v>0.25</v>
      </c>
      <c r="X787" t="str">
        <f t="shared" si="162"/>
        <v/>
      </c>
      <c r="Y787">
        <v>4519.41</v>
      </c>
      <c r="Z787">
        <f t="shared" si="163"/>
        <v>4519.41</v>
      </c>
      <c r="AA787">
        <v>3504.16</v>
      </c>
      <c r="AB787">
        <v>1275.55</v>
      </c>
      <c r="AC787">
        <f t="shared" si="164"/>
        <v>1506.4699999999998</v>
      </c>
      <c r="AD787" s="6">
        <f t="shared" si="165"/>
        <v>0.33333333333333331</v>
      </c>
      <c r="AE787" t="s">
        <v>155</v>
      </c>
      <c r="AF787" t="s">
        <v>68</v>
      </c>
      <c r="AG787">
        <f t="shared" si="166"/>
        <v>5</v>
      </c>
      <c r="AH787">
        <f t="shared" si="167"/>
        <v>2024</v>
      </c>
      <c r="AI787" t="str">
        <f t="shared" si="168"/>
        <v>CLEAN</v>
      </c>
    </row>
    <row r="788" spans="1:35">
      <c r="A788" t="s">
        <v>2431</v>
      </c>
      <c r="B788">
        <f t="shared" si="156"/>
        <v>1</v>
      </c>
      <c r="C788" t="str">
        <f>IF(COUNTIF($A$2:A788, A788)&gt;1, "DUPLICATE_FLAGGED_FOR_REVIEW", "")</f>
        <v/>
      </c>
      <c r="D788" s="3">
        <v>45815</v>
      </c>
      <c r="E788" s="2">
        <v>45846</v>
      </c>
      <c r="F788" s="2" t="str">
        <f t="shared" si="157"/>
        <v>OK</v>
      </c>
      <c r="G788" s="4">
        <f t="shared" si="158"/>
        <v>31</v>
      </c>
      <c r="H788" t="s">
        <v>2432</v>
      </c>
      <c r="I788" t="s">
        <v>62</v>
      </c>
      <c r="J788" t="s">
        <v>90</v>
      </c>
      <c r="K788" t="s">
        <v>25</v>
      </c>
      <c r="L788" t="str">
        <f t="shared" si="159"/>
        <v>North</v>
      </c>
      <c r="M788" t="s">
        <v>26</v>
      </c>
      <c r="N788" t="s">
        <v>27</v>
      </c>
      <c r="O788" t="s">
        <v>41</v>
      </c>
      <c r="P788" t="s">
        <v>57</v>
      </c>
      <c r="Q788" t="s">
        <v>2433</v>
      </c>
      <c r="R788" t="s">
        <v>2760</v>
      </c>
      <c r="S788" t="str">
        <f t="shared" si="160"/>
        <v>Unknown</v>
      </c>
      <c r="T788">
        <v>4</v>
      </c>
      <c r="U788">
        <v>715.45</v>
      </c>
      <c r="V788">
        <v>0.05</v>
      </c>
      <c r="W788">
        <f t="shared" si="161"/>
        <v>0.05</v>
      </c>
      <c r="X788" t="str">
        <f t="shared" si="162"/>
        <v/>
      </c>
      <c r="Y788">
        <v>2718.71</v>
      </c>
      <c r="Z788">
        <f t="shared" si="163"/>
        <v>2718.71</v>
      </c>
      <c r="AA788">
        <v>2065.0500000000002</v>
      </c>
      <c r="AB788">
        <v>653.66</v>
      </c>
      <c r="AC788">
        <f t="shared" si="164"/>
        <v>2003.26</v>
      </c>
      <c r="AD788" s="6">
        <f t="shared" si="165"/>
        <v>0.73684210526315785</v>
      </c>
      <c r="AE788" t="s">
        <v>102</v>
      </c>
      <c r="AF788" t="s">
        <v>103</v>
      </c>
      <c r="AG788">
        <f t="shared" si="166"/>
        <v>6</v>
      </c>
      <c r="AH788">
        <f t="shared" si="167"/>
        <v>2025</v>
      </c>
      <c r="AI788" t="str">
        <f t="shared" si="168"/>
        <v>WARNING</v>
      </c>
    </row>
    <row r="789" spans="1:35">
      <c r="A789" t="s">
        <v>2434</v>
      </c>
      <c r="B789">
        <f t="shared" si="156"/>
        <v>1</v>
      </c>
      <c r="C789" t="str">
        <f>IF(COUNTIF($A$2:A789, A789)&gt;1, "DUPLICATE_FLAGGED_FOR_REVIEW", "")</f>
        <v/>
      </c>
      <c r="D789" s="3">
        <v>45547</v>
      </c>
      <c r="E789" s="2">
        <v>45553</v>
      </c>
      <c r="F789" s="2" t="str">
        <f t="shared" si="157"/>
        <v>OK</v>
      </c>
      <c r="G789" s="4">
        <f t="shared" si="158"/>
        <v>6</v>
      </c>
      <c r="H789" t="s">
        <v>2435</v>
      </c>
      <c r="I789" t="s">
        <v>62</v>
      </c>
      <c r="J789" t="s">
        <v>95</v>
      </c>
      <c r="K789" t="s">
        <v>38</v>
      </c>
      <c r="L789" t="str">
        <f t="shared" si="159"/>
        <v>East</v>
      </c>
      <c r="M789" t="s">
        <v>145</v>
      </c>
      <c r="N789" t="s">
        <v>146</v>
      </c>
      <c r="O789" t="s">
        <v>28</v>
      </c>
      <c r="P789" t="s">
        <v>29</v>
      </c>
      <c r="Q789" t="s">
        <v>2436</v>
      </c>
      <c r="R789" t="s">
        <v>31</v>
      </c>
      <c r="S789" t="str">
        <f t="shared" si="160"/>
        <v>Second Class</v>
      </c>
      <c r="T789">
        <v>2</v>
      </c>
      <c r="U789">
        <v>3718.77</v>
      </c>
      <c r="V789">
        <v>0.05</v>
      </c>
      <c r="W789">
        <f t="shared" si="161"/>
        <v>0.05</v>
      </c>
      <c r="X789" t="str">
        <f t="shared" si="162"/>
        <v/>
      </c>
      <c r="Y789">
        <v>7065.66</v>
      </c>
      <c r="Z789">
        <f t="shared" si="163"/>
        <v>7065.6629999999996</v>
      </c>
      <c r="AA789">
        <v>4915.2700000000004</v>
      </c>
      <c r="AB789">
        <v>2150.39</v>
      </c>
      <c r="AC789">
        <f t="shared" si="164"/>
        <v>3346.8929999999996</v>
      </c>
      <c r="AD789" s="6">
        <f t="shared" si="165"/>
        <v>0.47368421052631576</v>
      </c>
      <c r="AE789" t="s">
        <v>32</v>
      </c>
      <c r="AF789" t="s">
        <v>33</v>
      </c>
      <c r="AG789">
        <f t="shared" si="166"/>
        <v>9</v>
      </c>
      <c r="AH789">
        <f t="shared" si="167"/>
        <v>2024</v>
      </c>
      <c r="AI789" t="str">
        <f t="shared" si="168"/>
        <v>CLEAN</v>
      </c>
    </row>
    <row r="790" spans="1:35">
      <c r="A790" t="s">
        <v>2437</v>
      </c>
      <c r="B790">
        <f t="shared" si="156"/>
        <v>1</v>
      </c>
      <c r="C790" t="str">
        <f>IF(COUNTIF($A$2:A790, A790)&gt;1, "DUPLICATE_FLAGGED_FOR_REVIEW", "")</f>
        <v/>
      </c>
      <c r="D790" s="3">
        <v>45505</v>
      </c>
      <c r="E790" s="2">
        <v>45506</v>
      </c>
      <c r="F790" s="2" t="str">
        <f t="shared" si="157"/>
        <v>OK</v>
      </c>
      <c r="G790" s="4">
        <f t="shared" si="158"/>
        <v>1</v>
      </c>
      <c r="H790" t="s">
        <v>2438</v>
      </c>
      <c r="I790" t="s">
        <v>47</v>
      </c>
      <c r="J790" t="s">
        <v>90</v>
      </c>
      <c r="K790" t="s">
        <v>25</v>
      </c>
      <c r="L790" t="str">
        <f t="shared" si="159"/>
        <v>North</v>
      </c>
      <c r="M790" t="s">
        <v>136</v>
      </c>
      <c r="N790" t="s">
        <v>137</v>
      </c>
      <c r="O790" t="s">
        <v>41</v>
      </c>
      <c r="P790" t="s">
        <v>66</v>
      </c>
      <c r="Q790" t="s">
        <v>2439</v>
      </c>
      <c r="R790" t="s">
        <v>59</v>
      </c>
      <c r="S790" t="str">
        <f t="shared" si="160"/>
        <v>Standard Class</v>
      </c>
      <c r="T790">
        <v>8</v>
      </c>
      <c r="U790">
        <v>2487.64</v>
      </c>
      <c r="V790">
        <v>0.1</v>
      </c>
      <c r="W790">
        <f t="shared" si="161"/>
        <v>0.1</v>
      </c>
      <c r="X790" t="str">
        <f t="shared" si="162"/>
        <v/>
      </c>
      <c r="Y790">
        <v>17911.009999999998</v>
      </c>
      <c r="Z790">
        <f t="shared" si="163"/>
        <v>17911.007999999998</v>
      </c>
      <c r="AA790">
        <v>11546.05</v>
      </c>
      <c r="AB790">
        <v>6364.96</v>
      </c>
      <c r="AC790">
        <f t="shared" si="164"/>
        <v>15423.367999999999</v>
      </c>
      <c r="AD790" s="6">
        <f t="shared" si="165"/>
        <v>0.86111111111111116</v>
      </c>
      <c r="AE790" t="s">
        <v>155</v>
      </c>
      <c r="AF790" t="s">
        <v>103</v>
      </c>
      <c r="AG790">
        <f t="shared" si="166"/>
        <v>8</v>
      </c>
      <c r="AH790">
        <f t="shared" si="167"/>
        <v>2024</v>
      </c>
      <c r="AI790" t="str">
        <f t="shared" si="168"/>
        <v>CLEAN</v>
      </c>
    </row>
    <row r="791" spans="1:35">
      <c r="A791" t="s">
        <v>2440</v>
      </c>
      <c r="B791">
        <f t="shared" si="156"/>
        <v>1</v>
      </c>
      <c r="C791" t="str">
        <f>IF(COUNTIF($A$2:A791, A791)&gt;1, "DUPLICATE_FLAGGED_FOR_REVIEW", "")</f>
        <v/>
      </c>
      <c r="D791" s="3">
        <v>45723</v>
      </c>
      <c r="E791" s="2">
        <v>45724</v>
      </c>
      <c r="F791" s="2" t="str">
        <f t="shared" si="157"/>
        <v>OK</v>
      </c>
      <c r="G791" s="4">
        <f t="shared" si="158"/>
        <v>1</v>
      </c>
      <c r="H791" t="s">
        <v>2441</v>
      </c>
      <c r="I791" t="s">
        <v>114</v>
      </c>
      <c r="J791" t="s">
        <v>95</v>
      </c>
      <c r="K791" t="s">
        <v>2760</v>
      </c>
      <c r="L791" t="str">
        <f t="shared" si="159"/>
        <v>Unknown</v>
      </c>
      <c r="M791" t="s">
        <v>26</v>
      </c>
      <c r="N791" t="s">
        <v>109</v>
      </c>
      <c r="O791" t="s">
        <v>74</v>
      </c>
      <c r="P791" t="s">
        <v>80</v>
      </c>
      <c r="Q791" t="s">
        <v>2442</v>
      </c>
      <c r="R791" t="s">
        <v>44</v>
      </c>
      <c r="S791" t="str">
        <f t="shared" si="160"/>
        <v>Same Day</v>
      </c>
      <c r="T791">
        <v>4</v>
      </c>
      <c r="U791">
        <v>3537.48</v>
      </c>
      <c r="V791">
        <v>0</v>
      </c>
      <c r="W791">
        <f t="shared" si="161"/>
        <v>0</v>
      </c>
      <c r="X791" t="str">
        <f t="shared" si="162"/>
        <v/>
      </c>
      <c r="Y791">
        <v>14149.92</v>
      </c>
      <c r="Z791">
        <f t="shared" si="163"/>
        <v>14149.92</v>
      </c>
      <c r="AA791">
        <v>9466.51</v>
      </c>
      <c r="AB791">
        <v>4683.41</v>
      </c>
      <c r="AC791">
        <f t="shared" si="164"/>
        <v>10612.44</v>
      </c>
      <c r="AD791" s="6">
        <f t="shared" si="165"/>
        <v>0.75</v>
      </c>
      <c r="AE791" t="s">
        <v>32</v>
      </c>
      <c r="AF791" t="s">
        <v>33</v>
      </c>
      <c r="AG791">
        <f t="shared" si="166"/>
        <v>3</v>
      </c>
      <c r="AH791">
        <f t="shared" si="167"/>
        <v>2025</v>
      </c>
      <c r="AI791" t="str">
        <f t="shared" si="168"/>
        <v>WARNING</v>
      </c>
    </row>
    <row r="792" spans="1:35">
      <c r="A792" t="s">
        <v>2443</v>
      </c>
      <c r="B792">
        <f t="shared" si="156"/>
        <v>1</v>
      </c>
      <c r="C792" t="str">
        <f>IF(COUNTIF($A$2:A792, A792)&gt;1, "DUPLICATE_FLAGGED_FOR_REVIEW", "")</f>
        <v/>
      </c>
      <c r="D792" s="3">
        <v>45443</v>
      </c>
      <c r="E792" s="2">
        <v>45445</v>
      </c>
      <c r="F792" s="2" t="str">
        <f t="shared" si="157"/>
        <v>OK</v>
      </c>
      <c r="G792" s="4">
        <f t="shared" si="158"/>
        <v>2</v>
      </c>
      <c r="H792" t="s">
        <v>2444</v>
      </c>
      <c r="I792" t="s">
        <v>118</v>
      </c>
      <c r="J792" t="s">
        <v>90</v>
      </c>
      <c r="K792" t="s">
        <v>54</v>
      </c>
      <c r="L792" t="str">
        <f t="shared" si="159"/>
        <v>South</v>
      </c>
      <c r="M792" t="s">
        <v>84</v>
      </c>
      <c r="N792" t="s">
        <v>85</v>
      </c>
      <c r="O792" t="s">
        <v>28</v>
      </c>
      <c r="P792" t="s">
        <v>48</v>
      </c>
      <c r="Q792" t="s">
        <v>2445</v>
      </c>
      <c r="R792" t="s">
        <v>59</v>
      </c>
      <c r="S792" t="str">
        <f t="shared" si="160"/>
        <v>Standard Class</v>
      </c>
      <c r="T792">
        <v>8</v>
      </c>
      <c r="U792">
        <v>667.59</v>
      </c>
      <c r="V792">
        <v>0.2</v>
      </c>
      <c r="W792">
        <f t="shared" si="161"/>
        <v>0.2</v>
      </c>
      <c r="X792" t="str">
        <f t="shared" si="162"/>
        <v/>
      </c>
      <c r="Y792">
        <v>4272.58</v>
      </c>
      <c r="Z792">
        <f t="shared" si="163"/>
        <v>4272.576</v>
      </c>
      <c r="AA792">
        <v>3328.92</v>
      </c>
      <c r="AB792">
        <v>943.66</v>
      </c>
      <c r="AC792">
        <f t="shared" si="164"/>
        <v>3604.9859999999999</v>
      </c>
      <c r="AD792" s="6">
        <f t="shared" si="165"/>
        <v>0.84375</v>
      </c>
      <c r="AE792" t="s">
        <v>32</v>
      </c>
      <c r="AF792" t="s">
        <v>33</v>
      </c>
      <c r="AG792">
        <f t="shared" si="166"/>
        <v>5</v>
      </c>
      <c r="AH792">
        <f t="shared" si="167"/>
        <v>2024</v>
      </c>
      <c r="AI792" t="str">
        <f t="shared" si="168"/>
        <v>CLEAN</v>
      </c>
    </row>
    <row r="793" spans="1:35">
      <c r="A793" t="s">
        <v>2446</v>
      </c>
      <c r="B793">
        <f t="shared" si="156"/>
        <v>1</v>
      </c>
      <c r="C793" t="str">
        <f>IF(COUNTIF($A$2:A793, A793)&gt;1, "DUPLICATE_FLAGGED_FOR_REVIEW", "")</f>
        <v/>
      </c>
      <c r="D793" s="3">
        <v>45567</v>
      </c>
      <c r="E793" s="2">
        <v>45571</v>
      </c>
      <c r="F793" s="2" t="str">
        <f t="shared" si="157"/>
        <v>OK</v>
      </c>
      <c r="G793" s="4">
        <f t="shared" si="158"/>
        <v>4</v>
      </c>
      <c r="H793" t="s">
        <v>2447</v>
      </c>
      <c r="I793" t="s">
        <v>118</v>
      </c>
      <c r="J793" t="s">
        <v>95</v>
      </c>
      <c r="K793" t="s">
        <v>54</v>
      </c>
      <c r="L793" t="str">
        <f t="shared" si="159"/>
        <v>South</v>
      </c>
      <c r="M793" t="s">
        <v>175</v>
      </c>
      <c r="N793" t="s">
        <v>176</v>
      </c>
      <c r="O793" t="s">
        <v>41</v>
      </c>
      <c r="P793" t="s">
        <v>158</v>
      </c>
      <c r="Q793" t="s">
        <v>2448</v>
      </c>
      <c r="R793" t="s">
        <v>44</v>
      </c>
      <c r="S793" t="str">
        <f t="shared" si="160"/>
        <v>Same Day</v>
      </c>
      <c r="T793">
        <v>8</v>
      </c>
      <c r="U793">
        <v>1558.77</v>
      </c>
      <c r="V793">
        <v>0.25</v>
      </c>
      <c r="W793">
        <f t="shared" si="161"/>
        <v>0.25</v>
      </c>
      <c r="X793" t="str">
        <f t="shared" si="162"/>
        <v/>
      </c>
      <c r="Y793">
        <v>9352.6200000000008</v>
      </c>
      <c r="Z793">
        <f t="shared" si="163"/>
        <v>9352.619999999999</v>
      </c>
      <c r="AA793">
        <v>5269.41</v>
      </c>
      <c r="AB793">
        <v>4083.21</v>
      </c>
      <c r="AC793">
        <f t="shared" si="164"/>
        <v>7793.8499999999985</v>
      </c>
      <c r="AD793" s="6">
        <f t="shared" si="165"/>
        <v>0.83333333333333326</v>
      </c>
      <c r="AE793" t="s">
        <v>32</v>
      </c>
      <c r="AF793" t="s">
        <v>33</v>
      </c>
      <c r="AG793">
        <f t="shared" si="166"/>
        <v>10</v>
      </c>
      <c r="AH793">
        <f t="shared" si="167"/>
        <v>2024</v>
      </c>
      <c r="AI793" t="str">
        <f t="shared" si="168"/>
        <v>CLEAN</v>
      </c>
    </row>
    <row r="794" spans="1:35">
      <c r="A794" t="s">
        <v>2449</v>
      </c>
      <c r="B794">
        <f t="shared" si="156"/>
        <v>1</v>
      </c>
      <c r="C794" t="str">
        <f>IF(COUNTIF($A$2:A794, A794)&gt;1, "DUPLICATE_FLAGGED_FOR_REVIEW", "")</f>
        <v/>
      </c>
      <c r="D794" s="3">
        <v>45812</v>
      </c>
      <c r="E794" s="2">
        <v>45816</v>
      </c>
      <c r="F794" s="2" t="str">
        <f t="shared" si="157"/>
        <v>OK</v>
      </c>
      <c r="G794" s="4">
        <f t="shared" si="158"/>
        <v>4</v>
      </c>
      <c r="H794" t="s">
        <v>2450</v>
      </c>
      <c r="I794" t="s">
        <v>53</v>
      </c>
      <c r="J794" t="s">
        <v>37</v>
      </c>
      <c r="K794" t="s">
        <v>38</v>
      </c>
      <c r="L794" t="str">
        <f t="shared" si="159"/>
        <v>East</v>
      </c>
      <c r="M794" t="s">
        <v>166</v>
      </c>
      <c r="N794" t="s">
        <v>167</v>
      </c>
      <c r="O794" t="s">
        <v>41</v>
      </c>
      <c r="P794" t="s">
        <v>57</v>
      </c>
      <c r="Q794" t="s">
        <v>2451</v>
      </c>
      <c r="R794" t="s">
        <v>31</v>
      </c>
      <c r="S794" t="str">
        <f t="shared" si="160"/>
        <v>Second Class</v>
      </c>
      <c r="T794">
        <v>1</v>
      </c>
      <c r="U794">
        <v>3501.12</v>
      </c>
      <c r="V794">
        <v>0.2</v>
      </c>
      <c r="W794">
        <f t="shared" si="161"/>
        <v>0.2</v>
      </c>
      <c r="X794" t="str">
        <f t="shared" si="162"/>
        <v/>
      </c>
      <c r="Y794">
        <v>2800.9</v>
      </c>
      <c r="Z794">
        <f t="shared" si="163"/>
        <v>2800.8960000000002</v>
      </c>
      <c r="AA794">
        <v>1735.98</v>
      </c>
      <c r="AB794">
        <v>1064.92</v>
      </c>
      <c r="AC794">
        <f t="shared" si="164"/>
        <v>-700.22399999999971</v>
      </c>
      <c r="AD794" s="6">
        <f t="shared" si="165"/>
        <v>-0.24999999999999989</v>
      </c>
      <c r="AE794" t="s">
        <v>32</v>
      </c>
      <c r="AF794" t="s">
        <v>103</v>
      </c>
      <c r="AG794">
        <f t="shared" si="166"/>
        <v>6</v>
      </c>
      <c r="AH794">
        <f t="shared" si="167"/>
        <v>2025</v>
      </c>
      <c r="AI794" t="str">
        <f t="shared" si="168"/>
        <v>CLEAN</v>
      </c>
    </row>
    <row r="795" spans="1:35">
      <c r="A795" t="s">
        <v>2452</v>
      </c>
      <c r="B795">
        <f t="shared" si="156"/>
        <v>1</v>
      </c>
      <c r="C795" t="str">
        <f>IF(COUNTIF($A$2:A795, A795)&gt;1, "DUPLICATE_FLAGGED_FOR_REVIEW", "")</f>
        <v/>
      </c>
      <c r="D795" s="3">
        <v>45440</v>
      </c>
      <c r="E795" s="2">
        <v>45446</v>
      </c>
      <c r="F795" s="2" t="str">
        <f t="shared" si="157"/>
        <v>OK</v>
      </c>
      <c r="G795" s="4">
        <f t="shared" si="158"/>
        <v>6</v>
      </c>
      <c r="H795" t="s">
        <v>2453</v>
      </c>
      <c r="I795" t="s">
        <v>71</v>
      </c>
      <c r="J795" t="s">
        <v>90</v>
      </c>
      <c r="K795" t="s">
        <v>25</v>
      </c>
      <c r="L795" t="str">
        <f t="shared" si="159"/>
        <v>North</v>
      </c>
      <c r="M795" t="s">
        <v>26</v>
      </c>
      <c r="N795" t="s">
        <v>27</v>
      </c>
      <c r="O795" t="s">
        <v>74</v>
      </c>
      <c r="P795" t="s">
        <v>80</v>
      </c>
      <c r="Q795" t="s">
        <v>2454</v>
      </c>
      <c r="R795" t="s">
        <v>31</v>
      </c>
      <c r="S795" t="str">
        <f t="shared" si="160"/>
        <v>Second Class</v>
      </c>
      <c r="T795">
        <v>5</v>
      </c>
      <c r="U795">
        <v>4302.32</v>
      </c>
      <c r="V795">
        <v>0</v>
      </c>
      <c r="W795">
        <f t="shared" si="161"/>
        <v>0</v>
      </c>
      <c r="X795" t="str">
        <f t="shared" si="162"/>
        <v/>
      </c>
      <c r="Y795">
        <v>21511.599999999999</v>
      </c>
      <c r="Z795">
        <f t="shared" si="163"/>
        <v>21511.599999999999</v>
      </c>
      <c r="AA795">
        <v>15408.47</v>
      </c>
      <c r="AB795">
        <v>6103.13</v>
      </c>
      <c r="AC795">
        <f t="shared" si="164"/>
        <v>17209.28</v>
      </c>
      <c r="AD795" s="6">
        <f t="shared" si="165"/>
        <v>0.8</v>
      </c>
      <c r="AE795" t="s">
        <v>32</v>
      </c>
      <c r="AF795" t="s">
        <v>33</v>
      </c>
      <c r="AG795">
        <f t="shared" si="166"/>
        <v>5</v>
      </c>
      <c r="AH795">
        <f t="shared" si="167"/>
        <v>2024</v>
      </c>
      <c r="AI795" t="str">
        <f t="shared" si="168"/>
        <v>CLEAN</v>
      </c>
    </row>
    <row r="796" spans="1:35">
      <c r="A796" t="s">
        <v>2455</v>
      </c>
      <c r="B796">
        <f t="shared" si="156"/>
        <v>1</v>
      </c>
      <c r="C796" t="str">
        <f>IF(COUNTIF($A$2:A796, A796)&gt;1, "DUPLICATE_FLAGGED_FOR_REVIEW", "")</f>
        <v/>
      </c>
      <c r="D796" s="3">
        <v>45830</v>
      </c>
      <c r="E796" s="2">
        <v>45832</v>
      </c>
      <c r="F796" s="2" t="str">
        <f t="shared" si="157"/>
        <v>OK</v>
      </c>
      <c r="G796" s="4">
        <f t="shared" si="158"/>
        <v>2</v>
      </c>
      <c r="H796" t="s">
        <v>2456</v>
      </c>
      <c r="I796" t="s">
        <v>132</v>
      </c>
      <c r="J796" t="s">
        <v>90</v>
      </c>
      <c r="K796" t="s">
        <v>38</v>
      </c>
      <c r="L796" t="str">
        <f t="shared" si="159"/>
        <v>East</v>
      </c>
      <c r="M796" t="s">
        <v>166</v>
      </c>
      <c r="N796" t="s">
        <v>167</v>
      </c>
      <c r="O796" t="s">
        <v>28</v>
      </c>
      <c r="P796" t="s">
        <v>29</v>
      </c>
      <c r="Q796" t="s">
        <v>2457</v>
      </c>
      <c r="R796" t="s">
        <v>59</v>
      </c>
      <c r="S796" t="str">
        <f t="shared" si="160"/>
        <v>Standard Class</v>
      </c>
      <c r="T796">
        <v>9</v>
      </c>
      <c r="U796">
        <v>951.55</v>
      </c>
      <c r="V796">
        <v>0.15</v>
      </c>
      <c r="W796">
        <f t="shared" si="161"/>
        <v>0.15</v>
      </c>
      <c r="X796" t="str">
        <f t="shared" si="162"/>
        <v/>
      </c>
      <c r="Y796">
        <v>7279.36</v>
      </c>
      <c r="Z796">
        <f t="shared" si="163"/>
        <v>7279.3574999999992</v>
      </c>
      <c r="AA796">
        <v>4870.3900000000003</v>
      </c>
      <c r="AB796">
        <v>2408.9699999999998</v>
      </c>
      <c r="AC796">
        <f t="shared" si="164"/>
        <v>6327.807499999999</v>
      </c>
      <c r="AD796" s="6">
        <f t="shared" si="165"/>
        <v>0.8692810457516339</v>
      </c>
      <c r="AE796" t="s">
        <v>32</v>
      </c>
      <c r="AF796" t="s">
        <v>33</v>
      </c>
      <c r="AG796">
        <f t="shared" si="166"/>
        <v>6</v>
      </c>
      <c r="AH796">
        <f t="shared" si="167"/>
        <v>2025</v>
      </c>
      <c r="AI796" t="str">
        <f t="shared" si="168"/>
        <v>CLEAN</v>
      </c>
    </row>
    <row r="797" spans="1:35">
      <c r="A797" t="s">
        <v>2458</v>
      </c>
      <c r="B797">
        <f t="shared" si="156"/>
        <v>1</v>
      </c>
      <c r="C797" t="str">
        <f>IF(COUNTIF($A$2:A797, A797)&gt;1, "DUPLICATE_FLAGGED_FOR_REVIEW", "")</f>
        <v/>
      </c>
      <c r="D797" s="3">
        <v>45503</v>
      </c>
      <c r="E797" s="2">
        <v>45503</v>
      </c>
      <c r="F797" s="2" t="str">
        <f t="shared" si="157"/>
        <v>OK</v>
      </c>
      <c r="G797" s="4">
        <f t="shared" si="158"/>
        <v>0</v>
      </c>
      <c r="H797" t="s">
        <v>2459</v>
      </c>
      <c r="I797" t="s">
        <v>162</v>
      </c>
      <c r="J797" t="s">
        <v>95</v>
      </c>
      <c r="K797" t="s">
        <v>38</v>
      </c>
      <c r="L797" t="str">
        <f t="shared" si="159"/>
        <v>East</v>
      </c>
      <c r="M797" t="s">
        <v>39</v>
      </c>
      <c r="N797" t="s">
        <v>40</v>
      </c>
      <c r="O797" t="s">
        <v>74</v>
      </c>
      <c r="P797" t="s">
        <v>80</v>
      </c>
      <c r="Q797" t="s">
        <v>2460</v>
      </c>
      <c r="R797" t="s">
        <v>44</v>
      </c>
      <c r="S797" t="str">
        <f t="shared" si="160"/>
        <v>Same Day</v>
      </c>
      <c r="T797">
        <v>9</v>
      </c>
      <c r="U797">
        <v>2894.66</v>
      </c>
      <c r="V797">
        <v>0</v>
      </c>
      <c r="W797">
        <f t="shared" si="161"/>
        <v>0</v>
      </c>
      <c r="X797" t="str">
        <f t="shared" si="162"/>
        <v/>
      </c>
      <c r="Y797">
        <v>26051.94</v>
      </c>
      <c r="Z797">
        <f t="shared" si="163"/>
        <v>26051.94</v>
      </c>
      <c r="AA797">
        <v>16883.59</v>
      </c>
      <c r="AB797">
        <v>9168.35</v>
      </c>
      <c r="AC797">
        <f t="shared" si="164"/>
        <v>23157.279999999999</v>
      </c>
      <c r="AD797" s="6">
        <f t="shared" si="165"/>
        <v>0.88888888888888884</v>
      </c>
      <c r="AE797" t="s">
        <v>102</v>
      </c>
      <c r="AF797" t="s">
        <v>68</v>
      </c>
      <c r="AG797">
        <f t="shared" si="166"/>
        <v>7</v>
      </c>
      <c r="AH797">
        <f t="shared" si="167"/>
        <v>2024</v>
      </c>
      <c r="AI797" t="str">
        <f t="shared" si="168"/>
        <v>CLEAN</v>
      </c>
    </row>
    <row r="798" spans="1:35">
      <c r="A798" t="s">
        <v>2461</v>
      </c>
      <c r="B798">
        <f t="shared" si="156"/>
        <v>1</v>
      </c>
      <c r="C798" t="str">
        <f>IF(COUNTIF($A$2:A798, A798)&gt;1, "DUPLICATE_FLAGGED_FOR_REVIEW", "")</f>
        <v/>
      </c>
      <c r="D798" s="3">
        <v>45374</v>
      </c>
      <c r="E798" s="2">
        <v>45381</v>
      </c>
      <c r="F798" s="2" t="str">
        <f t="shared" si="157"/>
        <v>OK</v>
      </c>
      <c r="G798" s="4">
        <f t="shared" si="158"/>
        <v>7</v>
      </c>
      <c r="H798" t="s">
        <v>2462</v>
      </c>
      <c r="I798" t="s">
        <v>141</v>
      </c>
      <c r="J798" t="s">
        <v>37</v>
      </c>
      <c r="K798" t="s">
        <v>54</v>
      </c>
      <c r="L798" t="str">
        <f t="shared" si="159"/>
        <v>South</v>
      </c>
      <c r="M798" t="s">
        <v>84</v>
      </c>
      <c r="N798" t="s">
        <v>85</v>
      </c>
      <c r="O798" t="s">
        <v>74</v>
      </c>
      <c r="P798" t="s">
        <v>274</v>
      </c>
      <c r="Q798" t="s">
        <v>2463</v>
      </c>
      <c r="R798" t="s">
        <v>50</v>
      </c>
      <c r="S798" t="str">
        <f t="shared" si="160"/>
        <v>First Class</v>
      </c>
      <c r="T798">
        <v>6</v>
      </c>
      <c r="U798">
        <v>1894.44</v>
      </c>
      <c r="V798">
        <v>0.15</v>
      </c>
      <c r="W798">
        <f t="shared" si="161"/>
        <v>0.15</v>
      </c>
      <c r="X798" t="str">
        <f t="shared" si="162"/>
        <v/>
      </c>
      <c r="Y798">
        <v>9661.64</v>
      </c>
      <c r="Z798">
        <f t="shared" si="163"/>
        <v>9661.6439999999984</v>
      </c>
      <c r="AA798">
        <v>6303.77</v>
      </c>
      <c r="AB798">
        <v>3357.87</v>
      </c>
      <c r="AC798">
        <f t="shared" si="164"/>
        <v>7767.2039999999979</v>
      </c>
      <c r="AD798" s="6">
        <f t="shared" si="165"/>
        <v>0.8039215686274509</v>
      </c>
      <c r="AE798" t="s">
        <v>32</v>
      </c>
      <c r="AF798" t="s">
        <v>33</v>
      </c>
      <c r="AG798">
        <f t="shared" si="166"/>
        <v>3</v>
      </c>
      <c r="AH798">
        <f t="shared" si="167"/>
        <v>2024</v>
      </c>
      <c r="AI798" t="str">
        <f t="shared" si="168"/>
        <v>CLEAN</v>
      </c>
    </row>
    <row r="799" spans="1:35">
      <c r="A799" t="s">
        <v>2464</v>
      </c>
      <c r="B799">
        <f t="shared" si="156"/>
        <v>1</v>
      </c>
      <c r="C799" t="str">
        <f>IF(COUNTIF($A$2:A799, A799)&gt;1, "DUPLICATE_FLAGGED_FOR_REVIEW", "")</f>
        <v/>
      </c>
      <c r="D799" s="3">
        <v>45400</v>
      </c>
      <c r="E799" s="2">
        <v>45404</v>
      </c>
      <c r="F799" s="2" t="str">
        <f t="shared" si="157"/>
        <v>OK</v>
      </c>
      <c r="G799" s="4">
        <f t="shared" si="158"/>
        <v>4</v>
      </c>
      <c r="H799" t="s">
        <v>2465</v>
      </c>
      <c r="I799" t="s">
        <v>128</v>
      </c>
      <c r="J799" t="s">
        <v>24</v>
      </c>
      <c r="K799" t="s">
        <v>38</v>
      </c>
      <c r="L799" t="str">
        <f t="shared" si="159"/>
        <v>East</v>
      </c>
      <c r="M799" t="s">
        <v>39</v>
      </c>
      <c r="N799" t="s">
        <v>40</v>
      </c>
      <c r="O799" t="s">
        <v>28</v>
      </c>
      <c r="P799" t="s">
        <v>153</v>
      </c>
      <c r="Q799" t="s">
        <v>2466</v>
      </c>
      <c r="R799" t="s">
        <v>50</v>
      </c>
      <c r="S799" t="str">
        <f t="shared" si="160"/>
        <v>First Class</v>
      </c>
      <c r="T799">
        <v>8</v>
      </c>
      <c r="U799">
        <v>1714.37</v>
      </c>
      <c r="V799">
        <v>0</v>
      </c>
      <c r="W799">
        <f t="shared" si="161"/>
        <v>0</v>
      </c>
      <c r="X799" t="str">
        <f t="shared" si="162"/>
        <v/>
      </c>
      <c r="Y799">
        <v>13714.96</v>
      </c>
      <c r="Z799">
        <f t="shared" si="163"/>
        <v>13714.96</v>
      </c>
      <c r="AA799">
        <v>10550.47</v>
      </c>
      <c r="AB799">
        <v>3164.49</v>
      </c>
      <c r="AC799">
        <f t="shared" si="164"/>
        <v>12000.59</v>
      </c>
      <c r="AD799" s="6">
        <f t="shared" si="165"/>
        <v>0.87500000000000011</v>
      </c>
      <c r="AE799" t="s">
        <v>155</v>
      </c>
      <c r="AF799" t="s">
        <v>68</v>
      </c>
      <c r="AG799">
        <f t="shared" si="166"/>
        <v>4</v>
      </c>
      <c r="AH799">
        <f t="shared" si="167"/>
        <v>2024</v>
      </c>
      <c r="AI799" t="str">
        <f t="shared" si="168"/>
        <v>CLEAN</v>
      </c>
    </row>
    <row r="800" spans="1:35">
      <c r="A800" t="s">
        <v>2467</v>
      </c>
      <c r="B800">
        <f t="shared" si="156"/>
        <v>1</v>
      </c>
      <c r="C800" t="str">
        <f>IF(COUNTIF($A$2:A800, A800)&gt;1, "DUPLICATE_FLAGGED_FOR_REVIEW", "")</f>
        <v/>
      </c>
      <c r="D800" s="3">
        <v>45849</v>
      </c>
      <c r="E800" s="2">
        <v>45847</v>
      </c>
      <c r="F800" s="2" t="str">
        <f t="shared" si="157"/>
        <v>ERROR: Ship before order</v>
      </c>
      <c r="G800" s="4">
        <f t="shared" si="158"/>
        <v>-2</v>
      </c>
      <c r="H800" t="s">
        <v>2468</v>
      </c>
      <c r="I800" t="s">
        <v>89</v>
      </c>
      <c r="J800" t="s">
        <v>90</v>
      </c>
      <c r="K800" t="s">
        <v>25</v>
      </c>
      <c r="L800" t="str">
        <f t="shared" si="159"/>
        <v>North</v>
      </c>
      <c r="M800" t="s">
        <v>350</v>
      </c>
      <c r="N800" t="s">
        <v>351</v>
      </c>
      <c r="O800" t="s">
        <v>41</v>
      </c>
      <c r="P800" t="s">
        <v>57</v>
      </c>
      <c r="Q800" t="s">
        <v>2469</v>
      </c>
      <c r="R800" t="s">
        <v>59</v>
      </c>
      <c r="S800" t="str">
        <f t="shared" si="160"/>
        <v>Standard Class</v>
      </c>
      <c r="T800">
        <v>9</v>
      </c>
      <c r="U800">
        <v>1706.05</v>
      </c>
      <c r="V800">
        <v>0</v>
      </c>
      <c r="W800">
        <f t="shared" si="161"/>
        <v>0</v>
      </c>
      <c r="X800" t="str">
        <f t="shared" si="162"/>
        <v/>
      </c>
      <c r="Y800">
        <v>15354.45</v>
      </c>
      <c r="Z800">
        <f t="shared" si="163"/>
        <v>15354.449999999999</v>
      </c>
      <c r="AA800">
        <v>9656.5</v>
      </c>
      <c r="AB800">
        <v>5697.95</v>
      </c>
      <c r="AC800">
        <f t="shared" si="164"/>
        <v>13648.4</v>
      </c>
      <c r="AD800" s="6">
        <f t="shared" si="165"/>
        <v>0.88888888888888895</v>
      </c>
      <c r="AE800" t="s">
        <v>32</v>
      </c>
      <c r="AF800" t="s">
        <v>33</v>
      </c>
      <c r="AG800">
        <f t="shared" si="166"/>
        <v>7</v>
      </c>
      <c r="AH800">
        <f t="shared" si="167"/>
        <v>2025</v>
      </c>
      <c r="AI800" t="str">
        <f t="shared" si="168"/>
        <v>INVALID</v>
      </c>
    </row>
    <row r="801" spans="1:35">
      <c r="A801" t="s">
        <v>2470</v>
      </c>
      <c r="B801">
        <f t="shared" si="156"/>
        <v>1</v>
      </c>
      <c r="C801" t="str">
        <f>IF(COUNTIF($A$2:A801, A801)&gt;1, "DUPLICATE_FLAGGED_FOR_REVIEW", "")</f>
        <v/>
      </c>
      <c r="D801" s="3">
        <v>45575</v>
      </c>
      <c r="E801" s="2">
        <v>45582</v>
      </c>
      <c r="F801" s="2" t="str">
        <f t="shared" si="157"/>
        <v>OK</v>
      </c>
      <c r="G801" s="4">
        <f t="shared" si="158"/>
        <v>7</v>
      </c>
      <c r="H801" t="s">
        <v>2471</v>
      </c>
      <c r="I801" t="s">
        <v>47</v>
      </c>
      <c r="J801" t="s">
        <v>95</v>
      </c>
      <c r="K801" t="s">
        <v>25</v>
      </c>
      <c r="L801" t="str">
        <f t="shared" si="159"/>
        <v>North</v>
      </c>
      <c r="M801" t="s">
        <v>236</v>
      </c>
      <c r="N801" t="s">
        <v>237</v>
      </c>
      <c r="O801" t="s">
        <v>74</v>
      </c>
      <c r="P801" t="s">
        <v>75</v>
      </c>
      <c r="Q801" t="s">
        <v>2472</v>
      </c>
      <c r="R801" t="s">
        <v>2760</v>
      </c>
      <c r="S801" t="str">
        <f t="shared" si="160"/>
        <v>Unknown</v>
      </c>
      <c r="T801">
        <v>5</v>
      </c>
      <c r="U801">
        <v>967.41</v>
      </c>
      <c r="V801">
        <v>0.05</v>
      </c>
      <c r="W801">
        <f t="shared" si="161"/>
        <v>0.05</v>
      </c>
      <c r="X801" t="str">
        <f t="shared" si="162"/>
        <v/>
      </c>
      <c r="Y801">
        <v>4595.2</v>
      </c>
      <c r="Z801">
        <f t="shared" si="163"/>
        <v>4595.1975000000002</v>
      </c>
      <c r="AA801">
        <v>3887.41</v>
      </c>
      <c r="AB801">
        <v>707.79</v>
      </c>
      <c r="AC801">
        <f t="shared" si="164"/>
        <v>3627.7875000000004</v>
      </c>
      <c r="AD801" s="6">
        <f t="shared" si="165"/>
        <v>0.78947368421052633</v>
      </c>
      <c r="AE801" t="s">
        <v>32</v>
      </c>
      <c r="AF801" t="s">
        <v>103</v>
      </c>
      <c r="AG801">
        <f t="shared" si="166"/>
        <v>10</v>
      </c>
      <c r="AH801">
        <f t="shared" si="167"/>
        <v>2024</v>
      </c>
      <c r="AI801" t="str">
        <f t="shared" si="168"/>
        <v>WARNING</v>
      </c>
    </row>
    <row r="802" spans="1:35">
      <c r="A802" t="s">
        <v>2473</v>
      </c>
      <c r="B802">
        <f t="shared" si="156"/>
        <v>1</v>
      </c>
      <c r="C802" t="str">
        <f>IF(COUNTIF($A$2:A802, A802)&gt;1, "DUPLICATE_FLAGGED_FOR_REVIEW", "")</f>
        <v/>
      </c>
      <c r="D802" s="3">
        <v>45352</v>
      </c>
      <c r="E802" s="2">
        <v>45358</v>
      </c>
      <c r="F802" s="2" t="str">
        <f t="shared" si="157"/>
        <v>OK</v>
      </c>
      <c r="G802" s="4">
        <f t="shared" si="158"/>
        <v>6</v>
      </c>
      <c r="H802" t="s">
        <v>2474</v>
      </c>
      <c r="I802" t="s">
        <v>71</v>
      </c>
      <c r="J802" t="s">
        <v>37</v>
      </c>
      <c r="K802" t="s">
        <v>63</v>
      </c>
      <c r="L802" t="str">
        <f t="shared" si="159"/>
        <v>West</v>
      </c>
      <c r="M802" t="s">
        <v>64</v>
      </c>
      <c r="N802" t="s">
        <v>65</v>
      </c>
      <c r="O802" t="s">
        <v>28</v>
      </c>
      <c r="P802" t="s">
        <v>124</v>
      </c>
      <c r="Q802" t="s">
        <v>2475</v>
      </c>
      <c r="R802" t="s">
        <v>31</v>
      </c>
      <c r="S802" t="str">
        <f t="shared" si="160"/>
        <v>Second Class</v>
      </c>
      <c r="T802">
        <v>6</v>
      </c>
      <c r="U802">
        <v>4163.72</v>
      </c>
      <c r="V802">
        <v>0.15</v>
      </c>
      <c r="W802">
        <f t="shared" si="161"/>
        <v>0.15</v>
      </c>
      <c r="X802" t="str">
        <f t="shared" si="162"/>
        <v/>
      </c>
      <c r="Y802">
        <v>21234.97</v>
      </c>
      <c r="Z802">
        <f t="shared" si="163"/>
        <v>21234.971999999998</v>
      </c>
      <c r="AA802">
        <v>16736.09</v>
      </c>
      <c r="AB802">
        <v>4498.88</v>
      </c>
      <c r="AC802">
        <f t="shared" si="164"/>
        <v>17071.251999999997</v>
      </c>
      <c r="AD802" s="6">
        <f t="shared" si="165"/>
        <v>0.8039215686274509</v>
      </c>
      <c r="AE802" t="s">
        <v>32</v>
      </c>
      <c r="AF802" t="s">
        <v>33</v>
      </c>
      <c r="AG802">
        <f t="shared" si="166"/>
        <v>3</v>
      </c>
      <c r="AH802">
        <f t="shared" si="167"/>
        <v>2024</v>
      </c>
      <c r="AI802" t="str">
        <f t="shared" si="168"/>
        <v>CLEAN</v>
      </c>
    </row>
    <row r="803" spans="1:35">
      <c r="A803" t="s">
        <v>2476</v>
      </c>
      <c r="B803">
        <f t="shared" si="156"/>
        <v>1</v>
      </c>
      <c r="C803" t="str">
        <f>IF(COUNTIF($A$2:A803, A803)&gt;1, "DUPLICATE_FLAGGED_FOR_REVIEW", "")</f>
        <v/>
      </c>
      <c r="D803" s="3">
        <v>45938</v>
      </c>
      <c r="E803" s="2">
        <v>45945</v>
      </c>
      <c r="F803" s="2" t="str">
        <f t="shared" si="157"/>
        <v>OK</v>
      </c>
      <c r="G803" s="4">
        <f t="shared" si="158"/>
        <v>7</v>
      </c>
      <c r="H803" t="s">
        <v>2477</v>
      </c>
      <c r="I803" t="s">
        <v>128</v>
      </c>
      <c r="J803" t="s">
        <v>95</v>
      </c>
      <c r="K803" t="s">
        <v>38</v>
      </c>
      <c r="L803" t="str">
        <f t="shared" si="159"/>
        <v>East</v>
      </c>
      <c r="M803" t="s">
        <v>39</v>
      </c>
      <c r="N803" t="s">
        <v>40</v>
      </c>
      <c r="O803" t="s">
        <v>74</v>
      </c>
      <c r="P803" t="s">
        <v>75</v>
      </c>
      <c r="Q803" t="s">
        <v>2478</v>
      </c>
      <c r="R803" t="s">
        <v>31</v>
      </c>
      <c r="S803" t="str">
        <f t="shared" si="160"/>
        <v>Second Class</v>
      </c>
      <c r="T803">
        <v>3</v>
      </c>
      <c r="U803">
        <v>3372.21</v>
      </c>
      <c r="V803">
        <v>0.2</v>
      </c>
      <c r="W803">
        <f t="shared" si="161"/>
        <v>0.2</v>
      </c>
      <c r="X803" t="str">
        <f t="shared" si="162"/>
        <v/>
      </c>
      <c r="Y803">
        <v>8093.3</v>
      </c>
      <c r="Z803">
        <f t="shared" si="163"/>
        <v>8093.304000000001</v>
      </c>
      <c r="AA803">
        <v>6052.43</v>
      </c>
      <c r="AB803">
        <v>2040.87</v>
      </c>
      <c r="AC803">
        <f t="shared" si="164"/>
        <v>4721.094000000001</v>
      </c>
      <c r="AD803" s="6">
        <f t="shared" si="165"/>
        <v>0.58333333333333337</v>
      </c>
      <c r="AE803" t="s">
        <v>111</v>
      </c>
      <c r="AF803" t="s">
        <v>68</v>
      </c>
      <c r="AG803">
        <f t="shared" si="166"/>
        <v>10</v>
      </c>
      <c r="AH803">
        <f t="shared" si="167"/>
        <v>2025</v>
      </c>
      <c r="AI803" t="str">
        <f t="shared" si="168"/>
        <v>CLEAN</v>
      </c>
    </row>
    <row r="804" spans="1:35">
      <c r="A804" t="s">
        <v>2479</v>
      </c>
      <c r="B804">
        <f t="shared" si="156"/>
        <v>1</v>
      </c>
      <c r="C804" t="str">
        <f>IF(COUNTIF($A$2:A804, A804)&gt;1, "DUPLICATE_FLAGGED_FOR_REVIEW", "")</f>
        <v/>
      </c>
      <c r="D804" s="3">
        <v>45704</v>
      </c>
      <c r="E804" s="2">
        <v>45704</v>
      </c>
      <c r="F804" s="2" t="str">
        <f t="shared" si="157"/>
        <v>OK</v>
      </c>
      <c r="G804" s="4">
        <f t="shared" si="158"/>
        <v>0</v>
      </c>
      <c r="H804" t="s">
        <v>2480</v>
      </c>
      <c r="I804" t="s">
        <v>141</v>
      </c>
      <c r="J804" t="s">
        <v>37</v>
      </c>
      <c r="K804" t="s">
        <v>38</v>
      </c>
      <c r="L804" t="str">
        <f t="shared" si="159"/>
        <v>East</v>
      </c>
      <c r="M804" t="s">
        <v>166</v>
      </c>
      <c r="N804" t="s">
        <v>167</v>
      </c>
      <c r="O804" t="s">
        <v>41</v>
      </c>
      <c r="P804" t="s">
        <v>57</v>
      </c>
      <c r="Q804" t="s">
        <v>2481</v>
      </c>
      <c r="R804" t="s">
        <v>31</v>
      </c>
      <c r="S804" t="str">
        <f t="shared" si="160"/>
        <v>Second Class</v>
      </c>
      <c r="T804">
        <v>6</v>
      </c>
      <c r="U804">
        <v>1441.91</v>
      </c>
      <c r="V804">
        <v>0</v>
      </c>
      <c r="W804">
        <f t="shared" si="161"/>
        <v>0</v>
      </c>
      <c r="X804" t="str">
        <f t="shared" si="162"/>
        <v/>
      </c>
      <c r="Y804">
        <v>8651.4599999999991</v>
      </c>
      <c r="Z804">
        <f t="shared" si="163"/>
        <v>8651.4600000000009</v>
      </c>
      <c r="AA804">
        <v>5254.62</v>
      </c>
      <c r="AB804">
        <v>3396.84</v>
      </c>
      <c r="AC804">
        <f t="shared" si="164"/>
        <v>7209.5500000000011</v>
      </c>
      <c r="AD804" s="6">
        <f t="shared" si="165"/>
        <v>0.83333333333333337</v>
      </c>
      <c r="AE804" t="s">
        <v>155</v>
      </c>
      <c r="AF804" t="s">
        <v>103</v>
      </c>
      <c r="AG804">
        <f t="shared" si="166"/>
        <v>2</v>
      </c>
      <c r="AH804">
        <f t="shared" si="167"/>
        <v>2025</v>
      </c>
      <c r="AI804" t="str">
        <f t="shared" si="168"/>
        <v>CLEAN</v>
      </c>
    </row>
    <row r="805" spans="1:35">
      <c r="A805" t="s">
        <v>2482</v>
      </c>
      <c r="B805">
        <f t="shared" si="156"/>
        <v>1</v>
      </c>
      <c r="C805" t="str">
        <f>IF(COUNTIF($A$2:A805, A805)&gt;1, "DUPLICATE_FLAGGED_FOR_REVIEW", "")</f>
        <v/>
      </c>
      <c r="D805" s="3">
        <v>45635</v>
      </c>
      <c r="E805" s="2">
        <v>45639</v>
      </c>
      <c r="F805" s="2" t="str">
        <f t="shared" si="157"/>
        <v>OK</v>
      </c>
      <c r="G805" s="4">
        <f t="shared" si="158"/>
        <v>4</v>
      </c>
      <c r="H805" t="s">
        <v>2483</v>
      </c>
      <c r="I805" t="s">
        <v>141</v>
      </c>
      <c r="J805" t="s">
        <v>24</v>
      </c>
      <c r="K805" t="s">
        <v>2760</v>
      </c>
      <c r="L805" t="str">
        <f t="shared" si="159"/>
        <v>Unknown</v>
      </c>
      <c r="M805" t="s">
        <v>228</v>
      </c>
      <c r="N805" t="s">
        <v>229</v>
      </c>
      <c r="O805" t="s">
        <v>28</v>
      </c>
      <c r="P805" t="s">
        <v>91</v>
      </c>
      <c r="Q805" t="s">
        <v>2484</v>
      </c>
      <c r="R805" t="s">
        <v>50</v>
      </c>
      <c r="S805" t="str">
        <f t="shared" si="160"/>
        <v>First Class</v>
      </c>
      <c r="T805">
        <v>1</v>
      </c>
      <c r="U805">
        <v>4306.6499999999996</v>
      </c>
      <c r="V805">
        <v>0</v>
      </c>
      <c r="W805">
        <f t="shared" si="161"/>
        <v>0</v>
      </c>
      <c r="X805" t="str">
        <f t="shared" si="162"/>
        <v/>
      </c>
      <c r="Y805">
        <v>4306.6499999999996</v>
      </c>
      <c r="Z805">
        <f t="shared" si="163"/>
        <v>4306.6499999999996</v>
      </c>
      <c r="AA805">
        <v>2568.8200000000002</v>
      </c>
      <c r="AB805">
        <v>1737.83</v>
      </c>
      <c r="AC805">
        <f t="shared" si="164"/>
        <v>0</v>
      </c>
      <c r="AD805" s="6">
        <f t="shared" si="165"/>
        <v>0</v>
      </c>
      <c r="AE805" t="s">
        <v>32</v>
      </c>
      <c r="AF805" t="s">
        <v>33</v>
      </c>
      <c r="AG805">
        <f t="shared" si="166"/>
        <v>12</v>
      </c>
      <c r="AH805">
        <f t="shared" si="167"/>
        <v>2024</v>
      </c>
      <c r="AI805" t="str">
        <f t="shared" si="168"/>
        <v>WARNING</v>
      </c>
    </row>
    <row r="806" spans="1:35">
      <c r="A806" t="s">
        <v>2485</v>
      </c>
      <c r="B806">
        <f t="shared" si="156"/>
        <v>1</v>
      </c>
      <c r="C806" t="str">
        <f>IF(COUNTIF($A$2:A806, A806)&gt;1, "DUPLICATE_FLAGGED_FOR_REVIEW", "")</f>
        <v/>
      </c>
      <c r="D806" s="3">
        <v>45910</v>
      </c>
      <c r="E806" s="2">
        <v>45918</v>
      </c>
      <c r="F806" s="2" t="str">
        <f t="shared" si="157"/>
        <v>OK</v>
      </c>
      <c r="G806" s="4">
        <f t="shared" si="158"/>
        <v>8</v>
      </c>
      <c r="H806" t="s">
        <v>2486</v>
      </c>
      <c r="I806" t="s">
        <v>118</v>
      </c>
      <c r="J806" t="s">
        <v>95</v>
      </c>
      <c r="K806" t="s">
        <v>54</v>
      </c>
      <c r="L806" t="str">
        <f t="shared" si="159"/>
        <v>South</v>
      </c>
      <c r="M806" t="s">
        <v>55</v>
      </c>
      <c r="N806" t="s">
        <v>56</v>
      </c>
      <c r="O806" t="s">
        <v>41</v>
      </c>
      <c r="P806" t="s">
        <v>57</v>
      </c>
      <c r="Q806" t="s">
        <v>2487</v>
      </c>
      <c r="R806" t="s">
        <v>59</v>
      </c>
      <c r="S806" t="str">
        <f t="shared" si="160"/>
        <v>Standard Class</v>
      </c>
      <c r="T806">
        <v>1</v>
      </c>
      <c r="U806">
        <v>2050.62</v>
      </c>
      <c r="V806">
        <v>0.05</v>
      </c>
      <c r="W806">
        <f t="shared" si="161"/>
        <v>0.05</v>
      </c>
      <c r="X806" t="str">
        <f t="shared" si="162"/>
        <v/>
      </c>
      <c r="Y806">
        <v>1948.09</v>
      </c>
      <c r="Z806">
        <f t="shared" si="163"/>
        <v>1948.0889999999997</v>
      </c>
      <c r="AA806">
        <v>1507.08</v>
      </c>
      <c r="AB806">
        <v>441.01</v>
      </c>
      <c r="AC806">
        <f t="shared" si="164"/>
        <v>-102.53100000000018</v>
      </c>
      <c r="AD806" s="6">
        <f t="shared" si="165"/>
        <v>-5.2631578947368522E-2</v>
      </c>
      <c r="AE806" t="s">
        <v>32</v>
      </c>
      <c r="AF806" t="s">
        <v>33</v>
      </c>
      <c r="AG806">
        <f t="shared" si="166"/>
        <v>9</v>
      </c>
      <c r="AH806">
        <f t="shared" si="167"/>
        <v>2025</v>
      </c>
      <c r="AI806" t="str">
        <f t="shared" si="168"/>
        <v>CLEAN</v>
      </c>
    </row>
    <row r="807" spans="1:35">
      <c r="A807" t="s">
        <v>2488</v>
      </c>
      <c r="B807">
        <f t="shared" si="156"/>
        <v>1</v>
      </c>
      <c r="C807" t="str">
        <f>IF(COUNTIF($A$2:A807, A807)&gt;1, "DUPLICATE_FLAGGED_FOR_REVIEW", "")</f>
        <v/>
      </c>
      <c r="D807" s="3">
        <v>45753</v>
      </c>
      <c r="E807" s="2">
        <v>45754</v>
      </c>
      <c r="F807" s="2" t="str">
        <f t="shared" si="157"/>
        <v>OK</v>
      </c>
      <c r="G807" s="4">
        <f t="shared" si="158"/>
        <v>1</v>
      </c>
      <c r="H807" t="s">
        <v>2353</v>
      </c>
      <c r="I807" t="s">
        <v>114</v>
      </c>
      <c r="J807" t="s">
        <v>95</v>
      </c>
      <c r="K807" t="s">
        <v>38</v>
      </c>
      <c r="L807" t="str">
        <f t="shared" si="159"/>
        <v>East</v>
      </c>
      <c r="M807" t="s">
        <v>166</v>
      </c>
      <c r="N807" t="s">
        <v>167</v>
      </c>
      <c r="O807" t="s">
        <v>28</v>
      </c>
      <c r="P807" t="s">
        <v>153</v>
      </c>
      <c r="Q807" t="s">
        <v>2489</v>
      </c>
      <c r="R807" t="s">
        <v>31</v>
      </c>
      <c r="S807" t="str">
        <f t="shared" si="160"/>
        <v>Second Class</v>
      </c>
      <c r="T807">
        <v>2</v>
      </c>
      <c r="U807">
        <v>2030.06</v>
      </c>
      <c r="V807">
        <v>0.25</v>
      </c>
      <c r="W807">
        <f t="shared" si="161"/>
        <v>0.25</v>
      </c>
      <c r="X807" t="str">
        <f t="shared" si="162"/>
        <v/>
      </c>
      <c r="Y807">
        <v>3045.09</v>
      </c>
      <c r="Z807">
        <f t="shared" si="163"/>
        <v>3045.09</v>
      </c>
      <c r="AA807">
        <v>2601.09</v>
      </c>
      <c r="AB807">
        <v>444</v>
      </c>
      <c r="AC807">
        <f t="shared" si="164"/>
        <v>1015.0300000000002</v>
      </c>
      <c r="AD807" s="6">
        <f t="shared" si="165"/>
        <v>0.33333333333333337</v>
      </c>
      <c r="AE807" t="s">
        <v>32</v>
      </c>
      <c r="AF807" t="s">
        <v>33</v>
      </c>
      <c r="AG807">
        <f t="shared" si="166"/>
        <v>4</v>
      </c>
      <c r="AH807">
        <f t="shared" si="167"/>
        <v>2025</v>
      </c>
      <c r="AI807" t="str">
        <f t="shared" si="168"/>
        <v>CLEAN</v>
      </c>
    </row>
    <row r="808" spans="1:35">
      <c r="A808" t="s">
        <v>2490</v>
      </c>
      <c r="B808">
        <f t="shared" si="156"/>
        <v>1</v>
      </c>
      <c r="C808" t="str">
        <f>IF(COUNTIF($A$2:A808, A808)&gt;1, "DUPLICATE_FLAGGED_FOR_REVIEW", "")</f>
        <v/>
      </c>
      <c r="D808" s="3">
        <v>45605</v>
      </c>
      <c r="E808" s="2">
        <v>45611</v>
      </c>
      <c r="F808" s="2" t="str">
        <f t="shared" si="157"/>
        <v>OK</v>
      </c>
      <c r="G808" s="4">
        <f t="shared" si="158"/>
        <v>6</v>
      </c>
      <c r="H808" t="s">
        <v>2491</v>
      </c>
      <c r="I808" t="s">
        <v>47</v>
      </c>
      <c r="J808" t="s">
        <v>95</v>
      </c>
      <c r="K808" t="s">
        <v>25</v>
      </c>
      <c r="L808" t="str">
        <f t="shared" si="159"/>
        <v>North</v>
      </c>
      <c r="M808" t="s">
        <v>26</v>
      </c>
      <c r="N808" t="s">
        <v>27</v>
      </c>
      <c r="O808" t="s">
        <v>74</v>
      </c>
      <c r="P808" t="s">
        <v>80</v>
      </c>
      <c r="Q808" t="s">
        <v>2492</v>
      </c>
      <c r="R808" t="s">
        <v>59</v>
      </c>
      <c r="S808" t="str">
        <f t="shared" si="160"/>
        <v>Standard Class</v>
      </c>
      <c r="T808">
        <v>1</v>
      </c>
      <c r="U808">
        <v>3665.97</v>
      </c>
      <c r="V808">
        <v>0.2</v>
      </c>
      <c r="W808">
        <f t="shared" si="161"/>
        <v>0.2</v>
      </c>
      <c r="X808" t="str">
        <f t="shared" si="162"/>
        <v/>
      </c>
      <c r="Y808">
        <v>2932.78</v>
      </c>
      <c r="Z808">
        <f t="shared" si="163"/>
        <v>2932.7759999999998</v>
      </c>
      <c r="AA808">
        <v>1900.35</v>
      </c>
      <c r="AB808">
        <v>1032.43</v>
      </c>
      <c r="AC808">
        <f t="shared" si="164"/>
        <v>-733.19399999999996</v>
      </c>
      <c r="AD808" s="6">
        <f t="shared" si="165"/>
        <v>-0.25</v>
      </c>
      <c r="AE808" t="s">
        <v>155</v>
      </c>
      <c r="AF808" t="s">
        <v>68</v>
      </c>
      <c r="AG808">
        <f t="shared" si="166"/>
        <v>11</v>
      </c>
      <c r="AH808">
        <f t="shared" si="167"/>
        <v>2024</v>
      </c>
      <c r="AI808" t="str">
        <f t="shared" si="168"/>
        <v>CLEAN</v>
      </c>
    </row>
    <row r="809" spans="1:35">
      <c r="A809" t="s">
        <v>2493</v>
      </c>
      <c r="B809">
        <f t="shared" si="156"/>
        <v>1</v>
      </c>
      <c r="C809" t="str">
        <f>IF(COUNTIF($A$2:A809, A809)&gt;1, "DUPLICATE_FLAGGED_FOR_REVIEW", "")</f>
        <v/>
      </c>
      <c r="D809" s="3">
        <v>45695</v>
      </c>
      <c r="E809" s="2">
        <v>45696</v>
      </c>
      <c r="F809" s="2" t="str">
        <f t="shared" si="157"/>
        <v>OK</v>
      </c>
      <c r="G809" s="4">
        <f t="shared" si="158"/>
        <v>1</v>
      </c>
      <c r="H809" t="s">
        <v>2494</v>
      </c>
      <c r="I809" t="s">
        <v>23</v>
      </c>
      <c r="J809" t="s">
        <v>37</v>
      </c>
      <c r="K809" t="s">
        <v>54</v>
      </c>
      <c r="L809" t="str">
        <f t="shared" si="159"/>
        <v>South</v>
      </c>
      <c r="M809" t="s">
        <v>55</v>
      </c>
      <c r="N809" t="s">
        <v>56</v>
      </c>
      <c r="O809" t="s">
        <v>28</v>
      </c>
      <c r="P809" t="s">
        <v>91</v>
      </c>
      <c r="Q809" t="s">
        <v>2495</v>
      </c>
      <c r="R809" t="s">
        <v>59</v>
      </c>
      <c r="S809" t="str">
        <f t="shared" si="160"/>
        <v>Standard Class</v>
      </c>
      <c r="T809">
        <v>2</v>
      </c>
      <c r="U809">
        <v>2432.98</v>
      </c>
      <c r="V809">
        <v>0.1</v>
      </c>
      <c r="W809">
        <f t="shared" si="161"/>
        <v>0.1</v>
      </c>
      <c r="X809" t="str">
        <f t="shared" si="162"/>
        <v/>
      </c>
      <c r="Y809">
        <v>4379.3599999999997</v>
      </c>
      <c r="Z809">
        <f t="shared" si="163"/>
        <v>4379.3640000000005</v>
      </c>
      <c r="AA809">
        <v>3723.93</v>
      </c>
      <c r="AB809">
        <v>655.43</v>
      </c>
      <c r="AC809">
        <f t="shared" si="164"/>
        <v>1946.3840000000005</v>
      </c>
      <c r="AD809" s="6">
        <f t="shared" si="165"/>
        <v>0.44444444444444448</v>
      </c>
      <c r="AE809" t="s">
        <v>32</v>
      </c>
      <c r="AF809" t="s">
        <v>33</v>
      </c>
      <c r="AG809">
        <f t="shared" si="166"/>
        <v>2</v>
      </c>
      <c r="AH809">
        <f t="shared" si="167"/>
        <v>2025</v>
      </c>
      <c r="AI809" t="str">
        <f t="shared" si="168"/>
        <v>CLEAN</v>
      </c>
    </row>
    <row r="810" spans="1:35">
      <c r="A810" t="s">
        <v>2496</v>
      </c>
      <c r="B810">
        <f t="shared" si="156"/>
        <v>1</v>
      </c>
      <c r="C810" t="str">
        <f>IF(COUNTIF($A$2:A810, A810)&gt;1, "DUPLICATE_FLAGGED_FOR_REVIEW", "")</f>
        <v/>
      </c>
      <c r="D810" s="3">
        <v>45900</v>
      </c>
      <c r="E810" s="2">
        <v>45897</v>
      </c>
      <c r="F810" s="2" t="str">
        <f t="shared" si="157"/>
        <v>ERROR: Ship before order</v>
      </c>
      <c r="G810" s="4">
        <f t="shared" si="158"/>
        <v>-3</v>
      </c>
      <c r="H810" t="s">
        <v>2497</v>
      </c>
      <c r="I810" t="s">
        <v>128</v>
      </c>
      <c r="J810" t="s">
        <v>37</v>
      </c>
      <c r="K810" t="s">
        <v>54</v>
      </c>
      <c r="L810" t="str">
        <f t="shared" si="159"/>
        <v>South</v>
      </c>
      <c r="M810" t="s">
        <v>247</v>
      </c>
      <c r="N810" t="s">
        <v>248</v>
      </c>
      <c r="O810" t="s">
        <v>41</v>
      </c>
      <c r="P810" t="s">
        <v>57</v>
      </c>
      <c r="Q810" t="s">
        <v>2498</v>
      </c>
      <c r="R810" t="s">
        <v>50</v>
      </c>
      <c r="S810" t="str">
        <f t="shared" si="160"/>
        <v>First Class</v>
      </c>
      <c r="T810">
        <v>7</v>
      </c>
      <c r="U810">
        <v>977.28</v>
      </c>
      <c r="V810">
        <v>0.2</v>
      </c>
      <c r="W810">
        <f t="shared" si="161"/>
        <v>0.2</v>
      </c>
      <c r="X810" t="str">
        <f t="shared" si="162"/>
        <v/>
      </c>
      <c r="Y810">
        <v>5472.77</v>
      </c>
      <c r="Z810">
        <f t="shared" si="163"/>
        <v>5472.768</v>
      </c>
      <c r="AA810">
        <v>4477.33</v>
      </c>
      <c r="AB810">
        <v>995.44</v>
      </c>
      <c r="AC810">
        <f t="shared" si="164"/>
        <v>4495.4880000000003</v>
      </c>
      <c r="AD810" s="6">
        <f t="shared" si="165"/>
        <v>0.82142857142857151</v>
      </c>
      <c r="AE810" t="s">
        <v>32</v>
      </c>
      <c r="AF810" t="s">
        <v>33</v>
      </c>
      <c r="AG810">
        <f t="shared" si="166"/>
        <v>8</v>
      </c>
      <c r="AH810">
        <f t="shared" si="167"/>
        <v>2025</v>
      </c>
      <c r="AI810" t="str">
        <f t="shared" si="168"/>
        <v>INVALID</v>
      </c>
    </row>
    <row r="811" spans="1:35">
      <c r="A811" t="s">
        <v>2499</v>
      </c>
      <c r="B811">
        <f t="shared" si="156"/>
        <v>1</v>
      </c>
      <c r="C811" t="str">
        <f>IF(COUNTIF($A$2:A811, A811)&gt;1, "DUPLICATE_FLAGGED_FOR_REVIEW", "")</f>
        <v/>
      </c>
      <c r="D811" s="3">
        <v>45833</v>
      </c>
      <c r="E811" s="2">
        <v>45833</v>
      </c>
      <c r="F811" s="2" t="str">
        <f t="shared" si="157"/>
        <v>OK</v>
      </c>
      <c r="G811" s="4">
        <f t="shared" si="158"/>
        <v>0</v>
      </c>
      <c r="H811" t="s">
        <v>2500</v>
      </c>
      <c r="I811" t="s">
        <v>53</v>
      </c>
      <c r="J811" t="s">
        <v>37</v>
      </c>
      <c r="K811" t="s">
        <v>2760</v>
      </c>
      <c r="L811" t="str">
        <f t="shared" si="159"/>
        <v>Unknown</v>
      </c>
      <c r="M811" t="s">
        <v>122</v>
      </c>
      <c r="N811" t="s">
        <v>123</v>
      </c>
      <c r="O811" t="s">
        <v>28</v>
      </c>
      <c r="P811" t="s">
        <v>153</v>
      </c>
      <c r="Q811" t="s">
        <v>2501</v>
      </c>
      <c r="R811" t="s">
        <v>31</v>
      </c>
      <c r="S811" t="str">
        <f t="shared" si="160"/>
        <v>Second Class</v>
      </c>
      <c r="T811">
        <v>6</v>
      </c>
      <c r="U811">
        <v>1366.13</v>
      </c>
      <c r="V811">
        <v>0.1</v>
      </c>
      <c r="W811">
        <f t="shared" si="161"/>
        <v>0.1</v>
      </c>
      <c r="X811" t="str">
        <f t="shared" si="162"/>
        <v/>
      </c>
      <c r="Y811">
        <v>7377.1</v>
      </c>
      <c r="Z811">
        <f t="shared" si="163"/>
        <v>7377.1020000000008</v>
      </c>
      <c r="AA811">
        <v>5085.21</v>
      </c>
      <c r="AB811">
        <v>2291.89</v>
      </c>
      <c r="AC811">
        <f t="shared" si="164"/>
        <v>6010.9720000000007</v>
      </c>
      <c r="AD811" s="6">
        <f t="shared" si="165"/>
        <v>0.81481481481481477</v>
      </c>
      <c r="AE811" t="s">
        <v>32</v>
      </c>
      <c r="AF811" t="s">
        <v>33</v>
      </c>
      <c r="AG811">
        <f t="shared" si="166"/>
        <v>6</v>
      </c>
      <c r="AH811">
        <f t="shared" si="167"/>
        <v>2025</v>
      </c>
      <c r="AI811" t="str">
        <f t="shared" si="168"/>
        <v>WARNING</v>
      </c>
    </row>
    <row r="812" spans="1:35">
      <c r="A812" t="s">
        <v>2502</v>
      </c>
      <c r="B812">
        <f t="shared" si="156"/>
        <v>1</v>
      </c>
      <c r="C812" t="str">
        <f>IF(COUNTIF($A$2:A812, A812)&gt;1, "DUPLICATE_FLAGGED_FOR_REVIEW", "")</f>
        <v/>
      </c>
      <c r="D812" s="3">
        <v>45355</v>
      </c>
      <c r="E812" s="2">
        <v>45390</v>
      </c>
      <c r="F812" s="2" t="str">
        <f t="shared" si="157"/>
        <v>OK</v>
      </c>
      <c r="G812" s="4">
        <f t="shared" si="158"/>
        <v>35</v>
      </c>
      <c r="H812" t="s">
        <v>1666</v>
      </c>
      <c r="I812" t="s">
        <v>264</v>
      </c>
      <c r="J812" t="s">
        <v>95</v>
      </c>
      <c r="K812" t="s">
        <v>63</v>
      </c>
      <c r="L812" t="str">
        <f t="shared" si="159"/>
        <v>West</v>
      </c>
      <c r="M812" t="s">
        <v>180</v>
      </c>
      <c r="N812" t="s">
        <v>181</v>
      </c>
      <c r="O812" t="s">
        <v>74</v>
      </c>
      <c r="P812" t="s">
        <v>80</v>
      </c>
      <c r="Q812" t="s">
        <v>2503</v>
      </c>
      <c r="R812" t="s">
        <v>50</v>
      </c>
      <c r="S812" t="str">
        <f t="shared" si="160"/>
        <v>First Class</v>
      </c>
      <c r="T812">
        <v>1</v>
      </c>
      <c r="U812">
        <v>3151.85</v>
      </c>
      <c r="V812">
        <v>0.25</v>
      </c>
      <c r="W812">
        <f t="shared" si="161"/>
        <v>0.25</v>
      </c>
      <c r="X812" t="str">
        <f t="shared" si="162"/>
        <v/>
      </c>
      <c r="Y812">
        <v>2363.89</v>
      </c>
      <c r="Z812">
        <f t="shared" si="163"/>
        <v>2363.8874999999998</v>
      </c>
      <c r="AA812">
        <v>1471.51</v>
      </c>
      <c r="AB812">
        <v>892.38</v>
      </c>
      <c r="AC812">
        <f t="shared" si="164"/>
        <v>-787.96250000000009</v>
      </c>
      <c r="AD812" s="6">
        <f t="shared" si="165"/>
        <v>-0.33333333333333337</v>
      </c>
      <c r="AE812" t="s">
        <v>32</v>
      </c>
      <c r="AF812" t="s">
        <v>33</v>
      </c>
      <c r="AG812">
        <f t="shared" si="166"/>
        <v>3</v>
      </c>
      <c r="AH812">
        <f t="shared" si="167"/>
        <v>2024</v>
      </c>
      <c r="AI812" t="str">
        <f t="shared" si="168"/>
        <v>CLEAN</v>
      </c>
    </row>
    <row r="813" spans="1:35">
      <c r="A813" t="s">
        <v>2504</v>
      </c>
      <c r="B813">
        <f t="shared" si="156"/>
        <v>1</v>
      </c>
      <c r="C813" t="str">
        <f>IF(COUNTIF($A$2:A813, A813)&gt;1, "DUPLICATE_FLAGGED_FOR_REVIEW", "")</f>
        <v/>
      </c>
      <c r="D813" s="3">
        <v>45638</v>
      </c>
      <c r="E813" s="2">
        <v>45645</v>
      </c>
      <c r="F813" s="2" t="str">
        <f t="shared" si="157"/>
        <v>OK</v>
      </c>
      <c r="G813" s="4">
        <f t="shared" si="158"/>
        <v>7</v>
      </c>
      <c r="H813" t="s">
        <v>2505</v>
      </c>
      <c r="I813" t="s">
        <v>141</v>
      </c>
      <c r="J813" t="s">
        <v>95</v>
      </c>
      <c r="K813" t="s">
        <v>25</v>
      </c>
      <c r="L813" t="str">
        <f t="shared" si="159"/>
        <v>North</v>
      </c>
      <c r="M813" t="s">
        <v>236</v>
      </c>
      <c r="N813" t="s">
        <v>237</v>
      </c>
      <c r="O813" t="s">
        <v>74</v>
      </c>
      <c r="P813" t="s">
        <v>75</v>
      </c>
      <c r="Q813" t="s">
        <v>2506</v>
      </c>
      <c r="R813" t="s">
        <v>50</v>
      </c>
      <c r="S813" t="str">
        <f t="shared" si="160"/>
        <v>First Class</v>
      </c>
      <c r="T813">
        <v>2</v>
      </c>
      <c r="U813">
        <v>1610.75</v>
      </c>
      <c r="V813">
        <v>0.2</v>
      </c>
      <c r="W813">
        <f t="shared" si="161"/>
        <v>0.2</v>
      </c>
      <c r="X813" t="str">
        <f t="shared" si="162"/>
        <v/>
      </c>
      <c r="Y813">
        <v>2577.1999999999998</v>
      </c>
      <c r="Z813">
        <f t="shared" si="163"/>
        <v>2577.2000000000003</v>
      </c>
      <c r="AA813">
        <v>1475.87</v>
      </c>
      <c r="AB813">
        <v>1101.33</v>
      </c>
      <c r="AC813">
        <f t="shared" si="164"/>
        <v>966.45000000000027</v>
      </c>
      <c r="AD813" s="6">
        <f t="shared" si="165"/>
        <v>0.37500000000000006</v>
      </c>
      <c r="AE813" t="s">
        <v>32</v>
      </c>
      <c r="AF813" t="s">
        <v>33</v>
      </c>
      <c r="AG813">
        <f t="shared" si="166"/>
        <v>12</v>
      </c>
      <c r="AH813">
        <f t="shared" si="167"/>
        <v>2024</v>
      </c>
      <c r="AI813" t="str">
        <f t="shared" si="168"/>
        <v>CLEAN</v>
      </c>
    </row>
    <row r="814" spans="1:35">
      <c r="A814" t="s">
        <v>2507</v>
      </c>
      <c r="B814">
        <f t="shared" si="156"/>
        <v>1</v>
      </c>
      <c r="C814" t="str">
        <f>IF(COUNTIF($A$2:A814, A814)&gt;1, "DUPLICATE_FLAGGED_FOR_REVIEW", "")</f>
        <v/>
      </c>
      <c r="D814" s="3">
        <v>45458</v>
      </c>
      <c r="E814" s="2">
        <v>45463</v>
      </c>
      <c r="F814" s="2" t="str">
        <f t="shared" si="157"/>
        <v>OK</v>
      </c>
      <c r="G814" s="4">
        <f t="shared" si="158"/>
        <v>5</v>
      </c>
      <c r="H814" t="s">
        <v>2508</v>
      </c>
      <c r="I814" t="s">
        <v>132</v>
      </c>
      <c r="J814" t="s">
        <v>37</v>
      </c>
      <c r="K814" t="s">
        <v>38</v>
      </c>
      <c r="L814" t="str">
        <f t="shared" si="159"/>
        <v>East</v>
      </c>
      <c r="M814" t="s">
        <v>228</v>
      </c>
      <c r="N814" t="s">
        <v>229</v>
      </c>
      <c r="O814" t="s">
        <v>41</v>
      </c>
      <c r="P814" t="s">
        <v>42</v>
      </c>
      <c r="Q814" t="s">
        <v>2509</v>
      </c>
      <c r="R814" t="s">
        <v>50</v>
      </c>
      <c r="S814" t="str">
        <f t="shared" si="160"/>
        <v>First Class</v>
      </c>
      <c r="T814">
        <v>8</v>
      </c>
      <c r="U814">
        <v>2228.4699999999998</v>
      </c>
      <c r="V814">
        <v>0</v>
      </c>
      <c r="W814">
        <f t="shared" si="161"/>
        <v>0</v>
      </c>
      <c r="X814" t="str">
        <f t="shared" si="162"/>
        <v/>
      </c>
      <c r="Y814">
        <v>17827.759999999998</v>
      </c>
      <c r="Z814">
        <f t="shared" si="163"/>
        <v>17827.759999999998</v>
      </c>
      <c r="AA814">
        <v>14122.13</v>
      </c>
      <c r="AB814">
        <v>3705.63</v>
      </c>
      <c r="AC814">
        <f t="shared" si="164"/>
        <v>15599.289999999999</v>
      </c>
      <c r="AD814" s="6">
        <f t="shared" si="165"/>
        <v>0.875</v>
      </c>
      <c r="AE814" t="s">
        <v>32</v>
      </c>
      <c r="AF814" t="s">
        <v>33</v>
      </c>
      <c r="AG814">
        <f t="shared" si="166"/>
        <v>6</v>
      </c>
      <c r="AH814">
        <f t="shared" si="167"/>
        <v>2024</v>
      </c>
      <c r="AI814" t="str">
        <f t="shared" si="168"/>
        <v>CLEAN</v>
      </c>
    </row>
    <row r="815" spans="1:35">
      <c r="A815" t="s">
        <v>2510</v>
      </c>
      <c r="B815">
        <f t="shared" si="156"/>
        <v>1</v>
      </c>
      <c r="C815" t="str">
        <f>IF(COUNTIF($A$2:A815, A815)&gt;1, "DUPLICATE_FLAGGED_FOR_REVIEW", "")</f>
        <v/>
      </c>
      <c r="D815" s="3">
        <v>45812</v>
      </c>
      <c r="E815" s="2">
        <v>45757</v>
      </c>
      <c r="F815" s="2" t="str">
        <f t="shared" si="157"/>
        <v>ERROR: Ship before order</v>
      </c>
      <c r="G815" s="4">
        <f t="shared" si="158"/>
        <v>-55</v>
      </c>
      <c r="H815" t="s">
        <v>2511</v>
      </c>
      <c r="I815" t="s">
        <v>141</v>
      </c>
      <c r="J815" t="s">
        <v>24</v>
      </c>
      <c r="K815" t="s">
        <v>38</v>
      </c>
      <c r="L815" t="str">
        <f t="shared" si="159"/>
        <v>East</v>
      </c>
      <c r="M815" t="s">
        <v>39</v>
      </c>
      <c r="N815" t="s">
        <v>40</v>
      </c>
      <c r="O815" t="s">
        <v>41</v>
      </c>
      <c r="P815" t="s">
        <v>158</v>
      </c>
      <c r="Q815" t="s">
        <v>1121</v>
      </c>
      <c r="R815" t="s">
        <v>59</v>
      </c>
      <c r="S815" t="str">
        <f t="shared" si="160"/>
        <v>Standard Class</v>
      </c>
      <c r="T815">
        <v>2</v>
      </c>
      <c r="U815">
        <v>1337.67</v>
      </c>
      <c r="V815">
        <v>0</v>
      </c>
      <c r="W815">
        <f t="shared" si="161"/>
        <v>0</v>
      </c>
      <c r="X815" t="str">
        <f t="shared" si="162"/>
        <v/>
      </c>
      <c r="Y815">
        <v>2675.34</v>
      </c>
      <c r="Z815">
        <f t="shared" si="163"/>
        <v>2675.34</v>
      </c>
      <c r="AA815">
        <v>1595.87</v>
      </c>
      <c r="AB815">
        <v>1079.47</v>
      </c>
      <c r="AC815">
        <f t="shared" si="164"/>
        <v>1337.67</v>
      </c>
      <c r="AD815" s="6">
        <f t="shared" si="165"/>
        <v>0.5</v>
      </c>
      <c r="AE815" t="s">
        <v>32</v>
      </c>
      <c r="AF815" t="s">
        <v>33</v>
      </c>
      <c r="AG815">
        <f t="shared" si="166"/>
        <v>6</v>
      </c>
      <c r="AH815">
        <f t="shared" si="167"/>
        <v>2025</v>
      </c>
      <c r="AI815" t="str">
        <f t="shared" si="168"/>
        <v>INVALID</v>
      </c>
    </row>
    <row r="816" spans="1:35">
      <c r="A816" t="s">
        <v>2512</v>
      </c>
      <c r="B816">
        <f t="shared" si="156"/>
        <v>1</v>
      </c>
      <c r="C816" t="str">
        <f>IF(COUNTIF($A$2:A816, A816)&gt;1, "DUPLICATE_FLAGGED_FOR_REVIEW", "")</f>
        <v/>
      </c>
      <c r="D816" s="3">
        <v>45875</v>
      </c>
      <c r="E816" s="2">
        <v>45880</v>
      </c>
      <c r="F816" s="2" t="str">
        <f t="shared" si="157"/>
        <v>OK</v>
      </c>
      <c r="G816" s="4">
        <f t="shared" si="158"/>
        <v>5</v>
      </c>
      <c r="H816" t="s">
        <v>2513</v>
      </c>
      <c r="I816" t="s">
        <v>53</v>
      </c>
      <c r="J816" t="s">
        <v>24</v>
      </c>
      <c r="K816" t="s">
        <v>63</v>
      </c>
      <c r="L816" t="str">
        <f t="shared" si="159"/>
        <v>West</v>
      </c>
      <c r="M816" t="s">
        <v>72</v>
      </c>
      <c r="N816" t="s">
        <v>73</v>
      </c>
      <c r="O816" t="s">
        <v>28</v>
      </c>
      <c r="P816" t="s">
        <v>91</v>
      </c>
      <c r="Q816" t="s">
        <v>2514</v>
      </c>
      <c r="R816" t="s">
        <v>50</v>
      </c>
      <c r="S816" t="str">
        <f t="shared" si="160"/>
        <v>First Class</v>
      </c>
      <c r="T816">
        <v>2</v>
      </c>
      <c r="U816">
        <v>2375.94</v>
      </c>
      <c r="V816">
        <v>0.25</v>
      </c>
      <c r="W816">
        <f t="shared" si="161"/>
        <v>0.25</v>
      </c>
      <c r="X816" t="str">
        <f t="shared" si="162"/>
        <v/>
      </c>
      <c r="Y816">
        <v>3563.91</v>
      </c>
      <c r="Z816">
        <f t="shared" si="163"/>
        <v>3563.91</v>
      </c>
      <c r="AA816">
        <v>2639.7</v>
      </c>
      <c r="AB816">
        <v>924.21</v>
      </c>
      <c r="AC816">
        <f t="shared" si="164"/>
        <v>1187.9699999999998</v>
      </c>
      <c r="AD816" s="6">
        <f t="shared" si="165"/>
        <v>0.33333333333333331</v>
      </c>
      <c r="AE816" t="s">
        <v>32</v>
      </c>
      <c r="AF816" t="s">
        <v>33</v>
      </c>
      <c r="AG816">
        <f t="shared" si="166"/>
        <v>8</v>
      </c>
      <c r="AH816">
        <f t="shared" si="167"/>
        <v>2025</v>
      </c>
      <c r="AI816" t="str">
        <f t="shared" si="168"/>
        <v>CLEAN</v>
      </c>
    </row>
    <row r="817" spans="1:35">
      <c r="A817" t="s">
        <v>2515</v>
      </c>
      <c r="B817">
        <f t="shared" si="156"/>
        <v>1</v>
      </c>
      <c r="C817" t="str">
        <f>IF(COUNTIF($A$2:A817, A817)&gt;1, "DUPLICATE_FLAGGED_FOR_REVIEW", "")</f>
        <v/>
      </c>
      <c r="D817" s="3">
        <v>45295</v>
      </c>
      <c r="E817" s="2">
        <v>45390</v>
      </c>
      <c r="F817" s="2" t="str">
        <f t="shared" si="157"/>
        <v>OK</v>
      </c>
      <c r="G817" s="4">
        <f t="shared" si="158"/>
        <v>95</v>
      </c>
      <c r="H817" t="s">
        <v>2516</v>
      </c>
      <c r="I817" t="s">
        <v>162</v>
      </c>
      <c r="J817" t="s">
        <v>24</v>
      </c>
      <c r="K817" t="s">
        <v>38</v>
      </c>
      <c r="L817" t="str">
        <f t="shared" si="159"/>
        <v>East</v>
      </c>
      <c r="M817" t="s">
        <v>39</v>
      </c>
      <c r="N817" t="s">
        <v>40</v>
      </c>
      <c r="O817" t="s">
        <v>74</v>
      </c>
      <c r="P817" t="s">
        <v>274</v>
      </c>
      <c r="Q817" t="s">
        <v>2517</v>
      </c>
      <c r="R817" t="s">
        <v>59</v>
      </c>
      <c r="S817" t="str">
        <f t="shared" si="160"/>
        <v>Standard Class</v>
      </c>
      <c r="T817">
        <v>7</v>
      </c>
      <c r="U817">
        <v>715.81</v>
      </c>
      <c r="V817">
        <v>0.15</v>
      </c>
      <c r="W817">
        <f t="shared" si="161"/>
        <v>0.15</v>
      </c>
      <c r="X817" t="str">
        <f t="shared" si="162"/>
        <v/>
      </c>
      <c r="Y817">
        <v>4259.07</v>
      </c>
      <c r="Z817">
        <f t="shared" si="163"/>
        <v>4259.0694999999996</v>
      </c>
      <c r="AA817">
        <v>3130.32</v>
      </c>
      <c r="AB817">
        <v>1128.75</v>
      </c>
      <c r="AC817">
        <f t="shared" si="164"/>
        <v>3543.2594999999997</v>
      </c>
      <c r="AD817" s="6">
        <f t="shared" si="165"/>
        <v>0.83193277310924374</v>
      </c>
      <c r="AE817" t="s">
        <v>111</v>
      </c>
      <c r="AF817" t="s">
        <v>68</v>
      </c>
      <c r="AG817">
        <f t="shared" si="166"/>
        <v>1</v>
      </c>
      <c r="AH817">
        <f t="shared" si="167"/>
        <v>2024</v>
      </c>
      <c r="AI817" t="str">
        <f t="shared" si="168"/>
        <v>CLEAN</v>
      </c>
    </row>
    <row r="818" spans="1:35">
      <c r="A818" t="s">
        <v>2518</v>
      </c>
      <c r="B818">
        <f t="shared" si="156"/>
        <v>1</v>
      </c>
      <c r="C818" t="str">
        <f>IF(COUNTIF($A$2:A818, A818)&gt;1, "DUPLICATE_FLAGGED_FOR_REVIEW", "")</f>
        <v/>
      </c>
      <c r="D818" s="3">
        <v>45623</v>
      </c>
      <c r="E818" s="2">
        <v>45626</v>
      </c>
      <c r="F818" s="2" t="str">
        <f t="shared" si="157"/>
        <v>OK</v>
      </c>
      <c r="G818" s="4">
        <f t="shared" si="158"/>
        <v>3</v>
      </c>
      <c r="H818" t="s">
        <v>2519</v>
      </c>
      <c r="I818" t="s">
        <v>118</v>
      </c>
      <c r="J818" t="s">
        <v>37</v>
      </c>
      <c r="K818" t="s">
        <v>38</v>
      </c>
      <c r="L818" t="str">
        <f t="shared" si="159"/>
        <v>East</v>
      </c>
      <c r="M818" t="s">
        <v>228</v>
      </c>
      <c r="N818" t="s">
        <v>229</v>
      </c>
      <c r="O818" t="s">
        <v>41</v>
      </c>
      <c r="P818" t="s">
        <v>57</v>
      </c>
      <c r="Q818" t="s">
        <v>2520</v>
      </c>
      <c r="R818" t="s">
        <v>50</v>
      </c>
      <c r="S818" t="str">
        <f t="shared" si="160"/>
        <v>First Class</v>
      </c>
      <c r="T818">
        <v>1</v>
      </c>
      <c r="U818">
        <v>874.3</v>
      </c>
      <c r="V818">
        <v>0.1</v>
      </c>
      <c r="W818">
        <f t="shared" si="161"/>
        <v>0.1</v>
      </c>
      <c r="X818" t="str">
        <f t="shared" si="162"/>
        <v/>
      </c>
      <c r="Y818">
        <v>786.87</v>
      </c>
      <c r="Z818">
        <f t="shared" si="163"/>
        <v>786.87</v>
      </c>
      <c r="AA818">
        <v>498.5</v>
      </c>
      <c r="AB818">
        <v>288.37</v>
      </c>
      <c r="AC818">
        <f t="shared" si="164"/>
        <v>-87.42999999999995</v>
      </c>
      <c r="AD818" s="6">
        <f t="shared" si="165"/>
        <v>-0.11111111111111105</v>
      </c>
      <c r="AE818" t="s">
        <v>32</v>
      </c>
      <c r="AF818" t="s">
        <v>33</v>
      </c>
      <c r="AG818">
        <f t="shared" si="166"/>
        <v>11</v>
      </c>
      <c r="AH818">
        <f t="shared" si="167"/>
        <v>2024</v>
      </c>
      <c r="AI818" t="str">
        <f t="shared" si="168"/>
        <v>CLEAN</v>
      </c>
    </row>
    <row r="819" spans="1:35">
      <c r="A819" t="s">
        <v>2521</v>
      </c>
      <c r="B819">
        <f t="shared" si="156"/>
        <v>1</v>
      </c>
      <c r="C819" t="str">
        <f>IF(COUNTIF($A$2:A819, A819)&gt;1, "DUPLICATE_FLAGGED_FOR_REVIEW", "")</f>
        <v/>
      </c>
      <c r="D819" s="3">
        <v>45752</v>
      </c>
      <c r="E819" s="2">
        <v>45781</v>
      </c>
      <c r="F819" s="2" t="str">
        <f t="shared" si="157"/>
        <v>OK</v>
      </c>
      <c r="G819" s="4">
        <f t="shared" si="158"/>
        <v>29</v>
      </c>
      <c r="H819" t="s">
        <v>2522</v>
      </c>
      <c r="I819" t="s">
        <v>132</v>
      </c>
      <c r="J819" t="s">
        <v>24</v>
      </c>
      <c r="K819" t="s">
        <v>38</v>
      </c>
      <c r="L819" t="str">
        <f t="shared" si="159"/>
        <v>East</v>
      </c>
      <c r="M819" t="s">
        <v>145</v>
      </c>
      <c r="N819" t="s">
        <v>146</v>
      </c>
      <c r="O819" t="s">
        <v>28</v>
      </c>
      <c r="P819" t="s">
        <v>153</v>
      </c>
      <c r="Q819" t="s">
        <v>2523</v>
      </c>
      <c r="R819" t="s">
        <v>59</v>
      </c>
      <c r="S819" t="str">
        <f t="shared" si="160"/>
        <v>Standard Class</v>
      </c>
      <c r="T819">
        <v>6</v>
      </c>
      <c r="U819">
        <v>1829.69</v>
      </c>
      <c r="V819">
        <v>0.25</v>
      </c>
      <c r="W819">
        <f t="shared" si="161"/>
        <v>0.25</v>
      </c>
      <c r="X819" t="str">
        <f t="shared" si="162"/>
        <v/>
      </c>
      <c r="Y819">
        <v>8233.6</v>
      </c>
      <c r="Z819">
        <f t="shared" si="163"/>
        <v>8233.6049999999996</v>
      </c>
      <c r="AA819">
        <v>4713.79</v>
      </c>
      <c r="AB819">
        <v>3519.81</v>
      </c>
      <c r="AC819">
        <f t="shared" si="164"/>
        <v>6403.9149999999991</v>
      </c>
      <c r="AD819" s="6">
        <f t="shared" si="165"/>
        <v>0.77777777777777768</v>
      </c>
      <c r="AE819" t="s">
        <v>32</v>
      </c>
      <c r="AF819" t="s">
        <v>33</v>
      </c>
      <c r="AG819">
        <f t="shared" si="166"/>
        <v>4</v>
      </c>
      <c r="AH819">
        <f t="shared" si="167"/>
        <v>2025</v>
      </c>
      <c r="AI819" t="str">
        <f t="shared" si="168"/>
        <v>CLEAN</v>
      </c>
    </row>
    <row r="820" spans="1:35">
      <c r="A820" t="s">
        <v>2524</v>
      </c>
      <c r="B820">
        <f t="shared" si="156"/>
        <v>1</v>
      </c>
      <c r="C820" t="str">
        <f>IF(COUNTIF($A$2:A820, A820)&gt;1, "DUPLICATE_FLAGGED_FOR_REVIEW", "")</f>
        <v/>
      </c>
      <c r="D820" s="3">
        <v>45564</v>
      </c>
      <c r="E820" s="2">
        <v>45570</v>
      </c>
      <c r="F820" s="2" t="str">
        <f t="shared" si="157"/>
        <v>OK</v>
      </c>
      <c r="G820" s="4">
        <f t="shared" si="158"/>
        <v>6</v>
      </c>
      <c r="H820" t="s">
        <v>2525</v>
      </c>
      <c r="I820" t="s">
        <v>114</v>
      </c>
      <c r="J820" t="s">
        <v>37</v>
      </c>
      <c r="K820" t="s">
        <v>63</v>
      </c>
      <c r="L820" t="str">
        <f t="shared" si="159"/>
        <v>West</v>
      </c>
      <c r="M820" t="s">
        <v>64</v>
      </c>
      <c r="N820" t="s">
        <v>65</v>
      </c>
      <c r="O820" t="s">
        <v>28</v>
      </c>
      <c r="P820" t="s">
        <v>91</v>
      </c>
      <c r="Q820" t="s">
        <v>2526</v>
      </c>
      <c r="R820" t="s">
        <v>50</v>
      </c>
      <c r="S820" t="str">
        <f t="shared" si="160"/>
        <v>First Class</v>
      </c>
      <c r="T820">
        <v>8</v>
      </c>
      <c r="U820">
        <v>1981.04</v>
      </c>
      <c r="V820">
        <v>-0.14000000000000001</v>
      </c>
      <c r="W820">
        <f t="shared" si="161"/>
        <v>-0.14000000000000001</v>
      </c>
      <c r="X820" t="str">
        <f t="shared" si="162"/>
        <v>INVALID_NEGATIVE_DISCOUNT</v>
      </c>
      <c r="Y820">
        <v>12678.66</v>
      </c>
      <c r="Z820">
        <f t="shared" si="163"/>
        <v>18067.084800000001</v>
      </c>
      <c r="AA820">
        <v>10088.65</v>
      </c>
      <c r="AB820">
        <v>2590.0100000000002</v>
      </c>
      <c r="AC820">
        <f t="shared" si="164"/>
        <v>16086.0448</v>
      </c>
      <c r="AD820" s="6">
        <f t="shared" si="165"/>
        <v>0.89035087719298245</v>
      </c>
      <c r="AE820" t="s">
        <v>32</v>
      </c>
      <c r="AF820" t="s">
        <v>33</v>
      </c>
      <c r="AG820">
        <f t="shared" si="166"/>
        <v>9</v>
      </c>
      <c r="AH820">
        <f t="shared" si="167"/>
        <v>2024</v>
      </c>
      <c r="AI820" t="str">
        <f t="shared" si="168"/>
        <v>INVALID</v>
      </c>
    </row>
    <row r="821" spans="1:35">
      <c r="A821" t="s">
        <v>2527</v>
      </c>
      <c r="B821">
        <f t="shared" si="156"/>
        <v>1</v>
      </c>
      <c r="C821" t="str">
        <f>IF(COUNTIF($A$2:A821, A821)&gt;1, "DUPLICATE_FLAGGED_FOR_REVIEW", "")</f>
        <v/>
      </c>
      <c r="D821" s="3">
        <v>45504</v>
      </c>
      <c r="E821" s="2">
        <v>45504</v>
      </c>
      <c r="F821" s="2" t="str">
        <f t="shared" si="157"/>
        <v>OK</v>
      </c>
      <c r="G821" s="4">
        <f t="shared" si="158"/>
        <v>0</v>
      </c>
      <c r="H821" t="s">
        <v>2528</v>
      </c>
      <c r="I821" t="s">
        <v>23</v>
      </c>
      <c r="J821" t="s">
        <v>95</v>
      </c>
      <c r="K821" t="s">
        <v>54</v>
      </c>
      <c r="L821" t="str">
        <f t="shared" si="159"/>
        <v>South</v>
      </c>
      <c r="M821" t="s">
        <v>185</v>
      </c>
      <c r="N821" t="s">
        <v>186</v>
      </c>
      <c r="O821" t="s">
        <v>74</v>
      </c>
      <c r="P821" t="s">
        <v>274</v>
      </c>
      <c r="Q821" t="s">
        <v>2529</v>
      </c>
      <c r="R821" t="s">
        <v>59</v>
      </c>
      <c r="S821" t="str">
        <f t="shared" si="160"/>
        <v>Standard Class</v>
      </c>
      <c r="T821">
        <v>8</v>
      </c>
      <c r="U821">
        <v>4246.01</v>
      </c>
      <c r="V821">
        <v>0</v>
      </c>
      <c r="W821">
        <f t="shared" si="161"/>
        <v>0</v>
      </c>
      <c r="X821" t="str">
        <f t="shared" si="162"/>
        <v/>
      </c>
      <c r="Y821">
        <v>33968.080000000002</v>
      </c>
      <c r="Z821">
        <f t="shared" si="163"/>
        <v>33968.080000000002</v>
      </c>
      <c r="AA821">
        <v>26902.44</v>
      </c>
      <c r="AB821">
        <v>7065.64</v>
      </c>
      <c r="AC821">
        <f t="shared" si="164"/>
        <v>29722.07</v>
      </c>
      <c r="AD821" s="6">
        <f t="shared" si="165"/>
        <v>0.875</v>
      </c>
      <c r="AE821" t="s">
        <v>155</v>
      </c>
      <c r="AF821" t="s">
        <v>68</v>
      </c>
      <c r="AG821">
        <f t="shared" si="166"/>
        <v>7</v>
      </c>
      <c r="AH821">
        <f t="shared" si="167"/>
        <v>2024</v>
      </c>
      <c r="AI821" t="str">
        <f t="shared" si="168"/>
        <v>CLEAN</v>
      </c>
    </row>
    <row r="822" spans="1:35">
      <c r="A822" t="s">
        <v>2530</v>
      </c>
      <c r="B822">
        <f t="shared" si="156"/>
        <v>1</v>
      </c>
      <c r="C822" t="str">
        <f>IF(COUNTIF($A$2:A822, A822)&gt;1, "DUPLICATE_FLAGGED_FOR_REVIEW", "")</f>
        <v/>
      </c>
      <c r="D822" s="3">
        <v>45694</v>
      </c>
      <c r="E822" s="2">
        <v>45698</v>
      </c>
      <c r="F822" s="2" t="str">
        <f t="shared" si="157"/>
        <v>OK</v>
      </c>
      <c r="G822" s="4">
        <f t="shared" si="158"/>
        <v>4</v>
      </c>
      <c r="H822" t="s">
        <v>2531</v>
      </c>
      <c r="I822" t="s">
        <v>62</v>
      </c>
      <c r="J822" t="s">
        <v>95</v>
      </c>
      <c r="K822" t="s">
        <v>25</v>
      </c>
      <c r="L822" t="str">
        <f t="shared" si="159"/>
        <v>North</v>
      </c>
      <c r="M822" t="s">
        <v>136</v>
      </c>
      <c r="N822" t="s">
        <v>137</v>
      </c>
      <c r="O822" t="s">
        <v>41</v>
      </c>
      <c r="P822" t="s">
        <v>158</v>
      </c>
      <c r="Q822" t="s">
        <v>2532</v>
      </c>
      <c r="R822" t="s">
        <v>59</v>
      </c>
      <c r="S822" t="str">
        <f t="shared" si="160"/>
        <v>Standard Class</v>
      </c>
      <c r="T822">
        <v>2</v>
      </c>
      <c r="U822">
        <v>319.57</v>
      </c>
      <c r="V822">
        <v>0.2</v>
      </c>
      <c r="W822">
        <f t="shared" si="161"/>
        <v>0.2</v>
      </c>
      <c r="X822" t="str">
        <f t="shared" si="162"/>
        <v/>
      </c>
      <c r="Y822">
        <v>511.31</v>
      </c>
      <c r="Z822">
        <f t="shared" si="163"/>
        <v>511.31200000000001</v>
      </c>
      <c r="AA822">
        <v>436.43</v>
      </c>
      <c r="AB822">
        <v>74.88</v>
      </c>
      <c r="AC822">
        <f t="shared" si="164"/>
        <v>191.74200000000002</v>
      </c>
      <c r="AD822" s="6">
        <f t="shared" si="165"/>
        <v>0.37500000000000006</v>
      </c>
      <c r="AE822" t="s">
        <v>32</v>
      </c>
      <c r="AF822" t="s">
        <v>33</v>
      </c>
      <c r="AG822">
        <f t="shared" si="166"/>
        <v>2</v>
      </c>
      <c r="AH822">
        <f t="shared" si="167"/>
        <v>2025</v>
      </c>
      <c r="AI822" t="str">
        <f t="shared" si="168"/>
        <v>CLEAN</v>
      </c>
    </row>
    <row r="823" spans="1:35">
      <c r="A823" t="s">
        <v>2533</v>
      </c>
      <c r="B823">
        <f t="shared" si="156"/>
        <v>1</v>
      </c>
      <c r="C823" t="str">
        <f>IF(COUNTIF($A$2:A823, A823)&gt;1, "DUPLICATE_FLAGGED_FOR_REVIEW", "")</f>
        <v/>
      </c>
      <c r="D823" s="3">
        <v>45476</v>
      </c>
      <c r="E823" s="2">
        <v>45479</v>
      </c>
      <c r="F823" s="2" t="str">
        <f t="shared" si="157"/>
        <v>OK</v>
      </c>
      <c r="G823" s="4">
        <f t="shared" si="158"/>
        <v>3</v>
      </c>
      <c r="H823" t="s">
        <v>2534</v>
      </c>
      <c r="I823" t="s">
        <v>128</v>
      </c>
      <c r="J823" t="s">
        <v>90</v>
      </c>
      <c r="K823" t="s">
        <v>54</v>
      </c>
      <c r="L823" t="str">
        <f t="shared" si="159"/>
        <v>South</v>
      </c>
      <c r="M823" t="s">
        <v>175</v>
      </c>
      <c r="N823" t="s">
        <v>176</v>
      </c>
      <c r="O823" t="s">
        <v>74</v>
      </c>
      <c r="P823" t="s">
        <v>75</v>
      </c>
      <c r="Q823" t="s">
        <v>2535</v>
      </c>
      <c r="R823" t="s">
        <v>50</v>
      </c>
      <c r="S823" t="str">
        <f t="shared" si="160"/>
        <v>First Class</v>
      </c>
      <c r="T823">
        <v>7</v>
      </c>
      <c r="U823">
        <v>1942.49</v>
      </c>
      <c r="V823">
        <v>0.2</v>
      </c>
      <c r="W823">
        <f t="shared" si="161"/>
        <v>0.2</v>
      </c>
      <c r="X823" t="str">
        <f t="shared" si="162"/>
        <v/>
      </c>
      <c r="Y823">
        <v>10877.94</v>
      </c>
      <c r="Z823">
        <f t="shared" si="163"/>
        <v>10877.944000000001</v>
      </c>
      <c r="AA823">
        <v>9110.14</v>
      </c>
      <c r="AB823">
        <v>1767.8</v>
      </c>
      <c r="AC823">
        <f t="shared" si="164"/>
        <v>8935.4540000000015</v>
      </c>
      <c r="AD823" s="6">
        <f t="shared" si="165"/>
        <v>0.82142857142857151</v>
      </c>
      <c r="AE823" t="s">
        <v>32</v>
      </c>
      <c r="AF823" t="s">
        <v>33</v>
      </c>
      <c r="AG823">
        <f t="shared" si="166"/>
        <v>7</v>
      </c>
      <c r="AH823">
        <f t="shared" si="167"/>
        <v>2024</v>
      </c>
      <c r="AI823" t="str">
        <f t="shared" si="168"/>
        <v>CLEAN</v>
      </c>
    </row>
    <row r="824" spans="1:35">
      <c r="A824" t="s">
        <v>2536</v>
      </c>
      <c r="B824">
        <f t="shared" si="156"/>
        <v>1</v>
      </c>
      <c r="C824" t="str">
        <f>IF(COUNTIF($A$2:A824, A824)&gt;1, "DUPLICATE_FLAGGED_FOR_REVIEW", "")</f>
        <v/>
      </c>
      <c r="D824" s="3">
        <v>45636</v>
      </c>
      <c r="E824" s="2">
        <v>45573</v>
      </c>
      <c r="F824" s="2" t="str">
        <f t="shared" si="157"/>
        <v>ERROR: Ship before order</v>
      </c>
      <c r="G824" s="4">
        <f t="shared" si="158"/>
        <v>-63</v>
      </c>
      <c r="H824" t="s">
        <v>2537</v>
      </c>
      <c r="I824" t="s">
        <v>36</v>
      </c>
      <c r="J824" t="s">
        <v>90</v>
      </c>
      <c r="K824" t="s">
        <v>38</v>
      </c>
      <c r="L824" t="str">
        <f t="shared" si="159"/>
        <v>East</v>
      </c>
      <c r="M824" t="s">
        <v>166</v>
      </c>
      <c r="N824" t="s">
        <v>167</v>
      </c>
      <c r="O824" t="s">
        <v>41</v>
      </c>
      <c r="P824" t="s">
        <v>57</v>
      </c>
      <c r="Q824" t="s">
        <v>2538</v>
      </c>
      <c r="R824" t="s">
        <v>31</v>
      </c>
      <c r="S824" t="str">
        <f t="shared" si="160"/>
        <v>Second Class</v>
      </c>
      <c r="T824">
        <v>4</v>
      </c>
      <c r="U824">
        <v>3202.04</v>
      </c>
      <c r="V824">
        <v>0.2</v>
      </c>
      <c r="W824">
        <f t="shared" si="161"/>
        <v>0.2</v>
      </c>
      <c r="X824" t="str">
        <f t="shared" si="162"/>
        <v/>
      </c>
      <c r="Y824">
        <v>10246.530000000001</v>
      </c>
      <c r="Z824">
        <f t="shared" si="163"/>
        <v>10246.528</v>
      </c>
      <c r="AA824">
        <v>8634.42</v>
      </c>
      <c r="AB824">
        <v>1612.11</v>
      </c>
      <c r="AC824">
        <f t="shared" si="164"/>
        <v>7044.4880000000003</v>
      </c>
      <c r="AD824" s="6">
        <f t="shared" si="165"/>
        <v>0.6875</v>
      </c>
      <c r="AE824" t="s">
        <v>111</v>
      </c>
      <c r="AF824" t="s">
        <v>103</v>
      </c>
      <c r="AG824">
        <f t="shared" si="166"/>
        <v>12</v>
      </c>
      <c r="AH824">
        <f t="shared" si="167"/>
        <v>2024</v>
      </c>
      <c r="AI824" t="str">
        <f t="shared" si="168"/>
        <v>INVALID</v>
      </c>
    </row>
    <row r="825" spans="1:35">
      <c r="A825" t="s">
        <v>2539</v>
      </c>
      <c r="B825">
        <f t="shared" si="156"/>
        <v>1</v>
      </c>
      <c r="C825" t="str">
        <f>IF(COUNTIF($A$2:A825, A825)&gt;1, "DUPLICATE_FLAGGED_FOR_REVIEW", "")</f>
        <v/>
      </c>
      <c r="D825" s="3">
        <v>45663</v>
      </c>
      <c r="E825" s="2">
        <v>45669</v>
      </c>
      <c r="F825" s="2" t="str">
        <f t="shared" si="157"/>
        <v>OK</v>
      </c>
      <c r="G825" s="4">
        <f t="shared" si="158"/>
        <v>6</v>
      </c>
      <c r="H825" t="s">
        <v>2540</v>
      </c>
      <c r="I825" t="s">
        <v>36</v>
      </c>
      <c r="J825" t="s">
        <v>95</v>
      </c>
      <c r="K825" t="s">
        <v>63</v>
      </c>
      <c r="L825" t="str">
        <f t="shared" si="159"/>
        <v>West</v>
      </c>
      <c r="M825" t="s">
        <v>190</v>
      </c>
      <c r="N825" t="s">
        <v>191</v>
      </c>
      <c r="O825" t="s">
        <v>28</v>
      </c>
      <c r="P825" t="s">
        <v>29</v>
      </c>
      <c r="Q825" t="s">
        <v>2541</v>
      </c>
      <c r="R825" t="s">
        <v>44</v>
      </c>
      <c r="S825" t="str">
        <f t="shared" si="160"/>
        <v>Same Day</v>
      </c>
      <c r="T825">
        <v>3</v>
      </c>
      <c r="U825">
        <v>668.33</v>
      </c>
      <c r="V825">
        <v>0.15</v>
      </c>
      <c r="W825">
        <f t="shared" si="161"/>
        <v>0.15</v>
      </c>
      <c r="X825" t="str">
        <f t="shared" si="162"/>
        <v/>
      </c>
      <c r="Y825">
        <v>1704.24</v>
      </c>
      <c r="Z825">
        <f t="shared" si="163"/>
        <v>1704.2415000000001</v>
      </c>
      <c r="AA825">
        <v>957.55</v>
      </c>
      <c r="AB825">
        <v>746.69</v>
      </c>
      <c r="AC825">
        <f t="shared" si="164"/>
        <v>1035.9115000000002</v>
      </c>
      <c r="AD825" s="6">
        <f t="shared" si="165"/>
        <v>0.60784313725490202</v>
      </c>
      <c r="AE825" t="s">
        <v>32</v>
      </c>
      <c r="AF825" t="s">
        <v>33</v>
      </c>
      <c r="AG825">
        <f t="shared" si="166"/>
        <v>1</v>
      </c>
      <c r="AH825">
        <f t="shared" si="167"/>
        <v>2025</v>
      </c>
      <c r="AI825" t="str">
        <f t="shared" si="168"/>
        <v>CLEAN</v>
      </c>
    </row>
    <row r="826" spans="1:35">
      <c r="A826" t="s">
        <v>2542</v>
      </c>
      <c r="B826">
        <f t="shared" si="156"/>
        <v>1</v>
      </c>
      <c r="C826" t="str">
        <f>IF(COUNTIF($A$2:A826, A826)&gt;1, "DUPLICATE_FLAGGED_FOR_REVIEW", "")</f>
        <v/>
      </c>
      <c r="D826" s="3">
        <v>45737</v>
      </c>
      <c r="E826" s="2">
        <v>45738</v>
      </c>
      <c r="F826" s="2" t="str">
        <f t="shared" si="157"/>
        <v>OK</v>
      </c>
      <c r="G826" s="4">
        <f t="shared" si="158"/>
        <v>1</v>
      </c>
      <c r="H826" t="s">
        <v>2543</v>
      </c>
      <c r="I826" t="s">
        <v>114</v>
      </c>
      <c r="J826" t="s">
        <v>24</v>
      </c>
      <c r="K826" t="s">
        <v>63</v>
      </c>
      <c r="L826" t="str">
        <f t="shared" si="159"/>
        <v>West</v>
      </c>
      <c r="M826" t="s">
        <v>190</v>
      </c>
      <c r="N826" t="s">
        <v>191</v>
      </c>
      <c r="O826" t="s">
        <v>28</v>
      </c>
      <c r="P826" t="s">
        <v>29</v>
      </c>
      <c r="Q826" t="s">
        <v>2544</v>
      </c>
      <c r="R826" t="s">
        <v>50</v>
      </c>
      <c r="S826" t="str">
        <f t="shared" si="160"/>
        <v>First Class</v>
      </c>
      <c r="T826">
        <v>8</v>
      </c>
      <c r="U826">
        <v>4436.74</v>
      </c>
      <c r="V826">
        <v>0.05</v>
      </c>
      <c r="W826">
        <f t="shared" si="161"/>
        <v>0.05</v>
      </c>
      <c r="X826" t="str">
        <f t="shared" si="162"/>
        <v/>
      </c>
      <c r="Y826">
        <v>33719.22</v>
      </c>
      <c r="Z826">
        <f t="shared" si="163"/>
        <v>33719.223999999995</v>
      </c>
      <c r="AA826">
        <v>28924.43</v>
      </c>
      <c r="AB826">
        <v>4794.79</v>
      </c>
      <c r="AC826">
        <f t="shared" si="164"/>
        <v>29282.483999999997</v>
      </c>
      <c r="AD826" s="6">
        <f t="shared" si="165"/>
        <v>0.86842105263157898</v>
      </c>
      <c r="AE826" t="s">
        <v>32</v>
      </c>
      <c r="AF826" t="s">
        <v>33</v>
      </c>
      <c r="AG826">
        <f t="shared" si="166"/>
        <v>3</v>
      </c>
      <c r="AH826">
        <f t="shared" si="167"/>
        <v>2025</v>
      </c>
      <c r="AI826" t="str">
        <f t="shared" si="168"/>
        <v>CLEAN</v>
      </c>
    </row>
    <row r="827" spans="1:35">
      <c r="A827" t="s">
        <v>2545</v>
      </c>
      <c r="B827">
        <f t="shared" si="156"/>
        <v>1</v>
      </c>
      <c r="C827" t="str">
        <f>IF(COUNTIF($A$2:A827, A827)&gt;1, "DUPLICATE_FLAGGED_FOR_REVIEW", "")</f>
        <v/>
      </c>
      <c r="D827" s="3">
        <v>45763</v>
      </c>
      <c r="E827" s="2">
        <v>45764</v>
      </c>
      <c r="F827" s="2" t="str">
        <f t="shared" si="157"/>
        <v>OK</v>
      </c>
      <c r="G827" s="4">
        <f t="shared" si="158"/>
        <v>1</v>
      </c>
      <c r="H827" t="s">
        <v>2546</v>
      </c>
      <c r="I827" t="s">
        <v>71</v>
      </c>
      <c r="J827" t="s">
        <v>37</v>
      </c>
      <c r="K827" t="s">
        <v>25</v>
      </c>
      <c r="L827" t="str">
        <f t="shared" si="159"/>
        <v>North</v>
      </c>
      <c r="M827" t="s">
        <v>136</v>
      </c>
      <c r="N827" t="s">
        <v>137</v>
      </c>
      <c r="O827" t="s">
        <v>74</v>
      </c>
      <c r="P827" t="s">
        <v>274</v>
      </c>
      <c r="Q827" t="s">
        <v>2547</v>
      </c>
      <c r="R827" t="s">
        <v>50</v>
      </c>
      <c r="S827" t="str">
        <f t="shared" si="160"/>
        <v>First Class</v>
      </c>
      <c r="T827">
        <v>1</v>
      </c>
      <c r="U827">
        <v>2720.17</v>
      </c>
      <c r="V827">
        <v>0</v>
      </c>
      <c r="W827">
        <f t="shared" si="161"/>
        <v>0</v>
      </c>
      <c r="X827" t="str">
        <f t="shared" si="162"/>
        <v/>
      </c>
      <c r="Y827">
        <v>2720.17</v>
      </c>
      <c r="Z827">
        <f t="shared" si="163"/>
        <v>2720.17</v>
      </c>
      <c r="AA827">
        <v>1834.23</v>
      </c>
      <c r="AB827">
        <v>885.94</v>
      </c>
      <c r="AC827">
        <f t="shared" si="164"/>
        <v>0</v>
      </c>
      <c r="AD827" s="6">
        <f t="shared" si="165"/>
        <v>0</v>
      </c>
      <c r="AE827" t="s">
        <v>32</v>
      </c>
      <c r="AF827" t="s">
        <v>33</v>
      </c>
      <c r="AG827">
        <f t="shared" si="166"/>
        <v>4</v>
      </c>
      <c r="AH827">
        <f t="shared" si="167"/>
        <v>2025</v>
      </c>
      <c r="AI827" t="str">
        <f t="shared" si="168"/>
        <v>CLEAN</v>
      </c>
    </row>
    <row r="828" spans="1:35">
      <c r="A828" t="s">
        <v>2548</v>
      </c>
      <c r="B828">
        <f t="shared" si="156"/>
        <v>1</v>
      </c>
      <c r="C828" t="str">
        <f>IF(COUNTIF($A$2:A828, A828)&gt;1, "DUPLICATE_FLAGGED_FOR_REVIEW", "")</f>
        <v/>
      </c>
      <c r="D828" s="3">
        <v>45879</v>
      </c>
      <c r="E828" s="2">
        <v>45883</v>
      </c>
      <c r="F828" s="2" t="str">
        <f t="shared" si="157"/>
        <v>OK</v>
      </c>
      <c r="G828" s="4">
        <f t="shared" si="158"/>
        <v>4</v>
      </c>
      <c r="H828" t="s">
        <v>2549</v>
      </c>
      <c r="I828" t="s">
        <v>89</v>
      </c>
      <c r="J828" t="s">
        <v>24</v>
      </c>
      <c r="K828" t="s">
        <v>63</v>
      </c>
      <c r="L828" t="str">
        <f t="shared" si="159"/>
        <v>West</v>
      </c>
      <c r="M828" t="s">
        <v>26</v>
      </c>
      <c r="N828" t="s">
        <v>109</v>
      </c>
      <c r="O828" t="s">
        <v>74</v>
      </c>
      <c r="P828" t="s">
        <v>75</v>
      </c>
      <c r="Q828" t="s">
        <v>2550</v>
      </c>
      <c r="R828" t="s">
        <v>59</v>
      </c>
      <c r="S828" t="str">
        <f t="shared" si="160"/>
        <v>Standard Class</v>
      </c>
      <c r="T828">
        <v>5</v>
      </c>
      <c r="U828">
        <v>2190.14</v>
      </c>
      <c r="V828">
        <v>0.25</v>
      </c>
      <c r="W828">
        <f t="shared" si="161"/>
        <v>0.25</v>
      </c>
      <c r="X828" t="str">
        <f t="shared" si="162"/>
        <v/>
      </c>
      <c r="Y828">
        <v>8213.02</v>
      </c>
      <c r="Z828">
        <f t="shared" si="163"/>
        <v>8213.0249999999996</v>
      </c>
      <c r="AA828">
        <v>5569.3</v>
      </c>
      <c r="AB828">
        <v>2643.72</v>
      </c>
      <c r="AC828">
        <f t="shared" si="164"/>
        <v>6022.8850000000002</v>
      </c>
      <c r="AD828" s="6">
        <f t="shared" si="165"/>
        <v>0.73333333333333339</v>
      </c>
      <c r="AE828" t="s">
        <v>32</v>
      </c>
      <c r="AF828" t="s">
        <v>33</v>
      </c>
      <c r="AG828">
        <f t="shared" si="166"/>
        <v>8</v>
      </c>
      <c r="AH828">
        <f t="shared" si="167"/>
        <v>2025</v>
      </c>
      <c r="AI828" t="str">
        <f t="shared" si="168"/>
        <v>CLEAN</v>
      </c>
    </row>
    <row r="829" spans="1:35">
      <c r="A829" t="s">
        <v>2551</v>
      </c>
      <c r="B829">
        <f t="shared" si="156"/>
        <v>1</v>
      </c>
      <c r="C829" t="str">
        <f>IF(COUNTIF($A$2:A829, A829)&gt;1, "DUPLICATE_FLAGGED_FOR_REVIEW", "")</f>
        <v/>
      </c>
      <c r="D829" s="3">
        <v>45620</v>
      </c>
      <c r="E829" s="2">
        <v>45627</v>
      </c>
      <c r="F829" s="2" t="str">
        <f t="shared" si="157"/>
        <v>OK</v>
      </c>
      <c r="G829" s="4">
        <f t="shared" si="158"/>
        <v>7</v>
      </c>
      <c r="H829" t="s">
        <v>2552</v>
      </c>
      <c r="I829" t="s">
        <v>114</v>
      </c>
      <c r="J829" t="s">
        <v>95</v>
      </c>
      <c r="K829" t="s">
        <v>54</v>
      </c>
      <c r="L829" t="str">
        <f t="shared" si="159"/>
        <v>South</v>
      </c>
      <c r="M829" t="s">
        <v>247</v>
      </c>
      <c r="N829" t="s">
        <v>248</v>
      </c>
      <c r="O829" t="s">
        <v>28</v>
      </c>
      <c r="P829" t="s">
        <v>29</v>
      </c>
      <c r="Q829" t="s">
        <v>2553</v>
      </c>
      <c r="R829" t="s">
        <v>44</v>
      </c>
      <c r="S829" t="str">
        <f t="shared" si="160"/>
        <v>Same Day</v>
      </c>
      <c r="T829">
        <v>1</v>
      </c>
      <c r="U829">
        <v>844.89</v>
      </c>
      <c r="V829">
        <v>0.25</v>
      </c>
      <c r="W829">
        <f t="shared" si="161"/>
        <v>0.25</v>
      </c>
      <c r="X829" t="str">
        <f t="shared" si="162"/>
        <v/>
      </c>
      <c r="Y829">
        <v>633.66999999999996</v>
      </c>
      <c r="Z829">
        <f t="shared" si="163"/>
        <v>633.66750000000002</v>
      </c>
      <c r="AA829">
        <v>520.47</v>
      </c>
      <c r="AB829">
        <v>113.2</v>
      </c>
      <c r="AC829">
        <f t="shared" si="164"/>
        <v>-211.22249999999997</v>
      </c>
      <c r="AD829" s="6">
        <f t="shared" si="165"/>
        <v>-0.33333333333333326</v>
      </c>
      <c r="AE829" t="s">
        <v>32</v>
      </c>
      <c r="AF829" t="s">
        <v>68</v>
      </c>
      <c r="AG829">
        <f t="shared" si="166"/>
        <v>11</v>
      </c>
      <c r="AH829">
        <f t="shared" si="167"/>
        <v>2024</v>
      </c>
      <c r="AI829" t="str">
        <f t="shared" si="168"/>
        <v>CLEAN</v>
      </c>
    </row>
    <row r="830" spans="1:35">
      <c r="A830" t="s">
        <v>2554</v>
      </c>
      <c r="B830">
        <f t="shared" si="156"/>
        <v>1</v>
      </c>
      <c r="C830" t="str">
        <f>IF(COUNTIF($A$2:A830, A830)&gt;1, "DUPLICATE_FLAGGED_FOR_REVIEW", "")</f>
        <v/>
      </c>
      <c r="D830" s="3">
        <v>45940</v>
      </c>
      <c r="E830" s="2">
        <v>45941</v>
      </c>
      <c r="F830" s="2" t="str">
        <f t="shared" si="157"/>
        <v>OK</v>
      </c>
      <c r="G830" s="4">
        <f t="shared" si="158"/>
        <v>1</v>
      </c>
      <c r="H830" t="s">
        <v>2555</v>
      </c>
      <c r="I830" t="s">
        <v>23</v>
      </c>
      <c r="J830" t="s">
        <v>90</v>
      </c>
      <c r="K830" t="s">
        <v>38</v>
      </c>
      <c r="L830" t="str">
        <f t="shared" si="159"/>
        <v>East</v>
      </c>
      <c r="M830" t="s">
        <v>39</v>
      </c>
      <c r="N830" t="s">
        <v>40</v>
      </c>
      <c r="O830" t="s">
        <v>41</v>
      </c>
      <c r="P830" t="s">
        <v>66</v>
      </c>
      <c r="Q830" t="s">
        <v>2556</v>
      </c>
      <c r="R830" t="s">
        <v>31</v>
      </c>
      <c r="S830" t="str">
        <f t="shared" si="160"/>
        <v>Second Class</v>
      </c>
      <c r="T830">
        <v>7</v>
      </c>
      <c r="U830">
        <v>3791.96</v>
      </c>
      <c r="V830">
        <v>0.05</v>
      </c>
      <c r="W830">
        <f t="shared" si="161"/>
        <v>0.05</v>
      </c>
      <c r="X830" t="str">
        <f t="shared" si="162"/>
        <v/>
      </c>
      <c r="Y830">
        <v>25216.53</v>
      </c>
      <c r="Z830">
        <f t="shared" si="163"/>
        <v>25216.534</v>
      </c>
      <c r="AA830">
        <v>14216.94</v>
      </c>
      <c r="AB830">
        <v>10999.59</v>
      </c>
      <c r="AC830">
        <f t="shared" si="164"/>
        <v>21424.574000000001</v>
      </c>
      <c r="AD830" s="6">
        <f t="shared" si="165"/>
        <v>0.84962406015037595</v>
      </c>
      <c r="AE830" t="s">
        <v>155</v>
      </c>
      <c r="AF830" t="s">
        <v>68</v>
      </c>
      <c r="AG830">
        <f t="shared" si="166"/>
        <v>10</v>
      </c>
      <c r="AH830">
        <f t="shared" si="167"/>
        <v>2025</v>
      </c>
      <c r="AI830" t="str">
        <f t="shared" si="168"/>
        <v>CLEAN</v>
      </c>
    </row>
    <row r="831" spans="1:35">
      <c r="A831" t="s">
        <v>2557</v>
      </c>
      <c r="B831">
        <f t="shared" si="156"/>
        <v>1</v>
      </c>
      <c r="C831" t="str">
        <f>IF(COUNTIF($A$2:A831, A831)&gt;1, "DUPLICATE_FLAGGED_FOR_REVIEW", "")</f>
        <v/>
      </c>
      <c r="D831" s="3">
        <v>45348</v>
      </c>
      <c r="E831" s="2">
        <v>45350</v>
      </c>
      <c r="F831" s="2" t="str">
        <f t="shared" si="157"/>
        <v>OK</v>
      </c>
      <c r="G831" s="4">
        <f t="shared" si="158"/>
        <v>2</v>
      </c>
      <c r="H831" t="s">
        <v>2558</v>
      </c>
      <c r="I831" t="s">
        <v>89</v>
      </c>
      <c r="J831" t="s">
        <v>37</v>
      </c>
      <c r="K831" t="s">
        <v>63</v>
      </c>
      <c r="L831" t="str">
        <f t="shared" si="159"/>
        <v>West</v>
      </c>
      <c r="M831" t="s">
        <v>190</v>
      </c>
      <c r="N831" t="s">
        <v>191</v>
      </c>
      <c r="O831" t="s">
        <v>41</v>
      </c>
      <c r="P831" t="s">
        <v>57</v>
      </c>
      <c r="Q831" t="s">
        <v>2559</v>
      </c>
      <c r="R831" t="s">
        <v>31</v>
      </c>
      <c r="S831" t="str">
        <f t="shared" si="160"/>
        <v>Second Class</v>
      </c>
      <c r="T831">
        <v>7</v>
      </c>
      <c r="U831">
        <v>1035.1400000000001</v>
      </c>
      <c r="V831">
        <v>0.1</v>
      </c>
      <c r="W831">
        <f t="shared" si="161"/>
        <v>0.1</v>
      </c>
      <c r="X831" t="str">
        <f t="shared" si="162"/>
        <v/>
      </c>
      <c r="Y831">
        <v>6521.38</v>
      </c>
      <c r="Z831">
        <f t="shared" si="163"/>
        <v>6521.3820000000005</v>
      </c>
      <c r="AA831">
        <v>4511.1000000000004</v>
      </c>
      <c r="AB831">
        <v>2010.28</v>
      </c>
      <c r="AC831">
        <f t="shared" si="164"/>
        <v>5486.2420000000002</v>
      </c>
      <c r="AD831" s="6">
        <f t="shared" si="165"/>
        <v>0.84126984126984128</v>
      </c>
      <c r="AE831" t="s">
        <v>32</v>
      </c>
      <c r="AF831" t="s">
        <v>33</v>
      </c>
      <c r="AG831">
        <f t="shared" si="166"/>
        <v>2</v>
      </c>
      <c r="AH831">
        <f t="shared" si="167"/>
        <v>2024</v>
      </c>
      <c r="AI831" t="str">
        <f t="shared" si="168"/>
        <v>CLEAN</v>
      </c>
    </row>
    <row r="832" spans="1:35">
      <c r="A832" t="s">
        <v>2560</v>
      </c>
      <c r="B832">
        <f t="shared" si="156"/>
        <v>1</v>
      </c>
      <c r="C832" t="str">
        <f>IF(COUNTIF($A$2:A832, A832)&gt;1, "DUPLICATE_FLAGGED_FOR_REVIEW", "")</f>
        <v/>
      </c>
      <c r="D832" s="3">
        <v>45853</v>
      </c>
      <c r="E832" s="2">
        <v>45856</v>
      </c>
      <c r="F832" s="2" t="str">
        <f t="shared" si="157"/>
        <v>OK</v>
      </c>
      <c r="G832" s="4">
        <f t="shared" si="158"/>
        <v>3</v>
      </c>
      <c r="H832" t="s">
        <v>2561</v>
      </c>
      <c r="I832" t="s">
        <v>89</v>
      </c>
      <c r="J832" t="s">
        <v>37</v>
      </c>
      <c r="K832" t="s">
        <v>2760</v>
      </c>
      <c r="L832" t="str">
        <f t="shared" si="159"/>
        <v>Unknown</v>
      </c>
      <c r="M832" t="s">
        <v>247</v>
      </c>
      <c r="N832" t="s">
        <v>248</v>
      </c>
      <c r="O832" t="s">
        <v>74</v>
      </c>
      <c r="P832" t="s">
        <v>274</v>
      </c>
      <c r="Q832" t="s">
        <v>2562</v>
      </c>
      <c r="R832" t="s">
        <v>50</v>
      </c>
      <c r="S832" t="str">
        <f t="shared" si="160"/>
        <v>First Class</v>
      </c>
      <c r="T832">
        <v>6</v>
      </c>
      <c r="U832">
        <v>2382.88</v>
      </c>
      <c r="V832">
        <v>0.1</v>
      </c>
      <c r="W832">
        <f t="shared" si="161"/>
        <v>0.1</v>
      </c>
      <c r="X832" t="str">
        <f t="shared" si="162"/>
        <v/>
      </c>
      <c r="Y832">
        <v>12867.55</v>
      </c>
      <c r="Z832">
        <f t="shared" si="163"/>
        <v>12867.552000000001</v>
      </c>
      <c r="AA832">
        <v>10068.94</v>
      </c>
      <c r="AB832">
        <v>2798.61</v>
      </c>
      <c r="AC832">
        <f t="shared" si="164"/>
        <v>10484.672000000002</v>
      </c>
      <c r="AD832" s="6">
        <f t="shared" si="165"/>
        <v>0.81481481481481488</v>
      </c>
      <c r="AE832" t="s">
        <v>32</v>
      </c>
      <c r="AF832" t="s">
        <v>33</v>
      </c>
      <c r="AG832">
        <f t="shared" si="166"/>
        <v>7</v>
      </c>
      <c r="AH832">
        <f t="shared" si="167"/>
        <v>2025</v>
      </c>
      <c r="AI832" t="str">
        <f t="shared" si="168"/>
        <v>WARNING</v>
      </c>
    </row>
    <row r="833" spans="1:35">
      <c r="A833" t="s">
        <v>2563</v>
      </c>
      <c r="B833">
        <f t="shared" si="156"/>
        <v>1</v>
      </c>
      <c r="C833" t="str">
        <f>IF(COUNTIF($A$2:A833, A833)&gt;1, "DUPLICATE_FLAGGED_FOR_REVIEW", "")</f>
        <v/>
      </c>
      <c r="D833" s="3">
        <v>45720</v>
      </c>
      <c r="E833" s="2">
        <v>45750</v>
      </c>
      <c r="F833" s="2" t="str">
        <f t="shared" si="157"/>
        <v>OK</v>
      </c>
      <c r="G833" s="4">
        <f t="shared" si="158"/>
        <v>30</v>
      </c>
      <c r="H833" t="s">
        <v>2564</v>
      </c>
      <c r="I833" t="s">
        <v>162</v>
      </c>
      <c r="J833" t="s">
        <v>95</v>
      </c>
      <c r="K833" t="s">
        <v>2760</v>
      </c>
      <c r="L833" t="str">
        <f t="shared" si="159"/>
        <v>Unknown</v>
      </c>
      <c r="M833" t="s">
        <v>236</v>
      </c>
      <c r="N833" t="s">
        <v>237</v>
      </c>
      <c r="O833" t="s">
        <v>41</v>
      </c>
      <c r="P833" t="s">
        <v>66</v>
      </c>
      <c r="Q833" t="s">
        <v>2565</v>
      </c>
      <c r="R833" t="s">
        <v>50</v>
      </c>
      <c r="S833" t="str">
        <f t="shared" si="160"/>
        <v>First Class</v>
      </c>
      <c r="T833">
        <v>9</v>
      </c>
      <c r="U833">
        <v>3462.7</v>
      </c>
      <c r="V833">
        <v>0.15</v>
      </c>
      <c r="W833">
        <f t="shared" si="161"/>
        <v>0.15</v>
      </c>
      <c r="X833" t="str">
        <f t="shared" si="162"/>
        <v/>
      </c>
      <c r="Y833">
        <v>26489.65</v>
      </c>
      <c r="Z833">
        <f t="shared" si="163"/>
        <v>26489.654999999999</v>
      </c>
      <c r="AA833">
        <v>15818.46</v>
      </c>
      <c r="AB833">
        <v>10671.19</v>
      </c>
      <c r="AC833">
        <f t="shared" si="164"/>
        <v>23026.954999999998</v>
      </c>
      <c r="AD833" s="6">
        <f t="shared" si="165"/>
        <v>0.86928104575163401</v>
      </c>
      <c r="AE833" t="s">
        <v>155</v>
      </c>
      <c r="AF833" t="s">
        <v>103</v>
      </c>
      <c r="AG833">
        <f t="shared" si="166"/>
        <v>3</v>
      </c>
      <c r="AH833">
        <f t="shared" si="167"/>
        <v>2025</v>
      </c>
      <c r="AI833" t="str">
        <f t="shared" si="168"/>
        <v>WARNING</v>
      </c>
    </row>
    <row r="834" spans="1:35">
      <c r="A834" t="s">
        <v>2566</v>
      </c>
      <c r="B834">
        <f t="shared" si="156"/>
        <v>1</v>
      </c>
      <c r="C834" t="str">
        <f>IF(COUNTIF($A$2:A834, A834)&gt;1, "DUPLICATE_FLAGGED_FOR_REVIEW", "")</f>
        <v/>
      </c>
      <c r="D834" s="3">
        <v>45803</v>
      </c>
      <c r="E834" s="2">
        <v>45805</v>
      </c>
      <c r="F834" s="2" t="str">
        <f t="shared" si="157"/>
        <v>OK</v>
      </c>
      <c r="G834" s="4">
        <f t="shared" si="158"/>
        <v>2</v>
      </c>
      <c r="H834" t="s">
        <v>2567</v>
      </c>
      <c r="I834" t="s">
        <v>264</v>
      </c>
      <c r="J834" t="s">
        <v>37</v>
      </c>
      <c r="K834" t="s">
        <v>54</v>
      </c>
      <c r="L834" t="str">
        <f t="shared" si="159"/>
        <v>South</v>
      </c>
      <c r="M834" t="s">
        <v>84</v>
      </c>
      <c r="N834" t="s">
        <v>85</v>
      </c>
      <c r="O834" t="s">
        <v>74</v>
      </c>
      <c r="P834" t="s">
        <v>171</v>
      </c>
      <c r="Q834" t="s">
        <v>2568</v>
      </c>
      <c r="R834" t="s">
        <v>31</v>
      </c>
      <c r="S834" t="str">
        <f t="shared" si="160"/>
        <v>Second Class</v>
      </c>
      <c r="T834">
        <v>9</v>
      </c>
      <c r="U834">
        <v>4302.0200000000004</v>
      </c>
      <c r="V834">
        <v>0.05</v>
      </c>
      <c r="W834">
        <f t="shared" si="161"/>
        <v>0.05</v>
      </c>
      <c r="X834" t="str">
        <f t="shared" si="162"/>
        <v/>
      </c>
      <c r="Y834">
        <v>36782.269999999997</v>
      </c>
      <c r="Z834">
        <f t="shared" si="163"/>
        <v>36782.271000000008</v>
      </c>
      <c r="AA834">
        <v>25902.81</v>
      </c>
      <c r="AB834">
        <v>10879.46</v>
      </c>
      <c r="AC834">
        <f t="shared" si="164"/>
        <v>32480.251000000007</v>
      </c>
      <c r="AD834" s="6">
        <f t="shared" si="165"/>
        <v>0.88304093567251463</v>
      </c>
      <c r="AE834" t="s">
        <v>32</v>
      </c>
      <c r="AF834" t="s">
        <v>33</v>
      </c>
      <c r="AG834">
        <f t="shared" si="166"/>
        <v>5</v>
      </c>
      <c r="AH834">
        <f t="shared" si="167"/>
        <v>2025</v>
      </c>
      <c r="AI834" t="str">
        <f t="shared" si="168"/>
        <v>CLEAN</v>
      </c>
    </row>
    <row r="835" spans="1:35">
      <c r="A835" t="s">
        <v>2569</v>
      </c>
      <c r="B835">
        <f t="shared" ref="B835:B898" si="169">COUNTIF($A$2:$A$932, A835)</f>
        <v>1</v>
      </c>
      <c r="C835" t="str">
        <f>IF(COUNTIF($A$2:A835, A835)&gt;1, "DUPLICATE_FLAGGED_FOR_REVIEW", "")</f>
        <v/>
      </c>
      <c r="D835" s="3">
        <v>45447</v>
      </c>
      <c r="E835" s="2">
        <v>45388</v>
      </c>
      <c r="F835" s="2" t="str">
        <f t="shared" ref="F835:F898" si="170">IF(E835&lt;D835, "ERROR: Ship before order", "OK")</f>
        <v>ERROR: Ship before order</v>
      </c>
      <c r="G835" s="4">
        <f t="shared" ref="G835:G898" si="171">IF(AND(ISNUMBER(E835),ISNUMBER(D835)), E835-D835, "")</f>
        <v>-59</v>
      </c>
      <c r="H835" t="s">
        <v>2570</v>
      </c>
      <c r="I835" t="s">
        <v>118</v>
      </c>
      <c r="J835" t="s">
        <v>95</v>
      </c>
      <c r="K835" t="s">
        <v>38</v>
      </c>
      <c r="L835" t="str">
        <f t="shared" ref="L835:L898" si="172">IF(OR(K835="",ISBLANK(K835)), "Unknown", K835)</f>
        <v>East</v>
      </c>
      <c r="M835" t="s">
        <v>99</v>
      </c>
      <c r="N835" t="s">
        <v>100</v>
      </c>
      <c r="O835" t="s">
        <v>41</v>
      </c>
      <c r="P835" t="s">
        <v>158</v>
      </c>
      <c r="Q835" t="s">
        <v>2571</v>
      </c>
      <c r="R835" t="s">
        <v>50</v>
      </c>
      <c r="S835" t="str">
        <f t="shared" ref="S835:S898" si="173">IF(OR(R835="",ISBLANK(R835)), "Unknown", R835)</f>
        <v>First Class</v>
      </c>
      <c r="T835">
        <v>6</v>
      </c>
      <c r="U835">
        <v>3949.4</v>
      </c>
      <c r="V835">
        <v>0</v>
      </c>
      <c r="W835">
        <f t="shared" ref="W835:W898" si="174">IF(ISBLANK(V835), IF(AND(ISNUMBER(T835), ISNUMBER(U835)), 0, ""), IF(V835&lt;0, V835, IF(V835&gt;0.5, V835, V835)))</f>
        <v>0</v>
      </c>
      <c r="X835" t="str">
        <f t="shared" ref="X835:X898" si="175">IF(V835&lt;0,"INVALID_NEGATIVE_DISCOUNT",IF(V835&gt;0.5,"INVALID_DISCOUNT_ABOVE_50PCT",IF(AND(ISBLANK(V835), ISNUMBER(T835), ISNUMBER(U835)),"DISCOUNT_MISSING_SET_TO_0","")))</f>
        <v/>
      </c>
      <c r="Y835">
        <v>23696.400000000001</v>
      </c>
      <c r="Z835">
        <f t="shared" ref="Z835:Z898" si="176">T835 * U835 * (1 - W835)</f>
        <v>23696.400000000001</v>
      </c>
      <c r="AA835">
        <v>18109.77</v>
      </c>
      <c r="AB835">
        <v>5586.63</v>
      </c>
      <c r="AC835">
        <f t="shared" ref="AC835:AC898" si="177">Z835-U835</f>
        <v>19747</v>
      </c>
      <c r="AD835" s="6">
        <f t="shared" ref="AD835:AD898" si="178">IF(Z835&lt;&gt;0, AC835 / Z835, 0)</f>
        <v>0.83333333333333326</v>
      </c>
      <c r="AE835" t="s">
        <v>32</v>
      </c>
      <c r="AF835" t="s">
        <v>33</v>
      </c>
      <c r="AG835">
        <f t="shared" ref="AG835:AG898" si="179">MONTH(D835)</f>
        <v>6</v>
      </c>
      <c r="AH835">
        <f t="shared" ref="AH835:AH898" si="180">YEAR(D835)</f>
        <v>2024</v>
      </c>
      <c r="AI835" t="str">
        <f t="shared" ref="AI835:AI898" si="181">IF(OR(X835="INVALID_NEGATIVE_DISCOUNT",X835="INVALID_DISCOUNT_ABOVE_50PCT",F835="ERROR: Ship before order"),"INVALID",IF(OR(L835="Unknown",S835="Unknown",X835="DISCOUNT_MISSING_SET_TO_0"),"WARNING","CLEAN"))</f>
        <v>INVALID</v>
      </c>
    </row>
    <row r="836" spans="1:35">
      <c r="A836" t="s">
        <v>2572</v>
      </c>
      <c r="B836">
        <f t="shared" si="169"/>
        <v>1</v>
      </c>
      <c r="C836" t="str">
        <f>IF(COUNTIF($A$2:A836, A836)&gt;1, "DUPLICATE_FLAGGED_FOR_REVIEW", "")</f>
        <v/>
      </c>
      <c r="D836" s="3">
        <v>45583</v>
      </c>
      <c r="E836" s="2">
        <v>45587</v>
      </c>
      <c r="F836" s="2" t="str">
        <f t="shared" si="170"/>
        <v>OK</v>
      </c>
      <c r="G836" s="4">
        <f t="shared" si="171"/>
        <v>4</v>
      </c>
      <c r="H836" t="s">
        <v>2573</v>
      </c>
      <c r="I836" t="s">
        <v>128</v>
      </c>
      <c r="J836" t="s">
        <v>95</v>
      </c>
      <c r="K836" t="s">
        <v>54</v>
      </c>
      <c r="L836" t="str">
        <f t="shared" si="172"/>
        <v>South</v>
      </c>
      <c r="M836" t="s">
        <v>55</v>
      </c>
      <c r="N836" t="s">
        <v>56</v>
      </c>
      <c r="O836" t="s">
        <v>28</v>
      </c>
      <c r="P836" t="s">
        <v>48</v>
      </c>
      <c r="Q836" t="s">
        <v>2574</v>
      </c>
      <c r="R836" t="s">
        <v>50</v>
      </c>
      <c r="S836" t="str">
        <f t="shared" si="173"/>
        <v>First Class</v>
      </c>
      <c r="T836">
        <v>6</v>
      </c>
      <c r="U836">
        <v>674.61</v>
      </c>
      <c r="V836">
        <v>0</v>
      </c>
      <c r="W836">
        <f t="shared" si="174"/>
        <v>0</v>
      </c>
      <c r="X836" t="str">
        <f t="shared" si="175"/>
        <v/>
      </c>
      <c r="Y836">
        <v>4047.66</v>
      </c>
      <c r="Z836">
        <f t="shared" si="176"/>
        <v>4047.66</v>
      </c>
      <c r="AA836">
        <v>3078.93</v>
      </c>
      <c r="AB836">
        <v>1279.79</v>
      </c>
      <c r="AC836">
        <f t="shared" si="177"/>
        <v>3373.0499999999997</v>
      </c>
      <c r="AD836" s="6">
        <f t="shared" si="178"/>
        <v>0.83333333333333326</v>
      </c>
      <c r="AE836" t="s">
        <v>32</v>
      </c>
      <c r="AF836" t="s">
        <v>33</v>
      </c>
      <c r="AG836">
        <f t="shared" si="179"/>
        <v>10</v>
      </c>
      <c r="AH836">
        <f t="shared" si="180"/>
        <v>2024</v>
      </c>
      <c r="AI836" t="str">
        <f t="shared" si="181"/>
        <v>CLEAN</v>
      </c>
    </row>
    <row r="837" spans="1:35">
      <c r="A837" t="s">
        <v>2575</v>
      </c>
      <c r="B837">
        <f t="shared" si="169"/>
        <v>1</v>
      </c>
      <c r="C837" t="str">
        <f>IF(COUNTIF($A$2:A837, A837)&gt;1, "DUPLICATE_FLAGGED_FOR_REVIEW", "")</f>
        <v/>
      </c>
      <c r="D837" s="3">
        <v>45926</v>
      </c>
      <c r="E837" s="2">
        <v>45934</v>
      </c>
      <c r="F837" s="2" t="str">
        <f t="shared" si="170"/>
        <v>OK</v>
      </c>
      <c r="G837" s="4">
        <f t="shared" si="171"/>
        <v>8</v>
      </c>
      <c r="H837" t="s">
        <v>2576</v>
      </c>
      <c r="I837" t="s">
        <v>114</v>
      </c>
      <c r="J837" t="s">
        <v>37</v>
      </c>
      <c r="K837" t="s">
        <v>38</v>
      </c>
      <c r="L837" t="str">
        <f t="shared" si="172"/>
        <v>East</v>
      </c>
      <c r="M837" t="s">
        <v>166</v>
      </c>
      <c r="N837" t="s">
        <v>167</v>
      </c>
      <c r="O837" t="s">
        <v>74</v>
      </c>
      <c r="P837" t="s">
        <v>171</v>
      </c>
      <c r="Q837" t="s">
        <v>2577</v>
      </c>
      <c r="R837" t="s">
        <v>31</v>
      </c>
      <c r="S837" t="str">
        <f t="shared" si="173"/>
        <v>Second Class</v>
      </c>
      <c r="T837">
        <v>7</v>
      </c>
      <c r="U837">
        <v>1509.59</v>
      </c>
      <c r="V837">
        <v>0.05</v>
      </c>
      <c r="W837">
        <f t="shared" si="174"/>
        <v>0.05</v>
      </c>
      <c r="X837" t="str">
        <f t="shared" si="175"/>
        <v/>
      </c>
      <c r="Y837">
        <v>10038.77</v>
      </c>
      <c r="Z837">
        <f t="shared" si="176"/>
        <v>10038.773499999999</v>
      </c>
      <c r="AA837">
        <v>5673.1</v>
      </c>
      <c r="AB837">
        <v>4365.67</v>
      </c>
      <c r="AC837">
        <f t="shared" si="177"/>
        <v>8529.1834999999992</v>
      </c>
      <c r="AD837" s="6">
        <f t="shared" si="178"/>
        <v>0.84962406015037595</v>
      </c>
      <c r="AE837" t="s">
        <v>32</v>
      </c>
      <c r="AF837" t="s">
        <v>33</v>
      </c>
      <c r="AG837">
        <f t="shared" si="179"/>
        <v>9</v>
      </c>
      <c r="AH837">
        <f t="shared" si="180"/>
        <v>2025</v>
      </c>
      <c r="AI837" t="str">
        <f t="shared" si="181"/>
        <v>CLEAN</v>
      </c>
    </row>
    <row r="838" spans="1:35">
      <c r="A838" t="s">
        <v>2578</v>
      </c>
      <c r="B838">
        <f t="shared" si="169"/>
        <v>1</v>
      </c>
      <c r="C838" t="str">
        <f>IF(COUNTIF($A$2:A838, A838)&gt;1, "DUPLICATE_FLAGGED_FOR_REVIEW", "")</f>
        <v/>
      </c>
      <c r="D838" s="3">
        <v>45641</v>
      </c>
      <c r="E838" s="2">
        <v>45644</v>
      </c>
      <c r="F838" s="2" t="str">
        <f t="shared" si="170"/>
        <v>OK</v>
      </c>
      <c r="G838" s="4">
        <f t="shared" si="171"/>
        <v>3</v>
      </c>
      <c r="H838" t="s">
        <v>2579</v>
      </c>
      <c r="I838" t="s">
        <v>47</v>
      </c>
      <c r="J838" t="s">
        <v>37</v>
      </c>
      <c r="K838" t="s">
        <v>25</v>
      </c>
      <c r="L838" t="str">
        <f t="shared" si="172"/>
        <v>North</v>
      </c>
      <c r="M838" t="s">
        <v>26</v>
      </c>
      <c r="N838" t="s">
        <v>27</v>
      </c>
      <c r="O838" t="s">
        <v>28</v>
      </c>
      <c r="P838" t="s">
        <v>91</v>
      </c>
      <c r="Q838" t="s">
        <v>2580</v>
      </c>
      <c r="R838" t="s">
        <v>31</v>
      </c>
      <c r="S838" t="str">
        <f t="shared" si="173"/>
        <v>Second Class</v>
      </c>
      <c r="T838">
        <v>2</v>
      </c>
      <c r="U838">
        <v>537.11</v>
      </c>
      <c r="V838">
        <v>0</v>
      </c>
      <c r="W838">
        <f t="shared" si="174"/>
        <v>0</v>
      </c>
      <c r="X838" t="str">
        <f t="shared" si="175"/>
        <v/>
      </c>
      <c r="Y838">
        <v>1074.22</v>
      </c>
      <c r="Z838">
        <f t="shared" si="176"/>
        <v>1074.22</v>
      </c>
      <c r="AA838">
        <v>850.86</v>
      </c>
      <c r="AB838">
        <v>223.36</v>
      </c>
      <c r="AC838">
        <f t="shared" si="177"/>
        <v>537.11</v>
      </c>
      <c r="AD838" s="6">
        <f t="shared" si="178"/>
        <v>0.5</v>
      </c>
      <c r="AE838" t="s">
        <v>32</v>
      </c>
      <c r="AF838" t="s">
        <v>33</v>
      </c>
      <c r="AG838">
        <f t="shared" si="179"/>
        <v>12</v>
      </c>
      <c r="AH838">
        <f t="shared" si="180"/>
        <v>2024</v>
      </c>
      <c r="AI838" t="str">
        <f t="shared" si="181"/>
        <v>CLEAN</v>
      </c>
    </row>
    <row r="839" spans="1:35">
      <c r="A839" t="s">
        <v>2581</v>
      </c>
      <c r="B839">
        <f t="shared" si="169"/>
        <v>1</v>
      </c>
      <c r="C839" t="str">
        <f>IF(COUNTIF($A$2:A839, A839)&gt;1, "DUPLICATE_FLAGGED_FOR_REVIEW", "")</f>
        <v/>
      </c>
      <c r="D839" s="3">
        <v>45927</v>
      </c>
      <c r="E839" s="2">
        <v>45928</v>
      </c>
      <c r="F839" s="2" t="str">
        <f t="shared" si="170"/>
        <v>OK</v>
      </c>
      <c r="G839" s="4">
        <f t="shared" si="171"/>
        <v>1</v>
      </c>
      <c r="H839" t="s">
        <v>2582</v>
      </c>
      <c r="I839" t="s">
        <v>23</v>
      </c>
      <c r="J839" t="s">
        <v>95</v>
      </c>
      <c r="K839" t="s">
        <v>63</v>
      </c>
      <c r="L839" t="str">
        <f t="shared" si="172"/>
        <v>West</v>
      </c>
      <c r="M839" t="s">
        <v>64</v>
      </c>
      <c r="N839" t="s">
        <v>65</v>
      </c>
      <c r="O839" t="s">
        <v>28</v>
      </c>
      <c r="P839" t="s">
        <v>29</v>
      </c>
      <c r="Q839" t="s">
        <v>2583</v>
      </c>
      <c r="R839" t="s">
        <v>50</v>
      </c>
      <c r="S839" t="str">
        <f t="shared" si="173"/>
        <v>First Class</v>
      </c>
      <c r="T839">
        <v>3</v>
      </c>
      <c r="U839">
        <v>4177.63</v>
      </c>
      <c r="V839">
        <v>0.25</v>
      </c>
      <c r="W839">
        <f t="shared" si="174"/>
        <v>0.25</v>
      </c>
      <c r="X839" t="str">
        <f t="shared" si="175"/>
        <v/>
      </c>
      <c r="Y839">
        <v>9399.67</v>
      </c>
      <c r="Z839">
        <f t="shared" si="176"/>
        <v>9399.6674999999996</v>
      </c>
      <c r="AA839">
        <v>6540.37</v>
      </c>
      <c r="AB839">
        <v>2859.3</v>
      </c>
      <c r="AC839">
        <f t="shared" si="177"/>
        <v>5222.0374999999995</v>
      </c>
      <c r="AD839" s="6">
        <f t="shared" si="178"/>
        <v>0.55555555555555547</v>
      </c>
      <c r="AE839" t="s">
        <v>32</v>
      </c>
      <c r="AF839" t="s">
        <v>33</v>
      </c>
      <c r="AG839">
        <f t="shared" si="179"/>
        <v>9</v>
      </c>
      <c r="AH839">
        <f t="shared" si="180"/>
        <v>2025</v>
      </c>
      <c r="AI839" t="str">
        <f t="shared" si="181"/>
        <v>CLEAN</v>
      </c>
    </row>
    <row r="840" spans="1:35">
      <c r="A840" t="s">
        <v>2584</v>
      </c>
      <c r="B840">
        <f t="shared" si="169"/>
        <v>1</v>
      </c>
      <c r="C840" t="str">
        <f>IF(COUNTIF($A$2:A840, A840)&gt;1, "DUPLICATE_FLAGGED_FOR_REVIEW", "")</f>
        <v/>
      </c>
      <c r="D840" s="3">
        <v>45720</v>
      </c>
      <c r="E840" s="2">
        <v>45754</v>
      </c>
      <c r="F840" s="2" t="str">
        <f t="shared" si="170"/>
        <v>OK</v>
      </c>
      <c r="G840" s="4">
        <f t="shared" si="171"/>
        <v>34</v>
      </c>
      <c r="H840" t="s">
        <v>2585</v>
      </c>
      <c r="I840" t="s">
        <v>62</v>
      </c>
      <c r="J840" t="s">
        <v>37</v>
      </c>
      <c r="K840" t="s">
        <v>63</v>
      </c>
      <c r="L840" t="str">
        <f t="shared" si="172"/>
        <v>West</v>
      </c>
      <c r="M840" t="s">
        <v>190</v>
      </c>
      <c r="N840" t="s">
        <v>191</v>
      </c>
      <c r="O840" t="s">
        <v>28</v>
      </c>
      <c r="P840" t="s">
        <v>29</v>
      </c>
      <c r="Q840" t="s">
        <v>2586</v>
      </c>
      <c r="R840" t="s">
        <v>44</v>
      </c>
      <c r="S840" t="str">
        <f t="shared" si="173"/>
        <v>Same Day</v>
      </c>
      <c r="T840">
        <v>1</v>
      </c>
      <c r="U840">
        <v>1470.57</v>
      </c>
      <c r="V840">
        <v>0</v>
      </c>
      <c r="W840">
        <f t="shared" si="174"/>
        <v>0</v>
      </c>
      <c r="X840" t="str">
        <f t="shared" si="175"/>
        <v/>
      </c>
      <c r="Y840">
        <v>1470.57</v>
      </c>
      <c r="Z840">
        <f t="shared" si="176"/>
        <v>1470.57</v>
      </c>
      <c r="AA840">
        <v>834.02</v>
      </c>
      <c r="AB840">
        <v>636.54999999999995</v>
      </c>
      <c r="AC840">
        <f t="shared" si="177"/>
        <v>0</v>
      </c>
      <c r="AD840" s="6">
        <f t="shared" si="178"/>
        <v>0</v>
      </c>
      <c r="AE840" t="s">
        <v>32</v>
      </c>
      <c r="AF840" t="s">
        <v>103</v>
      </c>
      <c r="AG840">
        <f t="shared" si="179"/>
        <v>3</v>
      </c>
      <c r="AH840">
        <f t="shared" si="180"/>
        <v>2025</v>
      </c>
      <c r="AI840" t="str">
        <f t="shared" si="181"/>
        <v>CLEAN</v>
      </c>
    </row>
    <row r="841" spans="1:35">
      <c r="A841" t="s">
        <v>2587</v>
      </c>
      <c r="B841">
        <f t="shared" si="169"/>
        <v>1</v>
      </c>
      <c r="C841" t="str">
        <f>IF(COUNTIF($A$2:A841, A841)&gt;1, "DUPLICATE_FLAGGED_FOR_REVIEW", "")</f>
        <v/>
      </c>
      <c r="D841" s="3">
        <v>45555</v>
      </c>
      <c r="E841" s="2">
        <v>45557</v>
      </c>
      <c r="F841" s="2" t="str">
        <f t="shared" si="170"/>
        <v>OK</v>
      </c>
      <c r="G841" s="4">
        <f t="shared" si="171"/>
        <v>2</v>
      </c>
      <c r="H841" t="s">
        <v>2588</v>
      </c>
      <c r="I841" t="s">
        <v>141</v>
      </c>
      <c r="J841" t="s">
        <v>95</v>
      </c>
      <c r="K841" t="s">
        <v>38</v>
      </c>
      <c r="L841" t="str">
        <f t="shared" si="172"/>
        <v>East</v>
      </c>
      <c r="M841" t="s">
        <v>39</v>
      </c>
      <c r="N841" t="s">
        <v>40</v>
      </c>
      <c r="O841" t="s">
        <v>74</v>
      </c>
      <c r="P841" t="s">
        <v>171</v>
      </c>
      <c r="Q841" t="s">
        <v>2589</v>
      </c>
      <c r="R841" t="s">
        <v>59</v>
      </c>
      <c r="S841" t="str">
        <f t="shared" si="173"/>
        <v>Standard Class</v>
      </c>
      <c r="T841">
        <v>8</v>
      </c>
      <c r="U841">
        <v>531.42999999999995</v>
      </c>
      <c r="V841">
        <v>0.1</v>
      </c>
      <c r="W841">
        <f t="shared" si="174"/>
        <v>0.1</v>
      </c>
      <c r="X841" t="str">
        <f t="shared" si="175"/>
        <v/>
      </c>
      <c r="Y841">
        <v>3826.3</v>
      </c>
      <c r="Z841">
        <f t="shared" si="176"/>
        <v>3826.2959999999998</v>
      </c>
      <c r="AA841">
        <v>2194.12</v>
      </c>
      <c r="AB841">
        <v>1632.18</v>
      </c>
      <c r="AC841">
        <f t="shared" si="177"/>
        <v>3294.866</v>
      </c>
      <c r="AD841" s="6">
        <f t="shared" si="178"/>
        <v>0.86111111111111116</v>
      </c>
      <c r="AE841" t="s">
        <v>32</v>
      </c>
      <c r="AF841" t="s">
        <v>33</v>
      </c>
      <c r="AG841">
        <f t="shared" si="179"/>
        <v>9</v>
      </c>
      <c r="AH841">
        <f t="shared" si="180"/>
        <v>2024</v>
      </c>
      <c r="AI841" t="str">
        <f t="shared" si="181"/>
        <v>CLEAN</v>
      </c>
    </row>
    <row r="842" spans="1:35">
      <c r="A842" t="s">
        <v>2590</v>
      </c>
      <c r="B842">
        <f t="shared" si="169"/>
        <v>1</v>
      </c>
      <c r="C842" t="str">
        <f>IF(COUNTIF($A$2:A842, A842)&gt;1, "DUPLICATE_FLAGGED_FOR_REVIEW", "")</f>
        <v/>
      </c>
      <c r="D842" s="3">
        <v>45919</v>
      </c>
      <c r="E842" s="2">
        <v>45919</v>
      </c>
      <c r="F842" s="2" t="str">
        <f t="shared" si="170"/>
        <v>OK</v>
      </c>
      <c r="G842" s="4">
        <f t="shared" si="171"/>
        <v>0</v>
      </c>
      <c r="H842" t="s">
        <v>2591</v>
      </c>
      <c r="I842" t="s">
        <v>79</v>
      </c>
      <c r="J842" t="s">
        <v>95</v>
      </c>
      <c r="K842" t="s">
        <v>25</v>
      </c>
      <c r="L842" t="str">
        <f t="shared" si="172"/>
        <v>North</v>
      </c>
      <c r="M842" t="s">
        <v>350</v>
      </c>
      <c r="N842" t="s">
        <v>351</v>
      </c>
      <c r="O842" t="s">
        <v>41</v>
      </c>
      <c r="P842" t="s">
        <v>66</v>
      </c>
      <c r="Q842" t="s">
        <v>2592</v>
      </c>
      <c r="R842" t="s">
        <v>44</v>
      </c>
      <c r="S842" t="str">
        <f t="shared" si="173"/>
        <v>Same Day</v>
      </c>
      <c r="T842">
        <v>4</v>
      </c>
      <c r="U842">
        <v>1584.11</v>
      </c>
      <c r="V842">
        <v>0</v>
      </c>
      <c r="W842">
        <f t="shared" si="174"/>
        <v>0</v>
      </c>
      <c r="X842" t="str">
        <f t="shared" si="175"/>
        <v/>
      </c>
      <c r="Y842">
        <v>6336.44</v>
      </c>
      <c r="Z842">
        <f t="shared" si="176"/>
        <v>6336.44</v>
      </c>
      <c r="AA842">
        <v>4680.68</v>
      </c>
      <c r="AB842">
        <v>1655.76</v>
      </c>
      <c r="AC842">
        <f t="shared" si="177"/>
        <v>4752.33</v>
      </c>
      <c r="AD842" s="6">
        <f t="shared" si="178"/>
        <v>0.75</v>
      </c>
      <c r="AE842" t="s">
        <v>32</v>
      </c>
      <c r="AF842" t="s">
        <v>33</v>
      </c>
      <c r="AG842">
        <f t="shared" si="179"/>
        <v>9</v>
      </c>
      <c r="AH842">
        <f t="shared" si="180"/>
        <v>2025</v>
      </c>
      <c r="AI842" t="str">
        <f t="shared" si="181"/>
        <v>CLEAN</v>
      </c>
    </row>
    <row r="843" spans="1:35">
      <c r="A843" t="s">
        <v>2593</v>
      </c>
      <c r="B843">
        <f t="shared" si="169"/>
        <v>1</v>
      </c>
      <c r="C843" t="str">
        <f>IF(COUNTIF($A$2:A843, A843)&gt;1, "DUPLICATE_FLAGGED_FOR_REVIEW", "")</f>
        <v/>
      </c>
      <c r="D843" s="3">
        <v>45694</v>
      </c>
      <c r="E843" s="2">
        <v>45700</v>
      </c>
      <c r="F843" s="2" t="str">
        <f t="shared" si="170"/>
        <v>OK</v>
      </c>
      <c r="G843" s="4">
        <f t="shared" si="171"/>
        <v>6</v>
      </c>
      <c r="H843" t="s">
        <v>2594</v>
      </c>
      <c r="I843" t="s">
        <v>62</v>
      </c>
      <c r="J843" t="s">
        <v>37</v>
      </c>
      <c r="K843" t="s">
        <v>38</v>
      </c>
      <c r="L843" t="str">
        <f t="shared" si="172"/>
        <v>East</v>
      </c>
      <c r="M843" t="s">
        <v>145</v>
      </c>
      <c r="N843" t="s">
        <v>146</v>
      </c>
      <c r="O843" t="s">
        <v>28</v>
      </c>
      <c r="P843" t="s">
        <v>48</v>
      </c>
      <c r="Q843" t="s">
        <v>2595</v>
      </c>
      <c r="R843" t="s">
        <v>59</v>
      </c>
      <c r="S843" t="str">
        <f t="shared" si="173"/>
        <v>Standard Class</v>
      </c>
      <c r="T843">
        <v>9</v>
      </c>
      <c r="U843">
        <v>3237.16</v>
      </c>
      <c r="V843">
        <v>0.25</v>
      </c>
      <c r="W843">
        <f t="shared" si="174"/>
        <v>0.25</v>
      </c>
      <c r="X843" t="str">
        <f t="shared" si="175"/>
        <v/>
      </c>
      <c r="Y843">
        <v>21850.83</v>
      </c>
      <c r="Z843">
        <f t="shared" si="176"/>
        <v>21850.829999999998</v>
      </c>
      <c r="AA843">
        <v>16600.13</v>
      </c>
      <c r="AB843">
        <v>5250.7</v>
      </c>
      <c r="AC843">
        <f t="shared" si="177"/>
        <v>18613.669999999998</v>
      </c>
      <c r="AD843" s="6">
        <f t="shared" si="178"/>
        <v>0.85185185185185186</v>
      </c>
      <c r="AE843" t="s">
        <v>32</v>
      </c>
      <c r="AF843" t="s">
        <v>33</v>
      </c>
      <c r="AG843">
        <f t="shared" si="179"/>
        <v>2</v>
      </c>
      <c r="AH843">
        <f t="shared" si="180"/>
        <v>2025</v>
      </c>
      <c r="AI843" t="str">
        <f t="shared" si="181"/>
        <v>CLEAN</v>
      </c>
    </row>
    <row r="844" spans="1:35">
      <c r="A844" t="s">
        <v>2596</v>
      </c>
      <c r="B844">
        <f t="shared" si="169"/>
        <v>1</v>
      </c>
      <c r="C844" t="str">
        <f>IF(COUNTIF($A$2:A844, A844)&gt;1, "DUPLICATE_FLAGGED_FOR_REVIEW", "")</f>
        <v/>
      </c>
      <c r="D844" s="3">
        <v>45382</v>
      </c>
      <c r="E844" s="2">
        <v>45381</v>
      </c>
      <c r="F844" s="2" t="str">
        <f t="shared" si="170"/>
        <v>ERROR: Ship before order</v>
      </c>
      <c r="G844" s="4">
        <f t="shared" si="171"/>
        <v>-1</v>
      </c>
      <c r="H844" t="s">
        <v>2597</v>
      </c>
      <c r="I844" t="s">
        <v>264</v>
      </c>
      <c r="J844" t="s">
        <v>24</v>
      </c>
      <c r="K844" t="s">
        <v>25</v>
      </c>
      <c r="L844" t="str">
        <f t="shared" si="172"/>
        <v>North</v>
      </c>
      <c r="M844" t="s">
        <v>236</v>
      </c>
      <c r="N844" t="s">
        <v>237</v>
      </c>
      <c r="O844" t="s">
        <v>74</v>
      </c>
      <c r="P844" t="s">
        <v>274</v>
      </c>
      <c r="Q844" t="s">
        <v>2598</v>
      </c>
      <c r="R844" t="s">
        <v>50</v>
      </c>
      <c r="S844" t="str">
        <f t="shared" si="173"/>
        <v>First Class</v>
      </c>
      <c r="T844">
        <v>4</v>
      </c>
      <c r="U844">
        <v>2192.08</v>
      </c>
      <c r="V844">
        <v>0.15</v>
      </c>
      <c r="W844">
        <f t="shared" si="174"/>
        <v>0.15</v>
      </c>
      <c r="X844" t="str">
        <f t="shared" si="175"/>
        <v/>
      </c>
      <c r="Y844">
        <v>7453.07</v>
      </c>
      <c r="Z844">
        <f t="shared" si="176"/>
        <v>7453.0719999999992</v>
      </c>
      <c r="AA844">
        <v>5133.78</v>
      </c>
      <c r="AB844">
        <v>2319.29</v>
      </c>
      <c r="AC844">
        <f t="shared" si="177"/>
        <v>5260.9919999999993</v>
      </c>
      <c r="AD844" s="6">
        <f t="shared" si="178"/>
        <v>0.70588235294117641</v>
      </c>
      <c r="AE844" t="s">
        <v>32</v>
      </c>
      <c r="AF844" t="s">
        <v>103</v>
      </c>
      <c r="AG844">
        <f t="shared" si="179"/>
        <v>3</v>
      </c>
      <c r="AH844">
        <f t="shared" si="180"/>
        <v>2024</v>
      </c>
      <c r="AI844" t="str">
        <f t="shared" si="181"/>
        <v>INVALID</v>
      </c>
    </row>
    <row r="845" spans="1:35">
      <c r="A845" t="s">
        <v>2599</v>
      </c>
      <c r="B845">
        <f t="shared" si="169"/>
        <v>1</v>
      </c>
      <c r="C845" t="str">
        <f>IF(COUNTIF($A$2:A845, A845)&gt;1, "DUPLICATE_FLAGGED_FOR_REVIEW", "")</f>
        <v/>
      </c>
      <c r="D845" s="3">
        <v>45856</v>
      </c>
      <c r="E845" s="2">
        <v>45863</v>
      </c>
      <c r="F845" s="2" t="str">
        <f t="shared" si="170"/>
        <v>OK</v>
      </c>
      <c r="G845" s="4">
        <f t="shared" si="171"/>
        <v>7</v>
      </c>
      <c r="H845" t="s">
        <v>2600</v>
      </c>
      <c r="I845" t="s">
        <v>114</v>
      </c>
      <c r="J845" t="s">
        <v>37</v>
      </c>
      <c r="K845" t="s">
        <v>25</v>
      </c>
      <c r="L845" t="str">
        <f t="shared" si="172"/>
        <v>North</v>
      </c>
      <c r="M845" t="s">
        <v>136</v>
      </c>
      <c r="N845" t="s">
        <v>137</v>
      </c>
      <c r="O845" t="s">
        <v>74</v>
      </c>
      <c r="P845" t="s">
        <v>171</v>
      </c>
      <c r="Q845" t="s">
        <v>2601</v>
      </c>
      <c r="R845" t="s">
        <v>50</v>
      </c>
      <c r="S845" t="str">
        <f t="shared" si="173"/>
        <v>First Class</v>
      </c>
      <c r="T845">
        <v>9</v>
      </c>
      <c r="U845">
        <v>3989.52</v>
      </c>
      <c r="V845">
        <v>-0.02</v>
      </c>
      <c r="W845">
        <f t="shared" si="174"/>
        <v>-0.02</v>
      </c>
      <c r="X845" t="str">
        <f t="shared" si="175"/>
        <v>INVALID_NEGATIVE_DISCOUNT</v>
      </c>
      <c r="Y845">
        <v>35905.68</v>
      </c>
      <c r="Z845">
        <f t="shared" si="176"/>
        <v>36623.793600000005</v>
      </c>
      <c r="AA845">
        <v>23916.1</v>
      </c>
      <c r="AB845">
        <v>11989.58</v>
      </c>
      <c r="AC845">
        <f t="shared" si="177"/>
        <v>32634.273600000004</v>
      </c>
      <c r="AD845" s="6">
        <f t="shared" si="178"/>
        <v>0.89106753812636164</v>
      </c>
      <c r="AE845" t="s">
        <v>32</v>
      </c>
      <c r="AF845" t="s">
        <v>33</v>
      </c>
      <c r="AG845">
        <f t="shared" si="179"/>
        <v>7</v>
      </c>
      <c r="AH845">
        <f t="shared" si="180"/>
        <v>2025</v>
      </c>
      <c r="AI845" t="str">
        <f t="shared" si="181"/>
        <v>INVALID</v>
      </c>
    </row>
    <row r="846" spans="1:35">
      <c r="A846" t="s">
        <v>2602</v>
      </c>
      <c r="B846">
        <f t="shared" si="169"/>
        <v>1</v>
      </c>
      <c r="C846" t="str">
        <f>IF(COUNTIF($A$2:A846, A846)&gt;1, "DUPLICATE_FLAGGED_FOR_REVIEW", "")</f>
        <v/>
      </c>
      <c r="D846" s="3">
        <v>45677</v>
      </c>
      <c r="E846" s="2">
        <v>45682</v>
      </c>
      <c r="F846" s="2" t="str">
        <f t="shared" si="170"/>
        <v>OK</v>
      </c>
      <c r="G846" s="4">
        <f t="shared" si="171"/>
        <v>5</v>
      </c>
      <c r="H846" t="s">
        <v>2603</v>
      </c>
      <c r="I846" t="s">
        <v>89</v>
      </c>
      <c r="J846" t="s">
        <v>95</v>
      </c>
      <c r="K846" t="s">
        <v>63</v>
      </c>
      <c r="L846" t="str">
        <f t="shared" si="172"/>
        <v>West</v>
      </c>
      <c r="M846" t="s">
        <v>190</v>
      </c>
      <c r="N846" t="s">
        <v>191</v>
      </c>
      <c r="O846" t="s">
        <v>28</v>
      </c>
      <c r="P846" t="s">
        <v>48</v>
      </c>
      <c r="Q846" t="s">
        <v>2604</v>
      </c>
      <c r="R846" t="s">
        <v>50</v>
      </c>
      <c r="S846" t="str">
        <f t="shared" si="173"/>
        <v>First Class</v>
      </c>
      <c r="T846">
        <v>1</v>
      </c>
      <c r="U846">
        <v>3515.15</v>
      </c>
      <c r="V846">
        <v>0</v>
      </c>
      <c r="W846">
        <f t="shared" si="174"/>
        <v>0</v>
      </c>
      <c r="X846" t="str">
        <f t="shared" si="175"/>
        <v/>
      </c>
      <c r="Y846">
        <v>3515.15</v>
      </c>
      <c r="Z846">
        <f t="shared" si="176"/>
        <v>3515.15</v>
      </c>
      <c r="AA846">
        <v>2216.34</v>
      </c>
      <c r="AB846">
        <v>1298.81</v>
      </c>
      <c r="AC846">
        <f t="shared" si="177"/>
        <v>0</v>
      </c>
      <c r="AD846" s="6">
        <f t="shared" si="178"/>
        <v>0</v>
      </c>
      <c r="AE846" t="s">
        <v>32</v>
      </c>
      <c r="AF846" t="s">
        <v>33</v>
      </c>
      <c r="AG846">
        <f t="shared" si="179"/>
        <v>1</v>
      </c>
      <c r="AH846">
        <f t="shared" si="180"/>
        <v>2025</v>
      </c>
      <c r="AI846" t="str">
        <f t="shared" si="181"/>
        <v>CLEAN</v>
      </c>
    </row>
    <row r="847" spans="1:35">
      <c r="A847" t="s">
        <v>2605</v>
      </c>
      <c r="B847">
        <f t="shared" si="169"/>
        <v>1</v>
      </c>
      <c r="C847" t="str">
        <f>IF(COUNTIF($A$2:A847, A847)&gt;1, "DUPLICATE_FLAGGED_FOR_REVIEW", "")</f>
        <v/>
      </c>
      <c r="D847" s="3">
        <v>45345</v>
      </c>
      <c r="E847" s="2">
        <v>45349</v>
      </c>
      <c r="F847" s="2" t="str">
        <f t="shared" si="170"/>
        <v>OK</v>
      </c>
      <c r="G847" s="4">
        <f t="shared" si="171"/>
        <v>4</v>
      </c>
      <c r="H847" t="s">
        <v>592</v>
      </c>
      <c r="I847" t="s">
        <v>23</v>
      </c>
      <c r="J847" t="s">
        <v>24</v>
      </c>
      <c r="K847" t="s">
        <v>38</v>
      </c>
      <c r="L847" t="str">
        <f t="shared" si="172"/>
        <v>East</v>
      </c>
      <c r="M847" t="s">
        <v>39</v>
      </c>
      <c r="N847" t="s">
        <v>40</v>
      </c>
      <c r="O847" t="s">
        <v>41</v>
      </c>
      <c r="P847" t="s">
        <v>42</v>
      </c>
      <c r="Q847" t="s">
        <v>2606</v>
      </c>
      <c r="R847" t="s">
        <v>50</v>
      </c>
      <c r="S847" t="str">
        <f t="shared" si="173"/>
        <v>First Class</v>
      </c>
      <c r="T847">
        <v>9</v>
      </c>
      <c r="U847">
        <v>3616.23</v>
      </c>
      <c r="V847">
        <v>0.25</v>
      </c>
      <c r="W847">
        <f t="shared" si="174"/>
        <v>0.25</v>
      </c>
      <c r="X847" t="str">
        <f t="shared" si="175"/>
        <v/>
      </c>
      <c r="Y847">
        <v>24409.55</v>
      </c>
      <c r="Z847">
        <f t="shared" si="176"/>
        <v>24409.552499999998</v>
      </c>
      <c r="AA847">
        <v>17157.580000000002</v>
      </c>
      <c r="AB847">
        <v>7251.97</v>
      </c>
      <c r="AC847">
        <f t="shared" si="177"/>
        <v>20793.322499999998</v>
      </c>
      <c r="AD847" s="6">
        <f t="shared" si="178"/>
        <v>0.85185185185185186</v>
      </c>
      <c r="AE847" t="s">
        <v>111</v>
      </c>
      <c r="AF847" t="s">
        <v>103</v>
      </c>
      <c r="AG847">
        <f t="shared" si="179"/>
        <v>2</v>
      </c>
      <c r="AH847">
        <f t="shared" si="180"/>
        <v>2024</v>
      </c>
      <c r="AI847" t="str">
        <f t="shared" si="181"/>
        <v>CLEAN</v>
      </c>
    </row>
    <row r="848" spans="1:35">
      <c r="A848" t="s">
        <v>2607</v>
      </c>
      <c r="B848">
        <f t="shared" si="169"/>
        <v>1</v>
      </c>
      <c r="C848" t="str">
        <f>IF(COUNTIF($A$2:A848, A848)&gt;1, "DUPLICATE_FLAGGED_FOR_REVIEW", "")</f>
        <v/>
      </c>
      <c r="D848" s="3">
        <v>45396</v>
      </c>
      <c r="E848" s="2">
        <v>45404</v>
      </c>
      <c r="F848" s="2" t="str">
        <f t="shared" si="170"/>
        <v>OK</v>
      </c>
      <c r="G848" s="4">
        <f t="shared" si="171"/>
        <v>8</v>
      </c>
      <c r="H848" t="s">
        <v>2608</v>
      </c>
      <c r="I848" t="s">
        <v>114</v>
      </c>
      <c r="J848" t="s">
        <v>37</v>
      </c>
      <c r="K848" t="s">
        <v>63</v>
      </c>
      <c r="L848" t="str">
        <f t="shared" si="172"/>
        <v>West</v>
      </c>
      <c r="M848" t="s">
        <v>180</v>
      </c>
      <c r="N848" t="s">
        <v>181</v>
      </c>
      <c r="O848" t="s">
        <v>41</v>
      </c>
      <c r="P848" t="s">
        <v>158</v>
      </c>
      <c r="Q848" t="s">
        <v>2609</v>
      </c>
      <c r="R848" t="s">
        <v>59</v>
      </c>
      <c r="S848" t="str">
        <f t="shared" si="173"/>
        <v>Standard Class</v>
      </c>
      <c r="T848">
        <v>2</v>
      </c>
      <c r="U848">
        <v>3977.52</v>
      </c>
      <c r="V848">
        <v>0</v>
      </c>
      <c r="W848">
        <f t="shared" si="174"/>
        <v>0</v>
      </c>
      <c r="X848" t="str">
        <f t="shared" si="175"/>
        <v/>
      </c>
      <c r="Y848">
        <v>7955.04</v>
      </c>
      <c r="Z848">
        <f t="shared" si="176"/>
        <v>7955.04</v>
      </c>
      <c r="AA848">
        <v>5580.68</v>
      </c>
      <c r="AB848">
        <v>2374.36</v>
      </c>
      <c r="AC848">
        <f t="shared" si="177"/>
        <v>3977.52</v>
      </c>
      <c r="AD848" s="6">
        <f t="shared" si="178"/>
        <v>0.5</v>
      </c>
      <c r="AE848" t="s">
        <v>111</v>
      </c>
      <c r="AF848" t="s">
        <v>103</v>
      </c>
      <c r="AG848">
        <f t="shared" si="179"/>
        <v>4</v>
      </c>
      <c r="AH848">
        <f t="shared" si="180"/>
        <v>2024</v>
      </c>
      <c r="AI848" t="str">
        <f t="shared" si="181"/>
        <v>CLEAN</v>
      </c>
    </row>
    <row r="849" spans="1:35">
      <c r="A849" t="s">
        <v>2610</v>
      </c>
      <c r="B849">
        <f t="shared" si="169"/>
        <v>1</v>
      </c>
      <c r="C849" t="str">
        <f>IF(COUNTIF($A$2:A849, A849)&gt;1, "DUPLICATE_FLAGGED_FOR_REVIEW", "")</f>
        <v/>
      </c>
      <c r="D849" s="3">
        <v>45797</v>
      </c>
      <c r="E849" s="2">
        <v>45799</v>
      </c>
      <c r="F849" s="2" t="str">
        <f t="shared" si="170"/>
        <v>OK</v>
      </c>
      <c r="G849" s="4">
        <f t="shared" si="171"/>
        <v>2</v>
      </c>
      <c r="H849" t="s">
        <v>2611</v>
      </c>
      <c r="I849" t="s">
        <v>162</v>
      </c>
      <c r="J849" t="s">
        <v>95</v>
      </c>
      <c r="K849" t="s">
        <v>38</v>
      </c>
      <c r="L849" t="str">
        <f t="shared" si="172"/>
        <v>East</v>
      </c>
      <c r="M849" t="s">
        <v>39</v>
      </c>
      <c r="N849" t="s">
        <v>40</v>
      </c>
      <c r="O849" t="s">
        <v>41</v>
      </c>
      <c r="P849" t="s">
        <v>42</v>
      </c>
      <c r="Q849" t="s">
        <v>2612</v>
      </c>
      <c r="R849" t="s">
        <v>31</v>
      </c>
      <c r="S849" t="str">
        <f t="shared" si="173"/>
        <v>Second Class</v>
      </c>
      <c r="T849">
        <v>2</v>
      </c>
      <c r="U849">
        <v>210.08</v>
      </c>
      <c r="V849">
        <v>0.2</v>
      </c>
      <c r="W849">
        <f t="shared" si="174"/>
        <v>0.2</v>
      </c>
      <c r="X849" t="str">
        <f t="shared" si="175"/>
        <v/>
      </c>
      <c r="Y849">
        <v>336.13</v>
      </c>
      <c r="Z849">
        <f t="shared" si="176"/>
        <v>336.12800000000004</v>
      </c>
      <c r="AA849">
        <v>242.19</v>
      </c>
      <c r="AB849">
        <v>93.94</v>
      </c>
      <c r="AC849">
        <f t="shared" si="177"/>
        <v>126.04800000000003</v>
      </c>
      <c r="AD849" s="6">
        <f t="shared" si="178"/>
        <v>0.37500000000000006</v>
      </c>
      <c r="AE849" t="s">
        <v>32</v>
      </c>
      <c r="AF849" t="s">
        <v>33</v>
      </c>
      <c r="AG849">
        <f t="shared" si="179"/>
        <v>5</v>
      </c>
      <c r="AH849">
        <f t="shared" si="180"/>
        <v>2025</v>
      </c>
      <c r="AI849" t="str">
        <f t="shared" si="181"/>
        <v>CLEAN</v>
      </c>
    </row>
    <row r="850" spans="1:35">
      <c r="A850" t="s">
        <v>2613</v>
      </c>
      <c r="B850">
        <f t="shared" si="169"/>
        <v>1</v>
      </c>
      <c r="C850" t="str">
        <f>IF(COUNTIF($A$2:A850, A850)&gt;1, "DUPLICATE_FLAGGED_FOR_REVIEW", "")</f>
        <v/>
      </c>
      <c r="D850" s="3">
        <v>45804</v>
      </c>
      <c r="E850" s="2">
        <v>45806</v>
      </c>
      <c r="F850" s="2" t="str">
        <f t="shared" si="170"/>
        <v>OK</v>
      </c>
      <c r="G850" s="4">
        <f t="shared" si="171"/>
        <v>2</v>
      </c>
      <c r="H850" t="s">
        <v>2614</v>
      </c>
      <c r="I850" t="s">
        <v>118</v>
      </c>
      <c r="J850" t="s">
        <v>95</v>
      </c>
      <c r="K850" t="s">
        <v>54</v>
      </c>
      <c r="L850" t="str">
        <f t="shared" si="172"/>
        <v>South</v>
      </c>
      <c r="M850" t="s">
        <v>247</v>
      </c>
      <c r="N850" t="s">
        <v>248</v>
      </c>
      <c r="O850" t="s">
        <v>41</v>
      </c>
      <c r="P850" t="s">
        <v>57</v>
      </c>
      <c r="Q850" t="s">
        <v>2615</v>
      </c>
      <c r="R850" t="s">
        <v>31</v>
      </c>
      <c r="S850" t="str">
        <f t="shared" si="173"/>
        <v>Second Class</v>
      </c>
      <c r="T850">
        <v>1</v>
      </c>
      <c r="U850">
        <v>1744.35</v>
      </c>
      <c r="V850">
        <v>0.25</v>
      </c>
      <c r="W850">
        <f t="shared" si="174"/>
        <v>0.25</v>
      </c>
      <c r="X850" t="str">
        <f t="shared" si="175"/>
        <v/>
      </c>
      <c r="Y850">
        <v>1308.26</v>
      </c>
      <c r="Z850">
        <f t="shared" si="176"/>
        <v>1308.2624999999998</v>
      </c>
      <c r="AA850">
        <v>1083.56</v>
      </c>
      <c r="AB850">
        <v>224.7</v>
      </c>
      <c r="AC850">
        <f t="shared" si="177"/>
        <v>-436.08750000000009</v>
      </c>
      <c r="AD850" s="6">
        <f t="shared" si="178"/>
        <v>-0.33333333333333343</v>
      </c>
      <c r="AE850" t="s">
        <v>32</v>
      </c>
      <c r="AF850" t="s">
        <v>33</v>
      </c>
      <c r="AG850">
        <f t="shared" si="179"/>
        <v>5</v>
      </c>
      <c r="AH850">
        <f t="shared" si="180"/>
        <v>2025</v>
      </c>
      <c r="AI850" t="str">
        <f t="shared" si="181"/>
        <v>CLEAN</v>
      </c>
    </row>
    <row r="851" spans="1:35">
      <c r="A851" t="s">
        <v>2616</v>
      </c>
      <c r="B851">
        <f t="shared" si="169"/>
        <v>1</v>
      </c>
      <c r="C851" t="str">
        <f>IF(COUNTIF($A$2:A851, A851)&gt;1, "DUPLICATE_FLAGGED_FOR_REVIEW", "")</f>
        <v/>
      </c>
      <c r="D851" s="3">
        <v>45357</v>
      </c>
      <c r="E851" s="2">
        <v>45363</v>
      </c>
      <c r="F851" s="2" t="str">
        <f t="shared" si="170"/>
        <v>OK</v>
      </c>
      <c r="G851" s="4">
        <f t="shared" si="171"/>
        <v>6</v>
      </c>
      <c r="H851" t="s">
        <v>2617</v>
      </c>
      <c r="I851" t="s">
        <v>47</v>
      </c>
      <c r="J851" t="s">
        <v>95</v>
      </c>
      <c r="K851" t="s">
        <v>63</v>
      </c>
      <c r="L851" t="str">
        <f t="shared" si="172"/>
        <v>West</v>
      </c>
      <c r="M851" t="s">
        <v>180</v>
      </c>
      <c r="N851" t="s">
        <v>181</v>
      </c>
      <c r="O851" t="s">
        <v>41</v>
      </c>
      <c r="P851" t="s">
        <v>158</v>
      </c>
      <c r="Q851" t="s">
        <v>2618</v>
      </c>
      <c r="R851" t="s">
        <v>59</v>
      </c>
      <c r="S851" t="str">
        <f t="shared" si="173"/>
        <v>Standard Class</v>
      </c>
      <c r="T851">
        <v>3</v>
      </c>
      <c r="U851">
        <v>679.63</v>
      </c>
      <c r="V851">
        <v>0.2</v>
      </c>
      <c r="W851">
        <f t="shared" si="174"/>
        <v>0.2</v>
      </c>
      <c r="X851" t="str">
        <f t="shared" si="175"/>
        <v/>
      </c>
      <c r="Y851">
        <v>1631.11</v>
      </c>
      <c r="Z851">
        <f t="shared" si="176"/>
        <v>1631.1120000000001</v>
      </c>
      <c r="AA851">
        <v>898.73</v>
      </c>
      <c r="AB851">
        <v>396.58</v>
      </c>
      <c r="AC851">
        <f t="shared" si="177"/>
        <v>951.48200000000008</v>
      </c>
      <c r="AD851" s="6">
        <f t="shared" si="178"/>
        <v>0.58333333333333337</v>
      </c>
      <c r="AE851" t="s">
        <v>32</v>
      </c>
      <c r="AF851" t="s">
        <v>33</v>
      </c>
      <c r="AG851">
        <f t="shared" si="179"/>
        <v>3</v>
      </c>
      <c r="AH851">
        <f t="shared" si="180"/>
        <v>2024</v>
      </c>
      <c r="AI851" t="str">
        <f t="shared" si="181"/>
        <v>CLEAN</v>
      </c>
    </row>
    <row r="852" spans="1:35">
      <c r="A852" t="s">
        <v>2619</v>
      </c>
      <c r="B852">
        <f t="shared" si="169"/>
        <v>1</v>
      </c>
      <c r="C852" t="str">
        <f>IF(COUNTIF($A$2:A852, A852)&gt;1, "DUPLICATE_FLAGGED_FOR_REVIEW", "")</f>
        <v/>
      </c>
      <c r="D852" s="3">
        <v>45473</v>
      </c>
      <c r="E852" s="2">
        <v>45476</v>
      </c>
      <c r="F852" s="2" t="str">
        <f t="shared" si="170"/>
        <v>OK</v>
      </c>
      <c r="G852" s="4">
        <f t="shared" si="171"/>
        <v>3</v>
      </c>
      <c r="H852" t="s">
        <v>2620</v>
      </c>
      <c r="I852" t="s">
        <v>114</v>
      </c>
      <c r="J852" t="s">
        <v>95</v>
      </c>
      <c r="K852" t="s">
        <v>38</v>
      </c>
      <c r="L852" t="str">
        <f t="shared" si="172"/>
        <v>East</v>
      </c>
      <c r="M852" t="s">
        <v>99</v>
      </c>
      <c r="N852" t="s">
        <v>100</v>
      </c>
      <c r="O852" t="s">
        <v>28</v>
      </c>
      <c r="P852" t="s">
        <v>29</v>
      </c>
      <c r="Q852" t="s">
        <v>2621</v>
      </c>
      <c r="R852" t="s">
        <v>50</v>
      </c>
      <c r="S852" t="str">
        <f t="shared" si="173"/>
        <v>First Class</v>
      </c>
      <c r="T852">
        <v>6</v>
      </c>
      <c r="U852">
        <v>1211.01</v>
      </c>
      <c r="V852">
        <v>0</v>
      </c>
      <c r="W852">
        <f t="shared" si="174"/>
        <v>0</v>
      </c>
      <c r="X852" t="str">
        <f t="shared" si="175"/>
        <v/>
      </c>
      <c r="Y852">
        <v>7266.06</v>
      </c>
      <c r="Z852">
        <f t="shared" si="176"/>
        <v>7266.0599999999995</v>
      </c>
      <c r="AA852">
        <v>6216.89</v>
      </c>
      <c r="AB852">
        <v>1049.17</v>
      </c>
      <c r="AC852">
        <f t="shared" si="177"/>
        <v>6055.0499999999993</v>
      </c>
      <c r="AD852" s="6">
        <f t="shared" si="178"/>
        <v>0.83333333333333326</v>
      </c>
      <c r="AE852" t="s">
        <v>32</v>
      </c>
      <c r="AF852" t="s">
        <v>33</v>
      </c>
      <c r="AG852">
        <f t="shared" si="179"/>
        <v>6</v>
      </c>
      <c r="AH852">
        <f t="shared" si="180"/>
        <v>2024</v>
      </c>
      <c r="AI852" t="str">
        <f t="shared" si="181"/>
        <v>CLEAN</v>
      </c>
    </row>
    <row r="853" spans="1:35">
      <c r="A853" t="s">
        <v>2622</v>
      </c>
      <c r="B853">
        <f t="shared" si="169"/>
        <v>1</v>
      </c>
      <c r="C853" t="str">
        <f>IF(COUNTIF($A$2:A853, A853)&gt;1, "DUPLICATE_FLAGGED_FOR_REVIEW", "")</f>
        <v/>
      </c>
      <c r="D853" s="3">
        <v>45377</v>
      </c>
      <c r="E853" s="2">
        <v>45383</v>
      </c>
      <c r="F853" s="2" t="str">
        <f t="shared" si="170"/>
        <v>OK</v>
      </c>
      <c r="G853" s="4">
        <f t="shared" si="171"/>
        <v>6</v>
      </c>
      <c r="H853" t="s">
        <v>2623</v>
      </c>
      <c r="I853" t="s">
        <v>23</v>
      </c>
      <c r="J853" t="s">
        <v>37</v>
      </c>
      <c r="K853" t="s">
        <v>63</v>
      </c>
      <c r="L853" t="str">
        <f t="shared" si="172"/>
        <v>West</v>
      </c>
      <c r="M853" t="s">
        <v>180</v>
      </c>
      <c r="N853" t="s">
        <v>181</v>
      </c>
      <c r="O853" t="s">
        <v>74</v>
      </c>
      <c r="P853" t="s">
        <v>75</v>
      </c>
      <c r="Q853" t="s">
        <v>2624</v>
      </c>
      <c r="R853" t="s">
        <v>50</v>
      </c>
      <c r="S853" t="str">
        <f t="shared" si="173"/>
        <v>First Class</v>
      </c>
      <c r="T853">
        <v>2</v>
      </c>
      <c r="U853">
        <v>1161.3</v>
      </c>
      <c r="V853">
        <v>0.2</v>
      </c>
      <c r="W853">
        <f t="shared" si="174"/>
        <v>0.2</v>
      </c>
      <c r="X853" t="str">
        <f t="shared" si="175"/>
        <v/>
      </c>
      <c r="Y853">
        <v>1858.08</v>
      </c>
      <c r="Z853">
        <f t="shared" si="176"/>
        <v>1858.08</v>
      </c>
      <c r="AA853">
        <v>1590.75</v>
      </c>
      <c r="AB853">
        <v>267.33</v>
      </c>
      <c r="AC853">
        <f t="shared" si="177"/>
        <v>696.78</v>
      </c>
      <c r="AD853" s="6">
        <f t="shared" si="178"/>
        <v>0.375</v>
      </c>
      <c r="AE853" t="s">
        <v>32</v>
      </c>
      <c r="AF853" t="s">
        <v>33</v>
      </c>
      <c r="AG853">
        <f t="shared" si="179"/>
        <v>3</v>
      </c>
      <c r="AH853">
        <f t="shared" si="180"/>
        <v>2024</v>
      </c>
      <c r="AI853" t="str">
        <f t="shared" si="181"/>
        <v>CLEAN</v>
      </c>
    </row>
    <row r="854" spans="1:35">
      <c r="A854" t="s">
        <v>2625</v>
      </c>
      <c r="B854">
        <f t="shared" si="169"/>
        <v>1</v>
      </c>
      <c r="C854" t="str">
        <f>IF(COUNTIF($A$2:A854, A854)&gt;1, "DUPLICATE_FLAGGED_FOR_REVIEW", "")</f>
        <v/>
      </c>
      <c r="D854" s="3">
        <v>45383</v>
      </c>
      <c r="E854" s="2">
        <v>45390</v>
      </c>
      <c r="F854" s="2" t="str">
        <f t="shared" si="170"/>
        <v>OK</v>
      </c>
      <c r="G854" s="4">
        <f t="shared" si="171"/>
        <v>7</v>
      </c>
      <c r="H854" t="s">
        <v>2626</v>
      </c>
      <c r="I854" t="s">
        <v>62</v>
      </c>
      <c r="J854" t="s">
        <v>24</v>
      </c>
      <c r="K854" t="s">
        <v>38</v>
      </c>
      <c r="L854" t="str">
        <f t="shared" si="172"/>
        <v>East</v>
      </c>
      <c r="M854" t="s">
        <v>166</v>
      </c>
      <c r="N854" t="s">
        <v>167</v>
      </c>
      <c r="O854" t="s">
        <v>41</v>
      </c>
      <c r="P854" t="s">
        <v>42</v>
      </c>
      <c r="Q854" t="s">
        <v>2627</v>
      </c>
      <c r="R854" t="s">
        <v>31</v>
      </c>
      <c r="S854" t="str">
        <f t="shared" si="173"/>
        <v>Second Class</v>
      </c>
      <c r="T854">
        <v>7</v>
      </c>
      <c r="U854">
        <v>4205.3500000000004</v>
      </c>
      <c r="V854">
        <v>0.15</v>
      </c>
      <c r="W854">
        <f t="shared" si="174"/>
        <v>0.15</v>
      </c>
      <c r="X854" t="str">
        <f t="shared" si="175"/>
        <v/>
      </c>
      <c r="Y854">
        <v>25021.83</v>
      </c>
      <c r="Z854">
        <f t="shared" si="176"/>
        <v>25021.832500000004</v>
      </c>
      <c r="AA854">
        <v>15544.44</v>
      </c>
      <c r="AB854">
        <v>9477.39</v>
      </c>
      <c r="AC854">
        <f t="shared" si="177"/>
        <v>20816.482500000006</v>
      </c>
      <c r="AD854" s="6">
        <f t="shared" si="178"/>
        <v>0.83193277310924374</v>
      </c>
      <c r="AE854" t="s">
        <v>111</v>
      </c>
      <c r="AF854" t="s">
        <v>68</v>
      </c>
      <c r="AG854">
        <f t="shared" si="179"/>
        <v>4</v>
      </c>
      <c r="AH854">
        <f t="shared" si="180"/>
        <v>2024</v>
      </c>
      <c r="AI854" t="str">
        <f t="shared" si="181"/>
        <v>CLEAN</v>
      </c>
    </row>
    <row r="855" spans="1:35">
      <c r="A855" t="s">
        <v>2628</v>
      </c>
      <c r="B855">
        <f t="shared" si="169"/>
        <v>1</v>
      </c>
      <c r="C855" t="str">
        <f>IF(COUNTIF($A$2:A855, A855)&gt;1, "DUPLICATE_FLAGGED_FOR_REVIEW", "")</f>
        <v/>
      </c>
      <c r="D855" s="3">
        <v>45793</v>
      </c>
      <c r="E855" s="2">
        <v>45799</v>
      </c>
      <c r="F855" s="2" t="str">
        <f t="shared" si="170"/>
        <v>OK</v>
      </c>
      <c r="G855" s="4">
        <f t="shared" si="171"/>
        <v>6</v>
      </c>
      <c r="H855" t="s">
        <v>2629</v>
      </c>
      <c r="I855" t="s">
        <v>53</v>
      </c>
      <c r="J855" t="s">
        <v>90</v>
      </c>
      <c r="K855" t="s">
        <v>54</v>
      </c>
      <c r="L855" t="str">
        <f t="shared" si="172"/>
        <v>South</v>
      </c>
      <c r="M855" t="s">
        <v>247</v>
      </c>
      <c r="N855" t="s">
        <v>248</v>
      </c>
      <c r="O855" t="s">
        <v>74</v>
      </c>
      <c r="P855" t="s">
        <v>75</v>
      </c>
      <c r="Q855" t="s">
        <v>2630</v>
      </c>
      <c r="R855" t="s">
        <v>44</v>
      </c>
      <c r="S855" t="str">
        <f t="shared" si="173"/>
        <v>Same Day</v>
      </c>
      <c r="T855">
        <v>8</v>
      </c>
      <c r="U855">
        <v>579.79999999999995</v>
      </c>
      <c r="V855">
        <v>0.2</v>
      </c>
      <c r="W855">
        <f t="shared" si="174"/>
        <v>0.2</v>
      </c>
      <c r="X855" t="str">
        <f t="shared" si="175"/>
        <v/>
      </c>
      <c r="Y855">
        <v>3710.72</v>
      </c>
      <c r="Z855">
        <f t="shared" si="176"/>
        <v>3710.72</v>
      </c>
      <c r="AA855">
        <v>3115.29</v>
      </c>
      <c r="AB855">
        <v>595.42999999999995</v>
      </c>
      <c r="AC855">
        <f t="shared" si="177"/>
        <v>3130.92</v>
      </c>
      <c r="AD855" s="6">
        <f t="shared" si="178"/>
        <v>0.84375000000000011</v>
      </c>
      <c r="AE855" t="s">
        <v>32</v>
      </c>
      <c r="AF855" t="s">
        <v>33</v>
      </c>
      <c r="AG855">
        <f t="shared" si="179"/>
        <v>5</v>
      </c>
      <c r="AH855">
        <f t="shared" si="180"/>
        <v>2025</v>
      </c>
      <c r="AI855" t="str">
        <f t="shared" si="181"/>
        <v>CLEAN</v>
      </c>
    </row>
    <row r="856" spans="1:35">
      <c r="A856" t="s">
        <v>2631</v>
      </c>
      <c r="B856">
        <f t="shared" si="169"/>
        <v>1</v>
      </c>
      <c r="C856" t="str">
        <f>IF(COUNTIF($A$2:A856, A856)&gt;1, "DUPLICATE_FLAGGED_FOR_REVIEW", "")</f>
        <v/>
      </c>
      <c r="D856" s="3">
        <v>45741</v>
      </c>
      <c r="E856" s="2">
        <v>45692</v>
      </c>
      <c r="F856" s="2" t="str">
        <f t="shared" si="170"/>
        <v>ERROR: Ship before order</v>
      </c>
      <c r="G856" s="4">
        <f t="shared" si="171"/>
        <v>-49</v>
      </c>
      <c r="H856" t="s">
        <v>2632</v>
      </c>
      <c r="I856" t="s">
        <v>114</v>
      </c>
      <c r="J856" t="s">
        <v>24</v>
      </c>
      <c r="K856" t="s">
        <v>54</v>
      </c>
      <c r="L856" t="str">
        <f t="shared" si="172"/>
        <v>South</v>
      </c>
      <c r="M856" t="s">
        <v>175</v>
      </c>
      <c r="N856" t="s">
        <v>176</v>
      </c>
      <c r="O856" t="s">
        <v>41</v>
      </c>
      <c r="P856" t="s">
        <v>158</v>
      </c>
      <c r="Q856" t="s">
        <v>2633</v>
      </c>
      <c r="R856" t="s">
        <v>31</v>
      </c>
      <c r="S856" t="str">
        <f t="shared" si="173"/>
        <v>Second Class</v>
      </c>
      <c r="T856">
        <v>4</v>
      </c>
      <c r="U856">
        <v>2233.64</v>
      </c>
      <c r="V856">
        <v>0.05</v>
      </c>
      <c r="W856">
        <f t="shared" si="174"/>
        <v>0.05</v>
      </c>
      <c r="X856" t="str">
        <f t="shared" si="175"/>
        <v/>
      </c>
      <c r="Y856">
        <v>8487.83</v>
      </c>
      <c r="Z856">
        <f t="shared" si="176"/>
        <v>8487.8319999999985</v>
      </c>
      <c r="AA856">
        <v>5245.72</v>
      </c>
      <c r="AB856">
        <v>3242.11</v>
      </c>
      <c r="AC856">
        <f t="shared" si="177"/>
        <v>6254.1919999999991</v>
      </c>
      <c r="AD856" s="6">
        <f t="shared" si="178"/>
        <v>0.73684210526315796</v>
      </c>
      <c r="AE856" t="s">
        <v>32</v>
      </c>
      <c r="AF856" t="s">
        <v>33</v>
      </c>
      <c r="AG856">
        <f t="shared" si="179"/>
        <v>3</v>
      </c>
      <c r="AH856">
        <f t="shared" si="180"/>
        <v>2025</v>
      </c>
      <c r="AI856" t="str">
        <f t="shared" si="181"/>
        <v>INVALID</v>
      </c>
    </row>
    <row r="857" spans="1:35">
      <c r="A857" t="s">
        <v>2634</v>
      </c>
      <c r="B857">
        <f t="shared" si="169"/>
        <v>1</v>
      </c>
      <c r="C857" t="str">
        <f>IF(COUNTIF($A$2:A857, A857)&gt;1, "DUPLICATE_FLAGGED_FOR_REVIEW", "")</f>
        <v/>
      </c>
      <c r="D857" s="3">
        <v>45498</v>
      </c>
      <c r="E857" s="2">
        <v>45506</v>
      </c>
      <c r="F857" s="2" t="str">
        <f t="shared" si="170"/>
        <v>OK</v>
      </c>
      <c r="G857" s="4">
        <f t="shared" si="171"/>
        <v>8</v>
      </c>
      <c r="H857" t="s">
        <v>1120</v>
      </c>
      <c r="I857" t="s">
        <v>118</v>
      </c>
      <c r="J857" t="s">
        <v>24</v>
      </c>
      <c r="K857" t="s">
        <v>25</v>
      </c>
      <c r="L857" t="str">
        <f t="shared" si="172"/>
        <v>North</v>
      </c>
      <c r="M857" t="s">
        <v>26</v>
      </c>
      <c r="N857" t="s">
        <v>27</v>
      </c>
      <c r="O857" t="s">
        <v>28</v>
      </c>
      <c r="P857" t="s">
        <v>91</v>
      </c>
      <c r="Q857" t="s">
        <v>2635</v>
      </c>
      <c r="R857" t="s">
        <v>31</v>
      </c>
      <c r="S857" t="str">
        <f t="shared" si="173"/>
        <v>Second Class</v>
      </c>
      <c r="T857">
        <v>2</v>
      </c>
      <c r="U857">
        <v>2073.5300000000002</v>
      </c>
      <c r="V857">
        <v>0.25</v>
      </c>
      <c r="W857">
        <f t="shared" si="174"/>
        <v>0.25</v>
      </c>
      <c r="X857" t="str">
        <f t="shared" si="175"/>
        <v/>
      </c>
      <c r="Y857">
        <v>3110.3</v>
      </c>
      <c r="Z857">
        <f t="shared" si="176"/>
        <v>3110.2950000000001</v>
      </c>
      <c r="AA857">
        <v>2101.0300000000002</v>
      </c>
      <c r="AB857">
        <v>1009.27</v>
      </c>
      <c r="AC857">
        <f t="shared" si="177"/>
        <v>1036.7649999999999</v>
      </c>
      <c r="AD857" s="6">
        <f t="shared" si="178"/>
        <v>0.33333333333333326</v>
      </c>
      <c r="AE857" t="s">
        <v>32</v>
      </c>
      <c r="AF857" t="s">
        <v>33</v>
      </c>
      <c r="AG857">
        <f t="shared" si="179"/>
        <v>7</v>
      </c>
      <c r="AH857">
        <f t="shared" si="180"/>
        <v>2024</v>
      </c>
      <c r="AI857" t="str">
        <f t="shared" si="181"/>
        <v>CLEAN</v>
      </c>
    </row>
    <row r="858" spans="1:35">
      <c r="A858" t="s">
        <v>2636</v>
      </c>
      <c r="B858">
        <f t="shared" si="169"/>
        <v>1</v>
      </c>
      <c r="C858" t="str">
        <f>IF(COUNTIF($A$2:A858, A858)&gt;1, "DUPLICATE_FLAGGED_FOR_REVIEW", "")</f>
        <v/>
      </c>
      <c r="D858" s="3">
        <v>45455</v>
      </c>
      <c r="E858" s="2">
        <v>45462</v>
      </c>
      <c r="F858" s="2" t="str">
        <f t="shared" si="170"/>
        <v>OK</v>
      </c>
      <c r="G858" s="4">
        <f t="shared" si="171"/>
        <v>7</v>
      </c>
      <c r="H858" t="s">
        <v>1298</v>
      </c>
      <c r="I858" t="s">
        <v>141</v>
      </c>
      <c r="J858" t="s">
        <v>95</v>
      </c>
      <c r="K858" t="s">
        <v>54</v>
      </c>
      <c r="L858" t="str">
        <f t="shared" si="172"/>
        <v>South</v>
      </c>
      <c r="M858" t="s">
        <v>247</v>
      </c>
      <c r="N858" t="s">
        <v>248</v>
      </c>
      <c r="O858" t="s">
        <v>28</v>
      </c>
      <c r="P858" t="s">
        <v>124</v>
      </c>
      <c r="Q858" t="s">
        <v>2637</v>
      </c>
      <c r="R858" t="s">
        <v>59</v>
      </c>
      <c r="S858" t="str">
        <f t="shared" si="173"/>
        <v>Standard Class</v>
      </c>
      <c r="T858">
        <v>4</v>
      </c>
      <c r="U858">
        <v>395.1</v>
      </c>
      <c r="V858">
        <v>-0.16</v>
      </c>
      <c r="W858">
        <f t="shared" si="174"/>
        <v>-0.16</v>
      </c>
      <c r="X858" t="str">
        <f t="shared" si="175"/>
        <v>INVALID_NEGATIVE_DISCOUNT</v>
      </c>
      <c r="Y858">
        <v>1185.3</v>
      </c>
      <c r="Z858">
        <f t="shared" si="176"/>
        <v>1833.2639999999999</v>
      </c>
      <c r="AA858">
        <v>966.55</v>
      </c>
      <c r="AB858">
        <v>218.75</v>
      </c>
      <c r="AC858">
        <f t="shared" si="177"/>
        <v>1438.1639999999998</v>
      </c>
      <c r="AD858" s="6">
        <f t="shared" si="178"/>
        <v>0.78448275862068961</v>
      </c>
      <c r="AE858" t="s">
        <v>155</v>
      </c>
      <c r="AF858" t="s">
        <v>68</v>
      </c>
      <c r="AG858">
        <f t="shared" si="179"/>
        <v>6</v>
      </c>
      <c r="AH858">
        <f t="shared" si="180"/>
        <v>2024</v>
      </c>
      <c r="AI858" t="str">
        <f t="shared" si="181"/>
        <v>INVALID</v>
      </c>
    </row>
    <row r="859" spans="1:35">
      <c r="A859" t="s">
        <v>2638</v>
      </c>
      <c r="B859">
        <f t="shared" si="169"/>
        <v>1</v>
      </c>
      <c r="C859" t="str">
        <f>IF(COUNTIF($A$2:A859, A859)&gt;1, "DUPLICATE_FLAGGED_FOR_REVIEW", "")</f>
        <v/>
      </c>
      <c r="D859" s="3">
        <v>45447</v>
      </c>
      <c r="E859" s="2">
        <v>45447</v>
      </c>
      <c r="F859" s="2" t="str">
        <f t="shared" si="170"/>
        <v>OK</v>
      </c>
      <c r="G859" s="4">
        <f t="shared" si="171"/>
        <v>0</v>
      </c>
      <c r="H859" t="s">
        <v>2145</v>
      </c>
      <c r="I859" t="s">
        <v>132</v>
      </c>
      <c r="J859" t="s">
        <v>95</v>
      </c>
      <c r="K859" t="s">
        <v>54</v>
      </c>
      <c r="L859" t="str">
        <f t="shared" si="172"/>
        <v>South</v>
      </c>
      <c r="M859" t="s">
        <v>185</v>
      </c>
      <c r="N859" t="s">
        <v>186</v>
      </c>
      <c r="O859" t="s">
        <v>28</v>
      </c>
      <c r="P859" t="s">
        <v>124</v>
      </c>
      <c r="Q859" t="s">
        <v>2639</v>
      </c>
      <c r="R859" t="s">
        <v>50</v>
      </c>
      <c r="S859" t="str">
        <f t="shared" si="173"/>
        <v>First Class</v>
      </c>
      <c r="T859">
        <v>6</v>
      </c>
      <c r="U859">
        <v>2708.97</v>
      </c>
      <c r="V859">
        <v>0.25</v>
      </c>
      <c r="W859">
        <f t="shared" si="174"/>
        <v>0.25</v>
      </c>
      <c r="X859" t="str">
        <f t="shared" si="175"/>
        <v/>
      </c>
      <c r="Y859">
        <v>12190.36</v>
      </c>
      <c r="Z859">
        <f t="shared" si="176"/>
        <v>12190.365</v>
      </c>
      <c r="AA859">
        <v>10176.99</v>
      </c>
      <c r="AB859">
        <v>2013.37</v>
      </c>
      <c r="AC859">
        <f t="shared" si="177"/>
        <v>9481.3950000000004</v>
      </c>
      <c r="AD859" s="6">
        <f t="shared" si="178"/>
        <v>0.77777777777777779</v>
      </c>
      <c r="AE859" t="s">
        <v>32</v>
      </c>
      <c r="AF859" t="s">
        <v>33</v>
      </c>
      <c r="AG859">
        <f t="shared" si="179"/>
        <v>6</v>
      </c>
      <c r="AH859">
        <f t="shared" si="180"/>
        <v>2024</v>
      </c>
      <c r="AI859" t="str">
        <f t="shared" si="181"/>
        <v>CLEAN</v>
      </c>
    </row>
    <row r="860" spans="1:35">
      <c r="A860" t="s">
        <v>2640</v>
      </c>
      <c r="B860">
        <f t="shared" si="169"/>
        <v>1</v>
      </c>
      <c r="C860" t="str">
        <f>IF(COUNTIF($A$2:A860, A860)&gt;1, "DUPLICATE_FLAGGED_FOR_REVIEW", "")</f>
        <v/>
      </c>
      <c r="D860" s="3">
        <v>45327</v>
      </c>
      <c r="E860" s="2">
        <v>45421</v>
      </c>
      <c r="F860" s="2" t="str">
        <f t="shared" si="170"/>
        <v>OK</v>
      </c>
      <c r="G860" s="4">
        <f t="shared" si="171"/>
        <v>94</v>
      </c>
      <c r="H860" t="s">
        <v>2641</v>
      </c>
      <c r="I860" t="s">
        <v>53</v>
      </c>
      <c r="J860" t="s">
        <v>24</v>
      </c>
      <c r="K860" t="s">
        <v>38</v>
      </c>
      <c r="L860" t="str">
        <f t="shared" si="172"/>
        <v>East</v>
      </c>
      <c r="M860" t="s">
        <v>39</v>
      </c>
      <c r="N860" t="s">
        <v>40</v>
      </c>
      <c r="O860" t="s">
        <v>74</v>
      </c>
      <c r="P860" t="s">
        <v>75</v>
      </c>
      <c r="Q860" t="s">
        <v>2642</v>
      </c>
      <c r="R860" t="s">
        <v>31</v>
      </c>
      <c r="S860" t="str">
        <f t="shared" si="173"/>
        <v>Second Class</v>
      </c>
      <c r="T860">
        <v>4</v>
      </c>
      <c r="U860">
        <v>2904.86</v>
      </c>
      <c r="V860">
        <v>0</v>
      </c>
      <c r="W860">
        <f t="shared" si="174"/>
        <v>0</v>
      </c>
      <c r="X860" t="str">
        <f t="shared" si="175"/>
        <v/>
      </c>
      <c r="Y860">
        <v>11619.44</v>
      </c>
      <c r="Z860">
        <f t="shared" si="176"/>
        <v>11619.44</v>
      </c>
      <c r="AA860">
        <v>7184.32</v>
      </c>
      <c r="AB860">
        <v>4494.6400000000003</v>
      </c>
      <c r="AC860">
        <f t="shared" si="177"/>
        <v>8714.58</v>
      </c>
      <c r="AD860" s="6">
        <f t="shared" si="178"/>
        <v>0.75</v>
      </c>
      <c r="AE860" t="s">
        <v>32</v>
      </c>
      <c r="AF860" t="s">
        <v>33</v>
      </c>
      <c r="AG860">
        <f t="shared" si="179"/>
        <v>2</v>
      </c>
      <c r="AH860">
        <f t="shared" si="180"/>
        <v>2024</v>
      </c>
      <c r="AI860" t="str">
        <f t="shared" si="181"/>
        <v>CLEAN</v>
      </c>
    </row>
    <row r="861" spans="1:35">
      <c r="A861" t="s">
        <v>2643</v>
      </c>
      <c r="B861">
        <f t="shared" si="169"/>
        <v>1</v>
      </c>
      <c r="C861" t="str">
        <f>IF(COUNTIF($A$2:A861, A861)&gt;1, "DUPLICATE_FLAGGED_FOR_REVIEW", "")</f>
        <v/>
      </c>
      <c r="D861" s="3">
        <v>45592</v>
      </c>
      <c r="E861" s="2">
        <v>45597</v>
      </c>
      <c r="F861" s="2" t="str">
        <f t="shared" si="170"/>
        <v>OK</v>
      </c>
      <c r="G861" s="4">
        <f t="shared" si="171"/>
        <v>5</v>
      </c>
      <c r="H861" t="s">
        <v>2644</v>
      </c>
      <c r="I861" t="s">
        <v>89</v>
      </c>
      <c r="J861" t="s">
        <v>90</v>
      </c>
      <c r="K861" t="s">
        <v>54</v>
      </c>
      <c r="L861" t="str">
        <f t="shared" si="172"/>
        <v>South</v>
      </c>
      <c r="M861" t="s">
        <v>247</v>
      </c>
      <c r="N861" t="s">
        <v>248</v>
      </c>
      <c r="O861" t="s">
        <v>74</v>
      </c>
      <c r="P861" t="s">
        <v>171</v>
      </c>
      <c r="Q861" t="s">
        <v>2645</v>
      </c>
      <c r="R861" t="s">
        <v>59</v>
      </c>
      <c r="S861" t="str">
        <f t="shared" si="173"/>
        <v>Standard Class</v>
      </c>
      <c r="T861">
        <v>6</v>
      </c>
      <c r="U861">
        <v>4399.2</v>
      </c>
      <c r="V861">
        <v>0.05</v>
      </c>
      <c r="W861">
        <f t="shared" si="174"/>
        <v>0.05</v>
      </c>
      <c r="X861" t="str">
        <f t="shared" si="175"/>
        <v/>
      </c>
      <c r="Y861">
        <v>25075.439999999999</v>
      </c>
      <c r="Z861">
        <f t="shared" si="176"/>
        <v>25075.439999999995</v>
      </c>
      <c r="AA861">
        <v>16282.74</v>
      </c>
      <c r="AB861">
        <v>8792.7000000000007</v>
      </c>
      <c r="AC861">
        <f t="shared" si="177"/>
        <v>20676.239999999994</v>
      </c>
      <c r="AD861" s="6">
        <f t="shared" si="178"/>
        <v>0.82456140350877183</v>
      </c>
      <c r="AE861" t="s">
        <v>32</v>
      </c>
      <c r="AF861" t="s">
        <v>33</v>
      </c>
      <c r="AG861">
        <f t="shared" si="179"/>
        <v>10</v>
      </c>
      <c r="AH861">
        <f t="shared" si="180"/>
        <v>2024</v>
      </c>
      <c r="AI861" t="str">
        <f t="shared" si="181"/>
        <v>CLEAN</v>
      </c>
    </row>
    <row r="862" spans="1:35">
      <c r="A862" t="s">
        <v>2646</v>
      </c>
      <c r="B862">
        <f t="shared" si="169"/>
        <v>1</v>
      </c>
      <c r="C862" t="str">
        <f>IF(COUNTIF($A$2:A862, A862)&gt;1, "DUPLICATE_FLAGGED_FOR_REVIEW", "")</f>
        <v/>
      </c>
      <c r="D862" s="3">
        <v>45324</v>
      </c>
      <c r="E862" s="2">
        <v>45326</v>
      </c>
      <c r="F862" s="2" t="str">
        <f t="shared" si="170"/>
        <v>OK</v>
      </c>
      <c r="G862" s="4">
        <f t="shared" si="171"/>
        <v>2</v>
      </c>
      <c r="H862" t="s">
        <v>2647</v>
      </c>
      <c r="I862" t="s">
        <v>71</v>
      </c>
      <c r="J862" t="s">
        <v>95</v>
      </c>
      <c r="K862" t="s">
        <v>25</v>
      </c>
      <c r="L862" t="str">
        <f t="shared" si="172"/>
        <v>North</v>
      </c>
      <c r="M862" t="s">
        <v>136</v>
      </c>
      <c r="N862" t="s">
        <v>137</v>
      </c>
      <c r="O862" t="s">
        <v>28</v>
      </c>
      <c r="P862" t="s">
        <v>124</v>
      </c>
      <c r="Q862" t="s">
        <v>2648</v>
      </c>
      <c r="R862" t="s">
        <v>31</v>
      </c>
      <c r="S862" t="str">
        <f t="shared" si="173"/>
        <v>Second Class</v>
      </c>
      <c r="T862">
        <v>1</v>
      </c>
      <c r="U862">
        <v>4397.32</v>
      </c>
      <c r="V862">
        <v>0.05</v>
      </c>
      <c r="W862">
        <f t="shared" si="174"/>
        <v>0.05</v>
      </c>
      <c r="X862" t="str">
        <f t="shared" si="175"/>
        <v/>
      </c>
      <c r="Y862">
        <v>4177.45</v>
      </c>
      <c r="Z862">
        <f t="shared" si="176"/>
        <v>4177.4539999999997</v>
      </c>
      <c r="AA862">
        <v>2299.5</v>
      </c>
      <c r="AB862">
        <v>1877.95</v>
      </c>
      <c r="AC862">
        <f t="shared" si="177"/>
        <v>-219.86599999999999</v>
      </c>
      <c r="AD862" s="6">
        <f t="shared" si="178"/>
        <v>-5.2631578947368418E-2</v>
      </c>
      <c r="AE862" t="s">
        <v>32</v>
      </c>
      <c r="AF862" t="s">
        <v>33</v>
      </c>
      <c r="AG862">
        <f t="shared" si="179"/>
        <v>2</v>
      </c>
      <c r="AH862">
        <f t="shared" si="180"/>
        <v>2024</v>
      </c>
      <c r="AI862" t="str">
        <f t="shared" si="181"/>
        <v>CLEAN</v>
      </c>
    </row>
    <row r="863" spans="1:35">
      <c r="A863" t="s">
        <v>2649</v>
      </c>
      <c r="B863">
        <f t="shared" si="169"/>
        <v>1</v>
      </c>
      <c r="C863" t="str">
        <f>IF(COUNTIF($A$2:A863, A863)&gt;1, "DUPLICATE_FLAGGED_FOR_REVIEW", "")</f>
        <v/>
      </c>
      <c r="D863" s="3">
        <v>45724</v>
      </c>
      <c r="E863" s="2">
        <v>45725</v>
      </c>
      <c r="F863" s="2" t="str">
        <f t="shared" si="170"/>
        <v>OK</v>
      </c>
      <c r="G863" s="4">
        <f t="shared" si="171"/>
        <v>1</v>
      </c>
      <c r="H863" t="s">
        <v>2650</v>
      </c>
      <c r="I863" t="s">
        <v>114</v>
      </c>
      <c r="J863" t="s">
        <v>95</v>
      </c>
      <c r="K863" t="s">
        <v>25</v>
      </c>
      <c r="L863" t="str">
        <f t="shared" si="172"/>
        <v>North</v>
      </c>
      <c r="M863" t="s">
        <v>350</v>
      </c>
      <c r="N863" t="s">
        <v>351</v>
      </c>
      <c r="O863" t="s">
        <v>41</v>
      </c>
      <c r="P863" t="s">
        <v>57</v>
      </c>
      <c r="Q863" t="s">
        <v>2651</v>
      </c>
      <c r="R863" t="s">
        <v>44</v>
      </c>
      <c r="S863" t="str">
        <f t="shared" si="173"/>
        <v>Same Day</v>
      </c>
      <c r="T863">
        <v>4</v>
      </c>
      <c r="U863">
        <v>3405.68</v>
      </c>
      <c r="V863">
        <v>0.2</v>
      </c>
      <c r="W863">
        <f t="shared" si="174"/>
        <v>0.2</v>
      </c>
      <c r="X863" t="str">
        <f t="shared" si="175"/>
        <v/>
      </c>
      <c r="Y863">
        <v>10898.18</v>
      </c>
      <c r="Z863">
        <f t="shared" si="176"/>
        <v>10898.175999999999</v>
      </c>
      <c r="AA863">
        <v>6231.41</v>
      </c>
      <c r="AB863">
        <v>4666.7700000000004</v>
      </c>
      <c r="AC863">
        <f t="shared" si="177"/>
        <v>7492.4959999999992</v>
      </c>
      <c r="AD863" s="6">
        <f t="shared" si="178"/>
        <v>0.6875</v>
      </c>
      <c r="AE863" t="s">
        <v>32</v>
      </c>
      <c r="AF863" t="s">
        <v>33</v>
      </c>
      <c r="AG863">
        <f t="shared" si="179"/>
        <v>3</v>
      </c>
      <c r="AH863">
        <f t="shared" si="180"/>
        <v>2025</v>
      </c>
      <c r="AI863" t="str">
        <f t="shared" si="181"/>
        <v>CLEAN</v>
      </c>
    </row>
    <row r="864" spans="1:35">
      <c r="A864" t="s">
        <v>2652</v>
      </c>
      <c r="B864">
        <f t="shared" si="169"/>
        <v>1</v>
      </c>
      <c r="C864" t="str">
        <f>IF(COUNTIF($A$2:A864, A864)&gt;1, "DUPLICATE_FLAGGED_FOR_REVIEW", "")</f>
        <v/>
      </c>
      <c r="D864" s="3">
        <v>45742</v>
      </c>
      <c r="E864" s="2">
        <v>45747</v>
      </c>
      <c r="F864" s="2" t="str">
        <f t="shared" si="170"/>
        <v>OK</v>
      </c>
      <c r="G864" s="4">
        <f t="shared" si="171"/>
        <v>5</v>
      </c>
      <c r="H864" t="s">
        <v>2653</v>
      </c>
      <c r="I864" t="s">
        <v>114</v>
      </c>
      <c r="J864" t="s">
        <v>37</v>
      </c>
      <c r="K864" t="s">
        <v>38</v>
      </c>
      <c r="L864" t="str">
        <f t="shared" si="172"/>
        <v>East</v>
      </c>
      <c r="M864" t="s">
        <v>228</v>
      </c>
      <c r="N864" t="s">
        <v>229</v>
      </c>
      <c r="O864" t="s">
        <v>28</v>
      </c>
      <c r="P864" t="s">
        <v>153</v>
      </c>
      <c r="Q864" t="s">
        <v>2654</v>
      </c>
      <c r="R864" t="s">
        <v>50</v>
      </c>
      <c r="S864" t="str">
        <f t="shared" si="173"/>
        <v>First Class</v>
      </c>
      <c r="T864">
        <v>5</v>
      </c>
      <c r="U864">
        <v>1395.14</v>
      </c>
      <c r="V864">
        <v>0</v>
      </c>
      <c r="W864">
        <f t="shared" si="174"/>
        <v>0</v>
      </c>
      <c r="X864" t="str">
        <f t="shared" si="175"/>
        <v/>
      </c>
      <c r="Y864">
        <v>6975.7</v>
      </c>
      <c r="Z864">
        <f t="shared" si="176"/>
        <v>6975.7000000000007</v>
      </c>
      <c r="AA864">
        <v>4797.88</v>
      </c>
      <c r="AB864">
        <v>2177.8200000000002</v>
      </c>
      <c r="AC864">
        <f t="shared" si="177"/>
        <v>5580.56</v>
      </c>
      <c r="AD864" s="6">
        <f t="shared" si="178"/>
        <v>0.79999999999999993</v>
      </c>
      <c r="AE864" t="s">
        <v>32</v>
      </c>
      <c r="AF864" t="s">
        <v>68</v>
      </c>
      <c r="AG864">
        <f t="shared" si="179"/>
        <v>3</v>
      </c>
      <c r="AH864">
        <f t="shared" si="180"/>
        <v>2025</v>
      </c>
      <c r="AI864" t="str">
        <f t="shared" si="181"/>
        <v>CLEAN</v>
      </c>
    </row>
    <row r="865" spans="1:35">
      <c r="A865" t="s">
        <v>2655</v>
      </c>
      <c r="B865">
        <f t="shared" si="169"/>
        <v>1</v>
      </c>
      <c r="C865" t="str">
        <f>IF(COUNTIF($A$2:A865, A865)&gt;1, "DUPLICATE_FLAGGED_FOR_REVIEW", "")</f>
        <v/>
      </c>
      <c r="D865" s="3">
        <v>45817</v>
      </c>
      <c r="E865" s="2">
        <v>45878</v>
      </c>
      <c r="F865" s="2" t="str">
        <f t="shared" si="170"/>
        <v>OK</v>
      </c>
      <c r="G865" s="4">
        <f t="shared" si="171"/>
        <v>61</v>
      </c>
      <c r="H865" t="s">
        <v>2656</v>
      </c>
      <c r="I865" t="s">
        <v>128</v>
      </c>
      <c r="J865" t="s">
        <v>95</v>
      </c>
      <c r="K865" t="s">
        <v>63</v>
      </c>
      <c r="L865" t="str">
        <f t="shared" si="172"/>
        <v>West</v>
      </c>
      <c r="M865" t="s">
        <v>72</v>
      </c>
      <c r="N865" t="s">
        <v>73</v>
      </c>
      <c r="O865" t="s">
        <v>41</v>
      </c>
      <c r="P865" t="s">
        <v>57</v>
      </c>
      <c r="Q865" t="s">
        <v>2657</v>
      </c>
      <c r="R865" t="s">
        <v>44</v>
      </c>
      <c r="S865" t="str">
        <f t="shared" si="173"/>
        <v>Same Day</v>
      </c>
      <c r="T865">
        <v>3</v>
      </c>
      <c r="U865">
        <v>2937.23</v>
      </c>
      <c r="V865">
        <v>0</v>
      </c>
      <c r="W865">
        <f t="shared" si="174"/>
        <v>0</v>
      </c>
      <c r="X865" t="str">
        <f t="shared" si="175"/>
        <v/>
      </c>
      <c r="Y865">
        <v>8811.69</v>
      </c>
      <c r="Z865">
        <f t="shared" si="176"/>
        <v>8811.69</v>
      </c>
      <c r="AA865">
        <v>6765.91</v>
      </c>
      <c r="AB865">
        <v>2045.78</v>
      </c>
      <c r="AC865">
        <f t="shared" si="177"/>
        <v>5874.4600000000009</v>
      </c>
      <c r="AD865" s="6">
        <f t="shared" si="178"/>
        <v>0.66666666666666674</v>
      </c>
      <c r="AE865" t="s">
        <v>32</v>
      </c>
      <c r="AF865" t="s">
        <v>33</v>
      </c>
      <c r="AG865">
        <f t="shared" si="179"/>
        <v>6</v>
      </c>
      <c r="AH865">
        <f t="shared" si="180"/>
        <v>2025</v>
      </c>
      <c r="AI865" t="str">
        <f t="shared" si="181"/>
        <v>CLEAN</v>
      </c>
    </row>
    <row r="866" spans="1:35">
      <c r="A866" t="s">
        <v>2658</v>
      </c>
      <c r="B866">
        <f t="shared" si="169"/>
        <v>1</v>
      </c>
      <c r="C866" t="str">
        <f>IF(COUNTIF($A$2:A866, A866)&gt;1, "DUPLICATE_FLAGGED_FOR_REVIEW", "")</f>
        <v/>
      </c>
      <c r="D866" s="3">
        <v>45902</v>
      </c>
      <c r="E866" s="2">
        <v>45905</v>
      </c>
      <c r="F866" s="2" t="str">
        <f t="shared" si="170"/>
        <v>OK</v>
      </c>
      <c r="G866" s="4">
        <f t="shared" si="171"/>
        <v>3</v>
      </c>
      <c r="H866" t="s">
        <v>2659</v>
      </c>
      <c r="I866" t="s">
        <v>71</v>
      </c>
      <c r="J866" t="s">
        <v>24</v>
      </c>
      <c r="K866" t="s">
        <v>54</v>
      </c>
      <c r="L866" t="str">
        <f t="shared" si="172"/>
        <v>South</v>
      </c>
      <c r="M866" t="s">
        <v>247</v>
      </c>
      <c r="N866" t="s">
        <v>248</v>
      </c>
      <c r="O866" t="s">
        <v>74</v>
      </c>
      <c r="P866" t="s">
        <v>171</v>
      </c>
      <c r="Q866" t="s">
        <v>2660</v>
      </c>
      <c r="R866" t="s">
        <v>50</v>
      </c>
      <c r="S866" t="str">
        <f t="shared" si="173"/>
        <v>First Class</v>
      </c>
      <c r="T866">
        <v>5</v>
      </c>
      <c r="U866">
        <v>3406.87</v>
      </c>
      <c r="V866">
        <v>0</v>
      </c>
      <c r="W866">
        <f t="shared" si="174"/>
        <v>0</v>
      </c>
      <c r="X866" t="str">
        <f t="shared" si="175"/>
        <v/>
      </c>
      <c r="Y866">
        <v>17034.349999999999</v>
      </c>
      <c r="Z866">
        <f t="shared" si="176"/>
        <v>17034.349999999999</v>
      </c>
      <c r="AA866">
        <v>14631.36</v>
      </c>
      <c r="AB866">
        <v>2402.9899999999998</v>
      </c>
      <c r="AC866">
        <f t="shared" si="177"/>
        <v>13627.48</v>
      </c>
      <c r="AD866" s="6">
        <f t="shared" si="178"/>
        <v>0.8</v>
      </c>
      <c r="AE866" t="s">
        <v>32</v>
      </c>
      <c r="AF866" t="s">
        <v>33</v>
      </c>
      <c r="AG866">
        <f t="shared" si="179"/>
        <v>9</v>
      </c>
      <c r="AH866">
        <f t="shared" si="180"/>
        <v>2025</v>
      </c>
      <c r="AI866" t="str">
        <f t="shared" si="181"/>
        <v>CLEAN</v>
      </c>
    </row>
    <row r="867" spans="1:35">
      <c r="A867" t="s">
        <v>2661</v>
      </c>
      <c r="B867">
        <f t="shared" si="169"/>
        <v>1</v>
      </c>
      <c r="C867" t="str">
        <f>IF(COUNTIF($A$2:A867, A867)&gt;1, "DUPLICATE_FLAGGED_FOR_REVIEW", "")</f>
        <v/>
      </c>
      <c r="D867" s="3">
        <v>45694</v>
      </c>
      <c r="E867" s="2">
        <v>45702</v>
      </c>
      <c r="F867" s="2" t="str">
        <f t="shared" si="170"/>
        <v>OK</v>
      </c>
      <c r="G867" s="4">
        <f t="shared" si="171"/>
        <v>8</v>
      </c>
      <c r="H867" t="s">
        <v>2662</v>
      </c>
      <c r="I867" t="s">
        <v>264</v>
      </c>
      <c r="J867" t="s">
        <v>24</v>
      </c>
      <c r="K867" t="s">
        <v>63</v>
      </c>
      <c r="L867" t="str">
        <f t="shared" si="172"/>
        <v>West</v>
      </c>
      <c r="M867" t="s">
        <v>64</v>
      </c>
      <c r="N867" t="s">
        <v>65</v>
      </c>
      <c r="O867" t="s">
        <v>28</v>
      </c>
      <c r="P867" t="s">
        <v>91</v>
      </c>
      <c r="Q867" t="s">
        <v>2663</v>
      </c>
      <c r="R867" t="s">
        <v>31</v>
      </c>
      <c r="S867" t="str">
        <f t="shared" si="173"/>
        <v>Second Class</v>
      </c>
      <c r="T867">
        <v>2</v>
      </c>
      <c r="U867">
        <v>3992.04</v>
      </c>
      <c r="V867">
        <v>0</v>
      </c>
      <c r="W867">
        <f t="shared" si="174"/>
        <v>0</v>
      </c>
      <c r="X867" t="str">
        <f t="shared" si="175"/>
        <v/>
      </c>
      <c r="Y867">
        <v>7984.08</v>
      </c>
      <c r="Z867">
        <f t="shared" si="176"/>
        <v>7984.08</v>
      </c>
      <c r="AA867">
        <v>5658.05</v>
      </c>
      <c r="AB867">
        <v>2326.0300000000002</v>
      </c>
      <c r="AC867">
        <f t="shared" si="177"/>
        <v>3992.04</v>
      </c>
      <c r="AD867" s="6">
        <f t="shared" si="178"/>
        <v>0.5</v>
      </c>
      <c r="AE867" t="s">
        <v>32</v>
      </c>
      <c r="AF867" t="s">
        <v>33</v>
      </c>
      <c r="AG867">
        <f t="shared" si="179"/>
        <v>2</v>
      </c>
      <c r="AH867">
        <f t="shared" si="180"/>
        <v>2025</v>
      </c>
      <c r="AI867" t="str">
        <f t="shared" si="181"/>
        <v>CLEAN</v>
      </c>
    </row>
    <row r="868" spans="1:35">
      <c r="A868" t="s">
        <v>2664</v>
      </c>
      <c r="B868">
        <f t="shared" si="169"/>
        <v>1</v>
      </c>
      <c r="C868" t="str">
        <f>IF(COUNTIF($A$2:A868, A868)&gt;1, "DUPLICATE_FLAGGED_FOR_REVIEW", "")</f>
        <v/>
      </c>
      <c r="D868" s="3">
        <v>45714</v>
      </c>
      <c r="E868" s="2">
        <v>45722</v>
      </c>
      <c r="F868" s="2" t="str">
        <f t="shared" si="170"/>
        <v>OK</v>
      </c>
      <c r="G868" s="4">
        <f t="shared" si="171"/>
        <v>8</v>
      </c>
      <c r="H868" t="s">
        <v>2665</v>
      </c>
      <c r="I868" t="s">
        <v>114</v>
      </c>
      <c r="J868" t="s">
        <v>24</v>
      </c>
      <c r="K868" t="s">
        <v>38</v>
      </c>
      <c r="L868" t="str">
        <f t="shared" si="172"/>
        <v>East</v>
      </c>
      <c r="M868" t="s">
        <v>145</v>
      </c>
      <c r="N868" t="s">
        <v>146</v>
      </c>
      <c r="O868" t="s">
        <v>41</v>
      </c>
      <c r="P868" t="s">
        <v>158</v>
      </c>
      <c r="Q868" t="s">
        <v>2666</v>
      </c>
      <c r="R868" t="s">
        <v>50</v>
      </c>
      <c r="S868" t="str">
        <f t="shared" si="173"/>
        <v>First Class</v>
      </c>
      <c r="T868">
        <v>9</v>
      </c>
      <c r="U868">
        <v>3043.37</v>
      </c>
      <c r="V868">
        <v>0.2</v>
      </c>
      <c r="W868">
        <f t="shared" si="174"/>
        <v>0.2</v>
      </c>
      <c r="X868" t="str">
        <f t="shared" si="175"/>
        <v/>
      </c>
      <c r="Y868">
        <v>21912.26</v>
      </c>
      <c r="Z868">
        <f t="shared" si="176"/>
        <v>21912.263999999999</v>
      </c>
      <c r="AA868">
        <v>16367.78</v>
      </c>
      <c r="AB868">
        <v>5544.48</v>
      </c>
      <c r="AC868">
        <f t="shared" si="177"/>
        <v>18868.894</v>
      </c>
      <c r="AD868" s="6">
        <f t="shared" si="178"/>
        <v>0.86111111111111116</v>
      </c>
      <c r="AE868" t="s">
        <v>111</v>
      </c>
      <c r="AF868" t="s">
        <v>68</v>
      </c>
      <c r="AG868">
        <f t="shared" si="179"/>
        <v>2</v>
      </c>
      <c r="AH868">
        <f t="shared" si="180"/>
        <v>2025</v>
      </c>
      <c r="AI868" t="str">
        <f t="shared" si="181"/>
        <v>CLEAN</v>
      </c>
    </row>
    <row r="869" spans="1:35">
      <c r="A869" t="s">
        <v>2667</v>
      </c>
      <c r="B869">
        <f t="shared" si="169"/>
        <v>1</v>
      </c>
      <c r="C869" t="str">
        <f>IF(COUNTIF($A$2:A869, A869)&gt;1, "DUPLICATE_FLAGGED_FOR_REVIEW", "")</f>
        <v/>
      </c>
      <c r="D869" s="3">
        <v>45617</v>
      </c>
      <c r="E869" s="2">
        <v>45618</v>
      </c>
      <c r="F869" s="2" t="str">
        <f t="shared" si="170"/>
        <v>OK</v>
      </c>
      <c r="G869" s="4">
        <f t="shared" si="171"/>
        <v>1</v>
      </c>
      <c r="H869" t="s">
        <v>2668</v>
      </c>
      <c r="I869" t="s">
        <v>118</v>
      </c>
      <c r="J869" t="s">
        <v>95</v>
      </c>
      <c r="K869" t="s">
        <v>54</v>
      </c>
      <c r="L869" t="str">
        <f t="shared" si="172"/>
        <v>South</v>
      </c>
      <c r="M869" t="s">
        <v>84</v>
      </c>
      <c r="N869" t="s">
        <v>85</v>
      </c>
      <c r="O869" t="s">
        <v>74</v>
      </c>
      <c r="P869" t="s">
        <v>75</v>
      </c>
      <c r="Q869" t="s">
        <v>2669</v>
      </c>
      <c r="R869" t="s">
        <v>44</v>
      </c>
      <c r="S869" t="str">
        <f t="shared" si="173"/>
        <v>Same Day</v>
      </c>
      <c r="T869">
        <v>6</v>
      </c>
      <c r="U869">
        <v>1043.49</v>
      </c>
      <c r="V869">
        <v>0.25</v>
      </c>
      <c r="W869">
        <f t="shared" si="174"/>
        <v>0.25</v>
      </c>
      <c r="X869" t="str">
        <f t="shared" si="175"/>
        <v/>
      </c>
      <c r="Y869">
        <v>4695.7</v>
      </c>
      <c r="Z869">
        <f t="shared" si="176"/>
        <v>4695.7049999999999</v>
      </c>
      <c r="AA869">
        <v>3871.69</v>
      </c>
      <c r="AB869">
        <v>824.01</v>
      </c>
      <c r="AC869">
        <f t="shared" si="177"/>
        <v>3652.2150000000001</v>
      </c>
      <c r="AD869" s="6">
        <f t="shared" si="178"/>
        <v>0.77777777777777779</v>
      </c>
      <c r="AE869" t="s">
        <v>155</v>
      </c>
      <c r="AF869" t="s">
        <v>68</v>
      </c>
      <c r="AG869">
        <f t="shared" si="179"/>
        <v>11</v>
      </c>
      <c r="AH869">
        <f t="shared" si="180"/>
        <v>2024</v>
      </c>
      <c r="AI869" t="str">
        <f t="shared" si="181"/>
        <v>CLEAN</v>
      </c>
    </row>
    <row r="870" spans="1:35">
      <c r="A870" t="s">
        <v>2670</v>
      </c>
      <c r="B870">
        <f t="shared" si="169"/>
        <v>1</v>
      </c>
      <c r="C870" t="str">
        <f>IF(COUNTIF($A$2:A870, A870)&gt;1, "DUPLICATE_FLAGGED_FOR_REVIEW", "")</f>
        <v/>
      </c>
      <c r="D870" s="3">
        <v>45758</v>
      </c>
      <c r="E870" s="2">
        <v>45762</v>
      </c>
      <c r="F870" s="2" t="str">
        <f t="shared" si="170"/>
        <v>OK</v>
      </c>
      <c r="G870" s="4">
        <f t="shared" si="171"/>
        <v>4</v>
      </c>
      <c r="H870" t="s">
        <v>2671</v>
      </c>
      <c r="I870" t="s">
        <v>71</v>
      </c>
      <c r="J870" t="s">
        <v>95</v>
      </c>
      <c r="K870" t="s">
        <v>54</v>
      </c>
      <c r="L870" t="str">
        <f t="shared" si="172"/>
        <v>South</v>
      </c>
      <c r="M870" t="s">
        <v>175</v>
      </c>
      <c r="N870" t="s">
        <v>176</v>
      </c>
      <c r="O870" t="s">
        <v>28</v>
      </c>
      <c r="P870" t="s">
        <v>124</v>
      </c>
      <c r="Q870" t="s">
        <v>2672</v>
      </c>
      <c r="R870" t="s">
        <v>44</v>
      </c>
      <c r="S870" t="str">
        <f t="shared" si="173"/>
        <v>Same Day</v>
      </c>
      <c r="T870">
        <v>9</v>
      </c>
      <c r="U870">
        <v>224.94</v>
      </c>
      <c r="V870">
        <v>0.05</v>
      </c>
      <c r="W870">
        <f t="shared" si="174"/>
        <v>0.05</v>
      </c>
      <c r="X870" t="str">
        <f t="shared" si="175"/>
        <v/>
      </c>
      <c r="Y870">
        <v>1923.24</v>
      </c>
      <c r="Z870">
        <f t="shared" si="176"/>
        <v>1923.2369999999999</v>
      </c>
      <c r="AA870">
        <v>1093.6600000000001</v>
      </c>
      <c r="AB870">
        <v>829.58</v>
      </c>
      <c r="AC870">
        <f t="shared" si="177"/>
        <v>1698.2969999999998</v>
      </c>
      <c r="AD870" s="6">
        <f t="shared" si="178"/>
        <v>0.88304093567251463</v>
      </c>
      <c r="AE870" t="s">
        <v>32</v>
      </c>
      <c r="AF870" t="s">
        <v>33</v>
      </c>
      <c r="AG870">
        <f t="shared" si="179"/>
        <v>4</v>
      </c>
      <c r="AH870">
        <f t="shared" si="180"/>
        <v>2025</v>
      </c>
      <c r="AI870" t="str">
        <f t="shared" si="181"/>
        <v>CLEAN</v>
      </c>
    </row>
    <row r="871" spans="1:35">
      <c r="A871" t="s">
        <v>2673</v>
      </c>
      <c r="B871">
        <f t="shared" si="169"/>
        <v>1</v>
      </c>
      <c r="C871" t="str">
        <f>IF(COUNTIF($A$2:A871, A871)&gt;1, "DUPLICATE_FLAGGED_FOR_REVIEW", "")</f>
        <v/>
      </c>
      <c r="D871" s="3">
        <v>45811</v>
      </c>
      <c r="E871" s="2">
        <v>45723</v>
      </c>
      <c r="F871" s="2" t="str">
        <f t="shared" si="170"/>
        <v>ERROR: Ship before order</v>
      </c>
      <c r="G871" s="4">
        <f t="shared" si="171"/>
        <v>-88</v>
      </c>
      <c r="H871" t="s">
        <v>2674</v>
      </c>
      <c r="I871" t="s">
        <v>141</v>
      </c>
      <c r="J871" t="s">
        <v>95</v>
      </c>
      <c r="K871" t="s">
        <v>2760</v>
      </c>
      <c r="L871" t="str">
        <f t="shared" si="172"/>
        <v>Unknown</v>
      </c>
      <c r="M871" t="s">
        <v>350</v>
      </c>
      <c r="N871" t="s">
        <v>351</v>
      </c>
      <c r="O871" t="s">
        <v>41</v>
      </c>
      <c r="P871" t="s">
        <v>66</v>
      </c>
      <c r="Q871" t="s">
        <v>1145</v>
      </c>
      <c r="R871" t="s">
        <v>44</v>
      </c>
      <c r="S871" t="str">
        <f t="shared" si="173"/>
        <v>Same Day</v>
      </c>
      <c r="T871">
        <v>6</v>
      </c>
      <c r="U871">
        <v>796.65</v>
      </c>
      <c r="V871">
        <v>0.1</v>
      </c>
      <c r="W871">
        <f t="shared" si="174"/>
        <v>0.1</v>
      </c>
      <c r="X871" t="str">
        <f t="shared" si="175"/>
        <v/>
      </c>
      <c r="Y871">
        <v>4301.91</v>
      </c>
      <c r="Z871">
        <f t="shared" si="176"/>
        <v>4301.91</v>
      </c>
      <c r="AA871">
        <v>2374.4</v>
      </c>
      <c r="AB871">
        <v>1927.51</v>
      </c>
      <c r="AC871">
        <f t="shared" si="177"/>
        <v>3505.2599999999998</v>
      </c>
      <c r="AD871" s="6">
        <f t="shared" si="178"/>
        <v>0.81481481481481477</v>
      </c>
      <c r="AE871" t="s">
        <v>32</v>
      </c>
      <c r="AF871" t="s">
        <v>33</v>
      </c>
      <c r="AG871">
        <f t="shared" si="179"/>
        <v>6</v>
      </c>
      <c r="AH871">
        <f t="shared" si="180"/>
        <v>2025</v>
      </c>
      <c r="AI871" t="str">
        <f t="shared" si="181"/>
        <v>INVALID</v>
      </c>
    </row>
    <row r="872" spans="1:35">
      <c r="A872" t="s">
        <v>2675</v>
      </c>
      <c r="B872">
        <f t="shared" si="169"/>
        <v>1</v>
      </c>
      <c r="C872" t="str">
        <f>IF(COUNTIF($A$2:A872, A872)&gt;1, "DUPLICATE_FLAGGED_FOR_REVIEW", "")</f>
        <v/>
      </c>
      <c r="D872" s="3">
        <v>45814</v>
      </c>
      <c r="E872" s="2">
        <v>45815</v>
      </c>
      <c r="F872" s="2" t="str">
        <f t="shared" si="170"/>
        <v>OK</v>
      </c>
      <c r="G872" s="4">
        <f t="shared" si="171"/>
        <v>1</v>
      </c>
      <c r="H872" t="s">
        <v>2676</v>
      </c>
      <c r="I872" t="s">
        <v>71</v>
      </c>
      <c r="J872" t="s">
        <v>90</v>
      </c>
      <c r="K872" t="s">
        <v>63</v>
      </c>
      <c r="L872" t="str">
        <f t="shared" si="172"/>
        <v>West</v>
      </c>
      <c r="M872" t="s">
        <v>190</v>
      </c>
      <c r="N872" t="s">
        <v>191</v>
      </c>
      <c r="O872" t="s">
        <v>41</v>
      </c>
      <c r="P872" t="s">
        <v>42</v>
      </c>
      <c r="Q872" t="s">
        <v>2677</v>
      </c>
      <c r="R872" t="s">
        <v>59</v>
      </c>
      <c r="S872" t="str">
        <f t="shared" si="173"/>
        <v>Standard Class</v>
      </c>
      <c r="T872">
        <v>9</v>
      </c>
      <c r="U872">
        <v>2932.92</v>
      </c>
      <c r="V872">
        <v>0.15</v>
      </c>
      <c r="W872">
        <f t="shared" si="174"/>
        <v>0.15</v>
      </c>
      <c r="X872" t="str">
        <f t="shared" si="175"/>
        <v/>
      </c>
      <c r="Y872">
        <v>22436.84</v>
      </c>
      <c r="Z872">
        <f t="shared" si="176"/>
        <v>22436.838</v>
      </c>
      <c r="AA872">
        <v>17454.669999999998</v>
      </c>
      <c r="AB872">
        <v>4982.17</v>
      </c>
      <c r="AC872">
        <f t="shared" si="177"/>
        <v>19503.917999999998</v>
      </c>
      <c r="AD872" s="6">
        <f t="shared" si="178"/>
        <v>0.8692810457516339</v>
      </c>
      <c r="AE872" t="s">
        <v>32</v>
      </c>
      <c r="AF872" t="s">
        <v>68</v>
      </c>
      <c r="AG872">
        <f t="shared" si="179"/>
        <v>6</v>
      </c>
      <c r="AH872">
        <f t="shared" si="180"/>
        <v>2025</v>
      </c>
      <c r="AI872" t="str">
        <f t="shared" si="181"/>
        <v>CLEAN</v>
      </c>
    </row>
    <row r="873" spans="1:35">
      <c r="A873" t="s">
        <v>2678</v>
      </c>
      <c r="B873">
        <f t="shared" si="169"/>
        <v>1</v>
      </c>
      <c r="C873" t="str">
        <f>IF(COUNTIF($A$2:A873, A873)&gt;1, "DUPLICATE_FLAGGED_FOR_REVIEW", "")</f>
        <v/>
      </c>
      <c r="D873" s="3">
        <v>45342</v>
      </c>
      <c r="E873" s="2">
        <v>45344</v>
      </c>
      <c r="F873" s="2" t="str">
        <f t="shared" si="170"/>
        <v>OK</v>
      </c>
      <c r="G873" s="4">
        <f t="shared" si="171"/>
        <v>2</v>
      </c>
      <c r="H873" t="s">
        <v>2549</v>
      </c>
      <c r="I873" t="s">
        <v>79</v>
      </c>
      <c r="J873" t="s">
        <v>37</v>
      </c>
      <c r="K873" t="s">
        <v>54</v>
      </c>
      <c r="L873" t="str">
        <f t="shared" si="172"/>
        <v>South</v>
      </c>
      <c r="M873" t="s">
        <v>55</v>
      </c>
      <c r="N873" t="s">
        <v>56</v>
      </c>
      <c r="O873" t="s">
        <v>74</v>
      </c>
      <c r="P873" t="s">
        <v>75</v>
      </c>
      <c r="Q873" t="s">
        <v>2679</v>
      </c>
      <c r="R873" t="s">
        <v>50</v>
      </c>
      <c r="S873" t="str">
        <f t="shared" si="173"/>
        <v>First Class</v>
      </c>
      <c r="T873">
        <v>9</v>
      </c>
      <c r="U873">
        <v>2186.23</v>
      </c>
      <c r="V873">
        <v>0</v>
      </c>
      <c r="W873">
        <f t="shared" si="174"/>
        <v>0</v>
      </c>
      <c r="X873" t="str">
        <f t="shared" si="175"/>
        <v/>
      </c>
      <c r="Y873">
        <v>19676.07</v>
      </c>
      <c r="Z873">
        <f t="shared" si="176"/>
        <v>19676.07</v>
      </c>
      <c r="AA873">
        <v>12458.62</v>
      </c>
      <c r="AB873">
        <v>7217.45</v>
      </c>
      <c r="AC873">
        <f t="shared" si="177"/>
        <v>17489.84</v>
      </c>
      <c r="AD873" s="6">
        <f t="shared" si="178"/>
        <v>0.88888888888888895</v>
      </c>
      <c r="AE873" t="s">
        <v>102</v>
      </c>
      <c r="AF873" t="s">
        <v>68</v>
      </c>
      <c r="AG873">
        <f t="shared" si="179"/>
        <v>2</v>
      </c>
      <c r="AH873">
        <f t="shared" si="180"/>
        <v>2024</v>
      </c>
      <c r="AI873" t="str">
        <f t="shared" si="181"/>
        <v>CLEAN</v>
      </c>
    </row>
    <row r="874" spans="1:35">
      <c r="A874" t="s">
        <v>2680</v>
      </c>
      <c r="B874">
        <f t="shared" si="169"/>
        <v>1</v>
      </c>
      <c r="C874" t="str">
        <f>IF(COUNTIF($A$2:A874, A874)&gt;1, "DUPLICATE_FLAGGED_FOR_REVIEW", "")</f>
        <v/>
      </c>
      <c r="D874" s="3">
        <v>45302</v>
      </c>
      <c r="E874" s="2">
        <v>45598</v>
      </c>
      <c r="F874" s="2" t="str">
        <f t="shared" si="170"/>
        <v>OK</v>
      </c>
      <c r="G874" s="4">
        <f t="shared" si="171"/>
        <v>296</v>
      </c>
      <c r="H874" t="s">
        <v>1958</v>
      </c>
      <c r="I874" t="s">
        <v>23</v>
      </c>
      <c r="J874" t="s">
        <v>90</v>
      </c>
      <c r="K874" t="s">
        <v>38</v>
      </c>
      <c r="L874" t="str">
        <f t="shared" si="172"/>
        <v>East</v>
      </c>
      <c r="M874" t="s">
        <v>99</v>
      </c>
      <c r="N874" t="s">
        <v>100</v>
      </c>
      <c r="O874" t="s">
        <v>41</v>
      </c>
      <c r="P874" t="s">
        <v>57</v>
      </c>
      <c r="Q874" t="s">
        <v>2681</v>
      </c>
      <c r="R874" t="s">
        <v>59</v>
      </c>
      <c r="S874" t="str">
        <f t="shared" si="173"/>
        <v>Standard Class</v>
      </c>
      <c r="T874">
        <v>5</v>
      </c>
      <c r="U874">
        <v>2212.02</v>
      </c>
      <c r="V874">
        <v>0.2</v>
      </c>
      <c r="W874">
        <f t="shared" si="174"/>
        <v>0.2</v>
      </c>
      <c r="X874" t="str">
        <f t="shared" si="175"/>
        <v/>
      </c>
      <c r="Y874">
        <v>8848.08</v>
      </c>
      <c r="Z874">
        <f t="shared" si="176"/>
        <v>8848.08</v>
      </c>
      <c r="AA874">
        <v>5691.56</v>
      </c>
      <c r="AB874">
        <v>3156.52</v>
      </c>
      <c r="AC874">
        <f t="shared" si="177"/>
        <v>6636.0599999999995</v>
      </c>
      <c r="AD874" s="6">
        <f t="shared" si="178"/>
        <v>0.75</v>
      </c>
      <c r="AE874" t="s">
        <v>32</v>
      </c>
      <c r="AF874" t="s">
        <v>33</v>
      </c>
      <c r="AG874">
        <f t="shared" si="179"/>
        <v>1</v>
      </c>
      <c r="AH874">
        <f t="shared" si="180"/>
        <v>2024</v>
      </c>
      <c r="AI874" t="str">
        <f t="shared" si="181"/>
        <v>CLEAN</v>
      </c>
    </row>
    <row r="875" spans="1:35">
      <c r="A875" t="s">
        <v>2682</v>
      </c>
      <c r="B875">
        <f t="shared" si="169"/>
        <v>1</v>
      </c>
      <c r="C875" t="str">
        <f>IF(COUNTIF($A$2:A875, A875)&gt;1, "DUPLICATE_FLAGGED_FOR_REVIEW", "")</f>
        <v/>
      </c>
      <c r="D875" s="3">
        <v>45689</v>
      </c>
      <c r="E875" s="2">
        <v>45696</v>
      </c>
      <c r="F875" s="2" t="str">
        <f t="shared" si="170"/>
        <v>OK</v>
      </c>
      <c r="G875" s="4">
        <f t="shared" si="171"/>
        <v>7</v>
      </c>
      <c r="H875" t="s">
        <v>2683</v>
      </c>
      <c r="I875" t="s">
        <v>89</v>
      </c>
      <c r="J875" t="s">
        <v>95</v>
      </c>
      <c r="K875" t="s">
        <v>63</v>
      </c>
      <c r="L875" t="str">
        <f t="shared" si="172"/>
        <v>West</v>
      </c>
      <c r="M875" t="s">
        <v>180</v>
      </c>
      <c r="N875" t="s">
        <v>181</v>
      </c>
      <c r="O875" t="s">
        <v>28</v>
      </c>
      <c r="P875" t="s">
        <v>124</v>
      </c>
      <c r="Q875" t="s">
        <v>2684</v>
      </c>
      <c r="R875" t="s">
        <v>31</v>
      </c>
      <c r="S875" t="str">
        <f t="shared" si="173"/>
        <v>Second Class</v>
      </c>
      <c r="T875">
        <v>8</v>
      </c>
      <c r="U875">
        <v>623.30999999999995</v>
      </c>
      <c r="V875">
        <v>0.1</v>
      </c>
      <c r="W875">
        <f t="shared" si="174"/>
        <v>0.1</v>
      </c>
      <c r="X875" t="str">
        <f t="shared" si="175"/>
        <v/>
      </c>
      <c r="Y875">
        <v>4487.83</v>
      </c>
      <c r="Z875">
        <f t="shared" si="176"/>
        <v>4487.8319999999994</v>
      </c>
      <c r="AA875">
        <v>2633.78</v>
      </c>
      <c r="AB875">
        <v>1854.05</v>
      </c>
      <c r="AC875">
        <f t="shared" si="177"/>
        <v>3864.5219999999995</v>
      </c>
      <c r="AD875" s="6">
        <f t="shared" si="178"/>
        <v>0.86111111111111116</v>
      </c>
      <c r="AE875" t="s">
        <v>32</v>
      </c>
      <c r="AF875" t="s">
        <v>33</v>
      </c>
      <c r="AG875">
        <f t="shared" si="179"/>
        <v>2</v>
      </c>
      <c r="AH875">
        <f t="shared" si="180"/>
        <v>2025</v>
      </c>
      <c r="AI875" t="str">
        <f t="shared" si="181"/>
        <v>CLEAN</v>
      </c>
    </row>
    <row r="876" spans="1:35">
      <c r="A876" t="s">
        <v>2685</v>
      </c>
      <c r="B876">
        <f t="shared" si="169"/>
        <v>1</v>
      </c>
      <c r="C876" t="str">
        <f>IF(COUNTIF($A$2:A876, A876)&gt;1, "DUPLICATE_FLAGGED_FOR_REVIEW", "")</f>
        <v/>
      </c>
      <c r="D876" s="3">
        <v>45853</v>
      </c>
      <c r="E876" s="2">
        <v>45854</v>
      </c>
      <c r="F876" s="2" t="str">
        <f t="shared" si="170"/>
        <v>OK</v>
      </c>
      <c r="G876" s="4">
        <f t="shared" si="171"/>
        <v>1</v>
      </c>
      <c r="H876" t="s">
        <v>2686</v>
      </c>
      <c r="I876" t="s">
        <v>71</v>
      </c>
      <c r="J876" t="s">
        <v>37</v>
      </c>
      <c r="K876" t="s">
        <v>63</v>
      </c>
      <c r="L876" t="str">
        <f t="shared" si="172"/>
        <v>West</v>
      </c>
      <c r="M876" t="s">
        <v>64</v>
      </c>
      <c r="N876" t="s">
        <v>65</v>
      </c>
      <c r="O876" t="s">
        <v>28</v>
      </c>
      <c r="P876" t="s">
        <v>29</v>
      </c>
      <c r="Q876" t="s">
        <v>2687</v>
      </c>
      <c r="R876" t="s">
        <v>59</v>
      </c>
      <c r="S876" t="str">
        <f t="shared" si="173"/>
        <v>Standard Class</v>
      </c>
      <c r="T876">
        <v>8</v>
      </c>
      <c r="U876">
        <v>3924.88</v>
      </c>
      <c r="V876">
        <v>0.05</v>
      </c>
      <c r="W876">
        <f t="shared" si="174"/>
        <v>0.05</v>
      </c>
      <c r="X876" t="str">
        <f t="shared" si="175"/>
        <v/>
      </c>
      <c r="Y876">
        <v>29829.09</v>
      </c>
      <c r="Z876">
        <f t="shared" si="176"/>
        <v>29829.088</v>
      </c>
      <c r="AA876">
        <v>20710.18</v>
      </c>
      <c r="AB876">
        <v>9118.91</v>
      </c>
      <c r="AC876">
        <f t="shared" si="177"/>
        <v>25904.207999999999</v>
      </c>
      <c r="AD876" s="6">
        <f t="shared" si="178"/>
        <v>0.86842105263157887</v>
      </c>
      <c r="AE876" t="s">
        <v>32</v>
      </c>
      <c r="AF876" t="s">
        <v>33</v>
      </c>
      <c r="AG876">
        <f t="shared" si="179"/>
        <v>7</v>
      </c>
      <c r="AH876">
        <f t="shared" si="180"/>
        <v>2025</v>
      </c>
      <c r="AI876" t="str">
        <f t="shared" si="181"/>
        <v>CLEAN</v>
      </c>
    </row>
    <row r="877" spans="1:35">
      <c r="A877" t="s">
        <v>2688</v>
      </c>
      <c r="B877">
        <f t="shared" si="169"/>
        <v>1</v>
      </c>
      <c r="C877" t="str">
        <f>IF(COUNTIF($A$2:A877, A877)&gt;1, "DUPLICATE_FLAGGED_FOR_REVIEW", "")</f>
        <v/>
      </c>
      <c r="D877" s="3">
        <v>45514</v>
      </c>
      <c r="E877" s="2">
        <v>45604</v>
      </c>
      <c r="F877" s="2" t="str">
        <f t="shared" si="170"/>
        <v>OK</v>
      </c>
      <c r="G877" s="4">
        <f t="shared" si="171"/>
        <v>90</v>
      </c>
      <c r="H877" t="s">
        <v>2689</v>
      </c>
      <c r="I877" t="s">
        <v>36</v>
      </c>
      <c r="J877" t="s">
        <v>90</v>
      </c>
      <c r="K877" t="s">
        <v>63</v>
      </c>
      <c r="L877" t="str">
        <f t="shared" si="172"/>
        <v>West</v>
      </c>
      <c r="M877" t="s">
        <v>64</v>
      </c>
      <c r="N877" t="s">
        <v>65</v>
      </c>
      <c r="O877" t="s">
        <v>74</v>
      </c>
      <c r="P877" t="s">
        <v>80</v>
      </c>
      <c r="Q877" t="s">
        <v>2690</v>
      </c>
      <c r="R877" t="s">
        <v>50</v>
      </c>
      <c r="S877" t="str">
        <f t="shared" si="173"/>
        <v>First Class</v>
      </c>
      <c r="T877">
        <v>7</v>
      </c>
      <c r="U877">
        <v>3852.62</v>
      </c>
      <c r="V877">
        <v>0.2</v>
      </c>
      <c r="W877">
        <f t="shared" si="174"/>
        <v>0.2</v>
      </c>
      <c r="X877" t="str">
        <f t="shared" si="175"/>
        <v/>
      </c>
      <c r="Y877">
        <v>21574.67</v>
      </c>
      <c r="Z877">
        <f t="shared" si="176"/>
        <v>21574.672000000002</v>
      </c>
      <c r="AA877">
        <v>14672.83</v>
      </c>
      <c r="AB877">
        <v>6901.84</v>
      </c>
      <c r="AC877">
        <f t="shared" si="177"/>
        <v>17722.052000000003</v>
      </c>
      <c r="AD877" s="6">
        <f t="shared" si="178"/>
        <v>0.82142857142857151</v>
      </c>
      <c r="AE877" t="s">
        <v>32</v>
      </c>
      <c r="AF877" t="s">
        <v>33</v>
      </c>
      <c r="AG877">
        <f t="shared" si="179"/>
        <v>8</v>
      </c>
      <c r="AH877">
        <f t="shared" si="180"/>
        <v>2024</v>
      </c>
      <c r="AI877" t="str">
        <f t="shared" si="181"/>
        <v>CLEAN</v>
      </c>
    </row>
    <row r="878" spans="1:35">
      <c r="A878" t="s">
        <v>2691</v>
      </c>
      <c r="B878">
        <f t="shared" si="169"/>
        <v>1</v>
      </c>
      <c r="C878" t="str">
        <f>IF(COUNTIF($A$2:A878, A878)&gt;1, "DUPLICATE_FLAGGED_FOR_REVIEW", "")</f>
        <v/>
      </c>
      <c r="D878" s="3">
        <v>45614</v>
      </c>
      <c r="E878" s="2">
        <v>45616</v>
      </c>
      <c r="F878" s="2" t="str">
        <f t="shared" si="170"/>
        <v>OK</v>
      </c>
      <c r="G878" s="4">
        <f t="shared" si="171"/>
        <v>2</v>
      </c>
      <c r="H878" t="s">
        <v>2692</v>
      </c>
      <c r="I878" t="s">
        <v>114</v>
      </c>
      <c r="J878" t="s">
        <v>24</v>
      </c>
      <c r="K878" t="s">
        <v>63</v>
      </c>
      <c r="L878" t="str">
        <f t="shared" si="172"/>
        <v>West</v>
      </c>
      <c r="M878" t="s">
        <v>26</v>
      </c>
      <c r="N878" t="s">
        <v>109</v>
      </c>
      <c r="O878" t="s">
        <v>41</v>
      </c>
      <c r="P878" t="s">
        <v>66</v>
      </c>
      <c r="Q878" t="s">
        <v>843</v>
      </c>
      <c r="R878" t="s">
        <v>50</v>
      </c>
      <c r="S878" t="str">
        <f t="shared" si="173"/>
        <v>First Class</v>
      </c>
      <c r="T878">
        <v>6</v>
      </c>
      <c r="U878">
        <v>3790.22</v>
      </c>
      <c r="V878">
        <v>0</v>
      </c>
      <c r="W878">
        <f t="shared" si="174"/>
        <v>0</v>
      </c>
      <c r="X878" t="str">
        <f t="shared" si="175"/>
        <v/>
      </c>
      <c r="Y878">
        <v>22741.32</v>
      </c>
      <c r="Z878">
        <f t="shared" si="176"/>
        <v>22741.32</v>
      </c>
      <c r="AA878">
        <v>16388.57</v>
      </c>
      <c r="AB878">
        <v>6352.75</v>
      </c>
      <c r="AC878">
        <f t="shared" si="177"/>
        <v>18951.099999999999</v>
      </c>
      <c r="AD878" s="6">
        <f t="shared" si="178"/>
        <v>0.83333333333333326</v>
      </c>
      <c r="AE878" t="s">
        <v>32</v>
      </c>
      <c r="AF878" t="s">
        <v>33</v>
      </c>
      <c r="AG878">
        <f t="shared" si="179"/>
        <v>11</v>
      </c>
      <c r="AH878">
        <f t="shared" si="180"/>
        <v>2024</v>
      </c>
      <c r="AI878" t="str">
        <f t="shared" si="181"/>
        <v>CLEAN</v>
      </c>
    </row>
    <row r="879" spans="1:35">
      <c r="A879" t="s">
        <v>2693</v>
      </c>
      <c r="B879">
        <f t="shared" si="169"/>
        <v>1</v>
      </c>
      <c r="C879" t="str">
        <f>IF(COUNTIF($A$2:A879, A879)&gt;1, "DUPLICATE_FLAGGED_FOR_REVIEW", "")</f>
        <v/>
      </c>
      <c r="D879" s="3">
        <v>45895</v>
      </c>
      <c r="E879" s="2">
        <v>45903</v>
      </c>
      <c r="F879" s="2" t="str">
        <f t="shared" si="170"/>
        <v>OK</v>
      </c>
      <c r="G879" s="4">
        <f t="shared" si="171"/>
        <v>8</v>
      </c>
      <c r="H879" t="s">
        <v>2694</v>
      </c>
      <c r="I879" t="s">
        <v>128</v>
      </c>
      <c r="J879" t="s">
        <v>24</v>
      </c>
      <c r="K879" t="s">
        <v>63</v>
      </c>
      <c r="L879" t="str">
        <f t="shared" si="172"/>
        <v>West</v>
      </c>
      <c r="M879" t="s">
        <v>26</v>
      </c>
      <c r="N879" t="s">
        <v>109</v>
      </c>
      <c r="O879" t="s">
        <v>28</v>
      </c>
      <c r="P879" t="s">
        <v>124</v>
      </c>
      <c r="Q879" t="s">
        <v>2695</v>
      </c>
      <c r="R879" t="s">
        <v>31</v>
      </c>
      <c r="S879" t="str">
        <f t="shared" si="173"/>
        <v>Second Class</v>
      </c>
      <c r="T879">
        <v>6</v>
      </c>
      <c r="U879">
        <v>674.36</v>
      </c>
      <c r="V879">
        <v>0.1</v>
      </c>
      <c r="W879">
        <f t="shared" si="174"/>
        <v>0.1</v>
      </c>
      <c r="X879" t="str">
        <f t="shared" si="175"/>
        <v/>
      </c>
      <c r="Y879">
        <v>3641.54</v>
      </c>
      <c r="Z879">
        <f t="shared" si="176"/>
        <v>3641.5439999999999</v>
      </c>
      <c r="AA879">
        <v>2690.37</v>
      </c>
      <c r="AB879">
        <v>951.17</v>
      </c>
      <c r="AC879">
        <f t="shared" si="177"/>
        <v>2967.1839999999997</v>
      </c>
      <c r="AD879" s="6">
        <f t="shared" si="178"/>
        <v>0.81481481481481477</v>
      </c>
      <c r="AE879" t="s">
        <v>32</v>
      </c>
      <c r="AF879" t="s">
        <v>33</v>
      </c>
      <c r="AG879">
        <f t="shared" si="179"/>
        <v>8</v>
      </c>
      <c r="AH879">
        <f t="shared" si="180"/>
        <v>2025</v>
      </c>
      <c r="AI879" t="str">
        <f t="shared" si="181"/>
        <v>CLEAN</v>
      </c>
    </row>
    <row r="880" spans="1:35">
      <c r="A880" t="s">
        <v>2696</v>
      </c>
      <c r="B880">
        <f t="shared" si="169"/>
        <v>1</v>
      </c>
      <c r="C880" t="str">
        <f>IF(COUNTIF($A$2:A880, A880)&gt;1, "DUPLICATE_FLAGGED_FOR_REVIEW", "")</f>
        <v/>
      </c>
      <c r="D880" s="3">
        <v>45313</v>
      </c>
      <c r="E880" s="2">
        <v>45313</v>
      </c>
      <c r="F880" s="2" t="str">
        <f t="shared" si="170"/>
        <v>OK</v>
      </c>
      <c r="G880" s="4">
        <f t="shared" si="171"/>
        <v>0</v>
      </c>
      <c r="H880" t="s">
        <v>2697</v>
      </c>
      <c r="I880" t="s">
        <v>23</v>
      </c>
      <c r="J880" t="s">
        <v>90</v>
      </c>
      <c r="K880" t="s">
        <v>38</v>
      </c>
      <c r="L880" t="str">
        <f t="shared" si="172"/>
        <v>East</v>
      </c>
      <c r="M880" t="s">
        <v>99</v>
      </c>
      <c r="N880" t="s">
        <v>100</v>
      </c>
      <c r="O880" t="s">
        <v>28</v>
      </c>
      <c r="P880" t="s">
        <v>29</v>
      </c>
      <c r="Q880" t="s">
        <v>2698</v>
      </c>
      <c r="R880" t="s">
        <v>50</v>
      </c>
      <c r="S880" t="str">
        <f t="shared" si="173"/>
        <v>First Class</v>
      </c>
      <c r="T880">
        <v>8</v>
      </c>
      <c r="U880">
        <v>1557.21</v>
      </c>
      <c r="V880">
        <v>0.05</v>
      </c>
      <c r="W880">
        <f t="shared" si="174"/>
        <v>0.05</v>
      </c>
      <c r="X880" t="str">
        <f t="shared" si="175"/>
        <v/>
      </c>
      <c r="Y880">
        <v>11834.8</v>
      </c>
      <c r="Z880">
        <f t="shared" si="176"/>
        <v>11834.796</v>
      </c>
      <c r="AA880">
        <v>9322.36</v>
      </c>
      <c r="AB880">
        <v>2512.44</v>
      </c>
      <c r="AC880">
        <f t="shared" si="177"/>
        <v>10277.585999999999</v>
      </c>
      <c r="AD880" s="6">
        <f t="shared" si="178"/>
        <v>0.86842105263157887</v>
      </c>
      <c r="AE880" t="s">
        <v>32</v>
      </c>
      <c r="AF880" t="s">
        <v>33</v>
      </c>
      <c r="AG880">
        <f t="shared" si="179"/>
        <v>1</v>
      </c>
      <c r="AH880">
        <f t="shared" si="180"/>
        <v>2024</v>
      </c>
      <c r="AI880" t="str">
        <f t="shared" si="181"/>
        <v>CLEAN</v>
      </c>
    </row>
    <row r="881" spans="1:35">
      <c r="A881" t="s">
        <v>2699</v>
      </c>
      <c r="B881">
        <f t="shared" si="169"/>
        <v>1</v>
      </c>
      <c r="C881" t="str">
        <f>IF(COUNTIF($A$2:A881, A881)&gt;1, "DUPLICATE_FLAGGED_FOR_REVIEW", "")</f>
        <v/>
      </c>
      <c r="D881" s="3">
        <v>45896</v>
      </c>
      <c r="E881" s="2">
        <v>45897</v>
      </c>
      <c r="F881" s="2" t="str">
        <f t="shared" si="170"/>
        <v>OK</v>
      </c>
      <c r="G881" s="4">
        <f t="shared" si="171"/>
        <v>1</v>
      </c>
      <c r="H881" t="s">
        <v>2700</v>
      </c>
      <c r="I881" t="s">
        <v>62</v>
      </c>
      <c r="J881" t="s">
        <v>95</v>
      </c>
      <c r="K881" t="s">
        <v>25</v>
      </c>
      <c r="L881" t="str">
        <f t="shared" si="172"/>
        <v>North</v>
      </c>
      <c r="M881" t="s">
        <v>136</v>
      </c>
      <c r="N881" t="s">
        <v>137</v>
      </c>
      <c r="O881" t="s">
        <v>28</v>
      </c>
      <c r="P881" t="s">
        <v>48</v>
      </c>
      <c r="Q881" t="s">
        <v>2701</v>
      </c>
      <c r="R881" t="s">
        <v>59</v>
      </c>
      <c r="S881" t="str">
        <f t="shared" si="173"/>
        <v>Standard Class</v>
      </c>
      <c r="T881">
        <v>6</v>
      </c>
      <c r="U881">
        <v>1182.03</v>
      </c>
      <c r="V881">
        <v>0.15</v>
      </c>
      <c r="W881">
        <f t="shared" si="174"/>
        <v>0.15</v>
      </c>
      <c r="X881" t="str">
        <f t="shared" si="175"/>
        <v/>
      </c>
      <c r="Y881">
        <v>6028.35</v>
      </c>
      <c r="Z881">
        <f t="shared" si="176"/>
        <v>6028.3530000000001</v>
      </c>
      <c r="AA881">
        <v>4433.63</v>
      </c>
      <c r="AB881">
        <v>1594.72</v>
      </c>
      <c r="AC881">
        <f t="shared" si="177"/>
        <v>4846.3230000000003</v>
      </c>
      <c r="AD881" s="6">
        <f t="shared" si="178"/>
        <v>0.80392156862745101</v>
      </c>
      <c r="AE881" t="s">
        <v>32</v>
      </c>
      <c r="AF881" t="s">
        <v>33</v>
      </c>
      <c r="AG881">
        <f t="shared" si="179"/>
        <v>8</v>
      </c>
      <c r="AH881">
        <f t="shared" si="180"/>
        <v>2025</v>
      </c>
      <c r="AI881" t="str">
        <f t="shared" si="181"/>
        <v>CLEAN</v>
      </c>
    </row>
    <row r="882" spans="1:35">
      <c r="A882" t="s">
        <v>2702</v>
      </c>
      <c r="B882">
        <f t="shared" si="169"/>
        <v>1</v>
      </c>
      <c r="C882" t="str">
        <f>IF(COUNTIF($A$2:A882, A882)&gt;1, "DUPLICATE_FLAGGED_FOR_REVIEW", "")</f>
        <v/>
      </c>
      <c r="D882" s="3">
        <v>45359</v>
      </c>
      <c r="E882" s="2">
        <v>45366</v>
      </c>
      <c r="F882" s="2" t="str">
        <f t="shared" si="170"/>
        <v>OK</v>
      </c>
      <c r="G882" s="4">
        <f t="shared" si="171"/>
        <v>7</v>
      </c>
      <c r="H882" t="s">
        <v>2703</v>
      </c>
      <c r="I882" t="s">
        <v>128</v>
      </c>
      <c r="J882" t="s">
        <v>37</v>
      </c>
      <c r="K882" t="s">
        <v>2760</v>
      </c>
      <c r="L882" t="str">
        <f t="shared" si="172"/>
        <v>Unknown</v>
      </c>
      <c r="M882" t="s">
        <v>122</v>
      </c>
      <c r="N882" t="s">
        <v>123</v>
      </c>
      <c r="O882" t="s">
        <v>41</v>
      </c>
      <c r="P882" t="s">
        <v>66</v>
      </c>
      <c r="Q882" t="s">
        <v>2704</v>
      </c>
      <c r="R882" t="s">
        <v>50</v>
      </c>
      <c r="S882" t="str">
        <f t="shared" si="173"/>
        <v>First Class</v>
      </c>
      <c r="T882">
        <v>5</v>
      </c>
      <c r="U882">
        <v>3234.77</v>
      </c>
      <c r="V882">
        <v>0</v>
      </c>
      <c r="W882">
        <f t="shared" si="174"/>
        <v>0</v>
      </c>
      <c r="X882" t="str">
        <f t="shared" si="175"/>
        <v/>
      </c>
      <c r="Y882">
        <v>16173.85</v>
      </c>
      <c r="Z882">
        <f t="shared" si="176"/>
        <v>16173.85</v>
      </c>
      <c r="AA882">
        <v>13636.34</v>
      </c>
      <c r="AB882">
        <v>2537.5100000000002</v>
      </c>
      <c r="AC882">
        <f t="shared" si="177"/>
        <v>12939.08</v>
      </c>
      <c r="AD882" s="6">
        <f t="shared" si="178"/>
        <v>0.79999999999999993</v>
      </c>
      <c r="AE882" t="s">
        <v>32</v>
      </c>
      <c r="AF882" t="s">
        <v>33</v>
      </c>
      <c r="AG882">
        <f t="shared" si="179"/>
        <v>3</v>
      </c>
      <c r="AH882">
        <f t="shared" si="180"/>
        <v>2024</v>
      </c>
      <c r="AI882" t="str">
        <f t="shared" si="181"/>
        <v>WARNING</v>
      </c>
    </row>
    <row r="883" spans="1:35">
      <c r="A883" t="s">
        <v>2705</v>
      </c>
      <c r="B883">
        <f t="shared" si="169"/>
        <v>1</v>
      </c>
      <c r="C883" t="str">
        <f>IF(COUNTIF($A$2:A883, A883)&gt;1, "DUPLICATE_FLAGGED_FOR_REVIEW", "")</f>
        <v/>
      </c>
      <c r="D883" s="3">
        <v>45627</v>
      </c>
      <c r="E883" s="2">
        <v>45631</v>
      </c>
      <c r="F883" s="2" t="str">
        <f t="shared" si="170"/>
        <v>OK</v>
      </c>
      <c r="G883" s="4">
        <f t="shared" si="171"/>
        <v>4</v>
      </c>
      <c r="H883" t="s">
        <v>2706</v>
      </c>
      <c r="I883" t="s">
        <v>62</v>
      </c>
      <c r="J883" t="s">
        <v>37</v>
      </c>
      <c r="K883" t="s">
        <v>54</v>
      </c>
      <c r="L883" t="str">
        <f t="shared" si="172"/>
        <v>South</v>
      </c>
      <c r="M883" t="s">
        <v>84</v>
      </c>
      <c r="N883" t="s">
        <v>85</v>
      </c>
      <c r="O883" t="s">
        <v>74</v>
      </c>
      <c r="P883" t="s">
        <v>80</v>
      </c>
      <c r="Q883" t="s">
        <v>2707</v>
      </c>
      <c r="R883" t="s">
        <v>31</v>
      </c>
      <c r="S883" t="str">
        <f t="shared" si="173"/>
        <v>Second Class</v>
      </c>
      <c r="T883">
        <v>9</v>
      </c>
      <c r="U883">
        <v>3726.75</v>
      </c>
      <c r="V883">
        <v>0.25</v>
      </c>
      <c r="W883">
        <f t="shared" si="174"/>
        <v>0.25</v>
      </c>
      <c r="X883" t="str">
        <f t="shared" si="175"/>
        <v/>
      </c>
      <c r="Y883">
        <v>25155.56</v>
      </c>
      <c r="Z883">
        <f t="shared" si="176"/>
        <v>25155.5625</v>
      </c>
      <c r="AA883">
        <v>17592.689999999999</v>
      </c>
      <c r="AB883">
        <v>7562.87</v>
      </c>
      <c r="AC883">
        <f t="shared" si="177"/>
        <v>21428.8125</v>
      </c>
      <c r="AD883" s="6">
        <f t="shared" si="178"/>
        <v>0.85185185185185186</v>
      </c>
      <c r="AE883" t="s">
        <v>32</v>
      </c>
      <c r="AF883" t="s">
        <v>33</v>
      </c>
      <c r="AG883">
        <f t="shared" si="179"/>
        <v>12</v>
      </c>
      <c r="AH883">
        <f t="shared" si="180"/>
        <v>2024</v>
      </c>
      <c r="AI883" t="str">
        <f t="shared" si="181"/>
        <v>CLEAN</v>
      </c>
    </row>
    <row r="884" spans="1:35">
      <c r="A884" t="s">
        <v>2708</v>
      </c>
      <c r="B884">
        <f t="shared" si="169"/>
        <v>1</v>
      </c>
      <c r="C884" t="str">
        <f>IF(COUNTIF($A$2:A884, A884)&gt;1, "DUPLICATE_FLAGGED_FOR_REVIEW", "")</f>
        <v/>
      </c>
      <c r="D884" s="3">
        <v>45690</v>
      </c>
      <c r="E884" s="2">
        <v>45932</v>
      </c>
      <c r="F884" s="2" t="str">
        <f t="shared" si="170"/>
        <v>OK</v>
      </c>
      <c r="G884" s="4">
        <f t="shared" si="171"/>
        <v>242</v>
      </c>
      <c r="H884" t="s">
        <v>2709</v>
      </c>
      <c r="I884" t="s">
        <v>132</v>
      </c>
      <c r="J884" t="s">
        <v>90</v>
      </c>
      <c r="K884" t="s">
        <v>38</v>
      </c>
      <c r="L884" t="str">
        <f t="shared" si="172"/>
        <v>East</v>
      </c>
      <c r="M884" t="s">
        <v>145</v>
      </c>
      <c r="N884" t="s">
        <v>146</v>
      </c>
      <c r="O884" t="s">
        <v>74</v>
      </c>
      <c r="P884" t="s">
        <v>75</v>
      </c>
      <c r="Q884" t="s">
        <v>2710</v>
      </c>
      <c r="R884" t="s">
        <v>59</v>
      </c>
      <c r="S884" t="str">
        <f t="shared" si="173"/>
        <v>Standard Class</v>
      </c>
      <c r="T884">
        <v>4</v>
      </c>
      <c r="U884">
        <v>1912.45</v>
      </c>
      <c r="V884">
        <v>0</v>
      </c>
      <c r="W884">
        <f t="shared" si="174"/>
        <v>0</v>
      </c>
      <c r="X884" t="str">
        <f t="shared" si="175"/>
        <v/>
      </c>
      <c r="Y884">
        <v>7649.8</v>
      </c>
      <c r="Z884">
        <f t="shared" si="176"/>
        <v>7649.8</v>
      </c>
      <c r="AA884">
        <v>4894.53</v>
      </c>
      <c r="AB884">
        <v>2755.27</v>
      </c>
      <c r="AC884">
        <f t="shared" si="177"/>
        <v>5737.35</v>
      </c>
      <c r="AD884" s="6">
        <f t="shared" si="178"/>
        <v>0.75</v>
      </c>
      <c r="AE884" t="s">
        <v>111</v>
      </c>
      <c r="AF884" t="s">
        <v>103</v>
      </c>
      <c r="AG884">
        <f t="shared" si="179"/>
        <v>2</v>
      </c>
      <c r="AH884">
        <f t="shared" si="180"/>
        <v>2025</v>
      </c>
      <c r="AI884" t="str">
        <f t="shared" si="181"/>
        <v>CLEAN</v>
      </c>
    </row>
    <row r="885" spans="1:35">
      <c r="A885" t="s">
        <v>2711</v>
      </c>
      <c r="B885">
        <f t="shared" si="169"/>
        <v>1</v>
      </c>
      <c r="C885" t="str">
        <f>IF(COUNTIF($A$2:A885, A885)&gt;1, "DUPLICATE_FLAGGED_FOR_REVIEW", "")</f>
        <v/>
      </c>
      <c r="D885" s="3">
        <v>45775</v>
      </c>
      <c r="E885" s="2">
        <v>45662</v>
      </c>
      <c r="F885" s="2" t="str">
        <f t="shared" si="170"/>
        <v>ERROR: Ship before order</v>
      </c>
      <c r="G885" s="4">
        <f t="shared" si="171"/>
        <v>-113</v>
      </c>
      <c r="H885" t="s">
        <v>2712</v>
      </c>
      <c r="I885" t="s">
        <v>128</v>
      </c>
      <c r="J885" t="s">
        <v>37</v>
      </c>
      <c r="K885" t="s">
        <v>63</v>
      </c>
      <c r="L885" t="str">
        <f t="shared" si="172"/>
        <v>West</v>
      </c>
      <c r="M885" t="s">
        <v>190</v>
      </c>
      <c r="N885" t="s">
        <v>191</v>
      </c>
      <c r="O885" t="s">
        <v>28</v>
      </c>
      <c r="P885" t="s">
        <v>124</v>
      </c>
      <c r="Q885" t="s">
        <v>2713</v>
      </c>
      <c r="R885" t="s">
        <v>44</v>
      </c>
      <c r="S885" t="str">
        <f t="shared" si="173"/>
        <v>Same Day</v>
      </c>
      <c r="T885">
        <v>1</v>
      </c>
      <c r="U885">
        <v>1620.87</v>
      </c>
      <c r="V885">
        <v>0</v>
      </c>
      <c r="W885">
        <f t="shared" si="174"/>
        <v>0</v>
      </c>
      <c r="X885" t="str">
        <f t="shared" si="175"/>
        <v/>
      </c>
      <c r="Y885">
        <v>1620.87</v>
      </c>
      <c r="Z885">
        <f t="shared" si="176"/>
        <v>1620.87</v>
      </c>
      <c r="AA885">
        <v>1103.6099999999999</v>
      </c>
      <c r="AB885">
        <v>517.26</v>
      </c>
      <c r="AC885">
        <f t="shared" si="177"/>
        <v>0</v>
      </c>
      <c r="AD885" s="6">
        <f t="shared" si="178"/>
        <v>0</v>
      </c>
      <c r="AE885" t="s">
        <v>32</v>
      </c>
      <c r="AF885" t="s">
        <v>33</v>
      </c>
      <c r="AG885">
        <f t="shared" si="179"/>
        <v>4</v>
      </c>
      <c r="AH885">
        <f t="shared" si="180"/>
        <v>2025</v>
      </c>
      <c r="AI885" t="str">
        <f t="shared" si="181"/>
        <v>INVALID</v>
      </c>
    </row>
    <row r="886" spans="1:35">
      <c r="A886" t="s">
        <v>2714</v>
      </c>
      <c r="B886">
        <f t="shared" si="169"/>
        <v>1</v>
      </c>
      <c r="C886" t="str">
        <f>IF(COUNTIF($A$2:A886, A886)&gt;1, "DUPLICATE_FLAGGED_FOR_REVIEW", "")</f>
        <v/>
      </c>
      <c r="D886" s="3">
        <v>45675</v>
      </c>
      <c r="E886" s="2">
        <v>45682</v>
      </c>
      <c r="F886" s="2" t="str">
        <f t="shared" si="170"/>
        <v>OK</v>
      </c>
      <c r="G886" s="4">
        <f t="shared" si="171"/>
        <v>7</v>
      </c>
      <c r="H886" t="s">
        <v>2715</v>
      </c>
      <c r="I886" t="s">
        <v>79</v>
      </c>
      <c r="J886" t="s">
        <v>95</v>
      </c>
      <c r="K886" t="s">
        <v>54</v>
      </c>
      <c r="L886" t="str">
        <f t="shared" si="172"/>
        <v>South</v>
      </c>
      <c r="M886" t="s">
        <v>175</v>
      </c>
      <c r="N886" t="s">
        <v>176</v>
      </c>
      <c r="O886" t="s">
        <v>28</v>
      </c>
      <c r="P886" t="s">
        <v>124</v>
      </c>
      <c r="Q886" t="s">
        <v>2716</v>
      </c>
      <c r="R886" t="s">
        <v>44</v>
      </c>
      <c r="S886" t="str">
        <f t="shared" si="173"/>
        <v>Same Day</v>
      </c>
      <c r="T886">
        <v>2</v>
      </c>
      <c r="U886">
        <v>2098.54</v>
      </c>
      <c r="V886">
        <v>0.15</v>
      </c>
      <c r="W886">
        <f t="shared" si="174"/>
        <v>0.15</v>
      </c>
      <c r="X886" t="str">
        <f t="shared" si="175"/>
        <v/>
      </c>
      <c r="Y886">
        <v>3567.52</v>
      </c>
      <c r="Z886">
        <f t="shared" si="176"/>
        <v>3567.518</v>
      </c>
      <c r="AA886">
        <v>2411.8000000000002</v>
      </c>
      <c r="AB886">
        <v>1155.72</v>
      </c>
      <c r="AC886">
        <f t="shared" si="177"/>
        <v>1468.9780000000001</v>
      </c>
      <c r="AD886" s="6">
        <f t="shared" si="178"/>
        <v>0.41176470588235298</v>
      </c>
      <c r="AE886" t="s">
        <v>32</v>
      </c>
      <c r="AF886" t="s">
        <v>33</v>
      </c>
      <c r="AG886">
        <f t="shared" si="179"/>
        <v>1</v>
      </c>
      <c r="AH886">
        <f t="shared" si="180"/>
        <v>2025</v>
      </c>
      <c r="AI886" t="str">
        <f t="shared" si="181"/>
        <v>CLEAN</v>
      </c>
    </row>
    <row r="887" spans="1:35">
      <c r="A887" t="s">
        <v>2717</v>
      </c>
      <c r="B887">
        <f t="shared" si="169"/>
        <v>1</v>
      </c>
      <c r="C887" t="str">
        <f>IF(COUNTIF($A$2:A887, A887)&gt;1, "DUPLICATE_FLAGGED_FOR_REVIEW", "")</f>
        <v/>
      </c>
      <c r="D887" s="3">
        <v>45296</v>
      </c>
      <c r="E887" s="2">
        <v>45296</v>
      </c>
      <c r="F887" s="2" t="str">
        <f t="shared" si="170"/>
        <v>OK</v>
      </c>
      <c r="G887" s="4">
        <f t="shared" si="171"/>
        <v>0</v>
      </c>
      <c r="H887" t="s">
        <v>2718</v>
      </c>
      <c r="I887" t="s">
        <v>162</v>
      </c>
      <c r="J887" t="s">
        <v>24</v>
      </c>
      <c r="K887" t="s">
        <v>25</v>
      </c>
      <c r="L887" t="str">
        <f t="shared" si="172"/>
        <v>North</v>
      </c>
      <c r="M887" t="s">
        <v>26</v>
      </c>
      <c r="N887" t="s">
        <v>27</v>
      </c>
      <c r="O887" t="s">
        <v>41</v>
      </c>
      <c r="P887" t="s">
        <v>42</v>
      </c>
      <c r="Q887" t="s">
        <v>2719</v>
      </c>
      <c r="R887" t="s">
        <v>59</v>
      </c>
      <c r="S887" t="str">
        <f t="shared" si="173"/>
        <v>Standard Class</v>
      </c>
      <c r="T887">
        <v>1</v>
      </c>
      <c r="U887">
        <v>2167.08</v>
      </c>
      <c r="V887">
        <v>0.25</v>
      </c>
      <c r="W887">
        <f t="shared" si="174"/>
        <v>0.25</v>
      </c>
      <c r="X887" t="str">
        <f t="shared" si="175"/>
        <v/>
      </c>
      <c r="Y887">
        <v>1625.31</v>
      </c>
      <c r="Z887">
        <f t="shared" si="176"/>
        <v>1625.31</v>
      </c>
      <c r="AA887">
        <v>1157.8900000000001</v>
      </c>
      <c r="AB887">
        <v>467.42</v>
      </c>
      <c r="AC887">
        <f t="shared" si="177"/>
        <v>-541.77</v>
      </c>
      <c r="AD887" s="6">
        <f t="shared" si="178"/>
        <v>-0.33333333333333331</v>
      </c>
      <c r="AE887" t="s">
        <v>32</v>
      </c>
      <c r="AF887" t="s">
        <v>33</v>
      </c>
      <c r="AG887">
        <f t="shared" si="179"/>
        <v>1</v>
      </c>
      <c r="AH887">
        <f t="shared" si="180"/>
        <v>2024</v>
      </c>
      <c r="AI887" t="str">
        <f t="shared" si="181"/>
        <v>CLEAN</v>
      </c>
    </row>
    <row r="888" spans="1:35">
      <c r="A888" t="s">
        <v>2720</v>
      </c>
      <c r="B888">
        <f t="shared" si="169"/>
        <v>1</v>
      </c>
      <c r="C888" t="str">
        <f>IF(COUNTIF($A$2:A888, A888)&gt;1, "DUPLICATE_FLAGGED_FOR_REVIEW", "")</f>
        <v/>
      </c>
      <c r="D888" s="3">
        <v>45773</v>
      </c>
      <c r="E888" s="2">
        <v>45780</v>
      </c>
      <c r="F888" s="2" t="str">
        <f t="shared" si="170"/>
        <v>OK</v>
      </c>
      <c r="G888" s="4">
        <f t="shared" si="171"/>
        <v>7</v>
      </c>
      <c r="H888" t="s">
        <v>2721</v>
      </c>
      <c r="I888" t="s">
        <v>53</v>
      </c>
      <c r="J888" t="s">
        <v>95</v>
      </c>
      <c r="K888" t="s">
        <v>54</v>
      </c>
      <c r="L888" t="str">
        <f t="shared" si="172"/>
        <v>South</v>
      </c>
      <c r="M888" t="s">
        <v>247</v>
      </c>
      <c r="N888" t="s">
        <v>248</v>
      </c>
      <c r="O888" t="s">
        <v>74</v>
      </c>
      <c r="P888" t="s">
        <v>75</v>
      </c>
      <c r="Q888" t="s">
        <v>2722</v>
      </c>
      <c r="R888" t="s">
        <v>50</v>
      </c>
      <c r="S888" t="str">
        <f t="shared" si="173"/>
        <v>First Class</v>
      </c>
      <c r="T888">
        <v>7</v>
      </c>
      <c r="U888">
        <v>3989.9</v>
      </c>
      <c r="V888">
        <v>0.15</v>
      </c>
      <c r="W888">
        <f t="shared" si="174"/>
        <v>0.15</v>
      </c>
      <c r="X888" t="str">
        <f t="shared" si="175"/>
        <v/>
      </c>
      <c r="Y888">
        <v>23739.9</v>
      </c>
      <c r="Z888">
        <f t="shared" si="176"/>
        <v>23739.904999999999</v>
      </c>
      <c r="AA888">
        <v>17716.52</v>
      </c>
      <c r="AB888">
        <v>6023.38</v>
      </c>
      <c r="AC888">
        <f t="shared" si="177"/>
        <v>19750.004999999997</v>
      </c>
      <c r="AD888" s="6">
        <f t="shared" si="178"/>
        <v>0.83193277310924363</v>
      </c>
      <c r="AE888" t="s">
        <v>32</v>
      </c>
      <c r="AF888" t="s">
        <v>68</v>
      </c>
      <c r="AG888">
        <f t="shared" si="179"/>
        <v>4</v>
      </c>
      <c r="AH888">
        <f t="shared" si="180"/>
        <v>2025</v>
      </c>
      <c r="AI888" t="str">
        <f t="shared" si="181"/>
        <v>CLEAN</v>
      </c>
    </row>
    <row r="889" spans="1:35">
      <c r="A889" t="s">
        <v>2723</v>
      </c>
      <c r="B889">
        <f t="shared" si="169"/>
        <v>1</v>
      </c>
      <c r="C889" t="str">
        <f>IF(COUNTIF($A$2:A889, A889)&gt;1, "DUPLICATE_FLAGGED_FOR_REVIEW", "")</f>
        <v/>
      </c>
      <c r="D889" s="3">
        <v>45455</v>
      </c>
      <c r="E889" s="2">
        <v>45461</v>
      </c>
      <c r="F889" s="2" t="str">
        <f t="shared" si="170"/>
        <v>OK</v>
      </c>
      <c r="G889" s="4">
        <f t="shared" si="171"/>
        <v>6</v>
      </c>
      <c r="H889" t="s">
        <v>2724</v>
      </c>
      <c r="I889" t="s">
        <v>128</v>
      </c>
      <c r="J889" t="s">
        <v>37</v>
      </c>
      <c r="K889" t="s">
        <v>54</v>
      </c>
      <c r="L889" t="str">
        <f t="shared" si="172"/>
        <v>South</v>
      </c>
      <c r="M889" t="s">
        <v>84</v>
      </c>
      <c r="N889" t="s">
        <v>85</v>
      </c>
      <c r="O889" t="s">
        <v>28</v>
      </c>
      <c r="P889" t="s">
        <v>48</v>
      </c>
      <c r="Q889" t="s">
        <v>2725</v>
      </c>
      <c r="R889" t="s">
        <v>59</v>
      </c>
      <c r="S889" t="str">
        <f t="shared" si="173"/>
        <v>Standard Class</v>
      </c>
      <c r="T889">
        <v>4</v>
      </c>
      <c r="U889">
        <v>4176.13</v>
      </c>
      <c r="V889">
        <v>0</v>
      </c>
      <c r="W889">
        <f t="shared" si="174"/>
        <v>0</v>
      </c>
      <c r="X889" t="str">
        <f t="shared" si="175"/>
        <v/>
      </c>
      <c r="Y889">
        <v>16704.52</v>
      </c>
      <c r="Z889">
        <f t="shared" si="176"/>
        <v>16704.52</v>
      </c>
      <c r="AA889">
        <v>10158.280000000001</v>
      </c>
      <c r="AB889">
        <v>6546.24</v>
      </c>
      <c r="AC889">
        <f t="shared" si="177"/>
        <v>12528.39</v>
      </c>
      <c r="AD889" s="6">
        <f t="shared" si="178"/>
        <v>0.75</v>
      </c>
      <c r="AE889" t="s">
        <v>32</v>
      </c>
      <c r="AF889" t="s">
        <v>33</v>
      </c>
      <c r="AG889">
        <f t="shared" si="179"/>
        <v>6</v>
      </c>
      <c r="AH889">
        <f t="shared" si="180"/>
        <v>2024</v>
      </c>
      <c r="AI889" t="str">
        <f t="shared" si="181"/>
        <v>CLEAN</v>
      </c>
    </row>
    <row r="890" spans="1:35">
      <c r="A890" t="s">
        <v>2726</v>
      </c>
      <c r="B890">
        <f t="shared" si="169"/>
        <v>1</v>
      </c>
      <c r="C890" t="str">
        <f>IF(COUNTIF($A$2:A890, A890)&gt;1, "DUPLICATE_FLAGGED_FOR_REVIEW", "")</f>
        <v/>
      </c>
      <c r="D890" s="3">
        <v>45875</v>
      </c>
      <c r="E890" s="2">
        <v>45876</v>
      </c>
      <c r="F890" s="2" t="str">
        <f t="shared" si="170"/>
        <v>OK</v>
      </c>
      <c r="G890" s="4">
        <f t="shared" si="171"/>
        <v>1</v>
      </c>
      <c r="H890" t="s">
        <v>2727</v>
      </c>
      <c r="I890" t="s">
        <v>118</v>
      </c>
      <c r="J890" t="s">
        <v>37</v>
      </c>
      <c r="K890" t="s">
        <v>63</v>
      </c>
      <c r="L890" t="str">
        <f t="shared" si="172"/>
        <v>West</v>
      </c>
      <c r="M890" t="s">
        <v>64</v>
      </c>
      <c r="N890" t="s">
        <v>65</v>
      </c>
      <c r="O890" t="s">
        <v>28</v>
      </c>
      <c r="P890" t="s">
        <v>48</v>
      </c>
      <c r="Q890" t="s">
        <v>2728</v>
      </c>
      <c r="R890" t="s">
        <v>59</v>
      </c>
      <c r="S890" t="str">
        <f t="shared" si="173"/>
        <v>Standard Class</v>
      </c>
      <c r="T890">
        <v>4</v>
      </c>
      <c r="U890">
        <v>3523.64</v>
      </c>
      <c r="V890">
        <v>0.1</v>
      </c>
      <c r="W890">
        <f t="shared" si="174"/>
        <v>0.1</v>
      </c>
      <c r="X890" t="str">
        <f t="shared" si="175"/>
        <v/>
      </c>
      <c r="Y890">
        <v>12685.1</v>
      </c>
      <c r="Z890">
        <f t="shared" si="176"/>
        <v>12685.103999999999</v>
      </c>
      <c r="AA890">
        <v>10779.56</v>
      </c>
      <c r="AB890">
        <v>1905.54</v>
      </c>
      <c r="AC890">
        <f t="shared" si="177"/>
        <v>9161.4639999999999</v>
      </c>
      <c r="AD890" s="6">
        <f t="shared" si="178"/>
        <v>0.72222222222222221</v>
      </c>
      <c r="AE890" t="s">
        <v>102</v>
      </c>
      <c r="AF890" t="s">
        <v>68</v>
      </c>
      <c r="AG890">
        <f t="shared" si="179"/>
        <v>8</v>
      </c>
      <c r="AH890">
        <f t="shared" si="180"/>
        <v>2025</v>
      </c>
      <c r="AI890" t="str">
        <f t="shared" si="181"/>
        <v>CLEAN</v>
      </c>
    </row>
    <row r="891" spans="1:35">
      <c r="A891" t="s">
        <v>2729</v>
      </c>
      <c r="B891">
        <f t="shared" si="169"/>
        <v>1</v>
      </c>
      <c r="C891" t="str">
        <f>IF(COUNTIF($A$2:A891, A891)&gt;1, "DUPLICATE_FLAGGED_FOR_REVIEW", "")</f>
        <v/>
      </c>
      <c r="D891" s="3">
        <v>45726</v>
      </c>
      <c r="E891" s="2">
        <v>45964</v>
      </c>
      <c r="F891" s="2" t="str">
        <f t="shared" si="170"/>
        <v>OK</v>
      </c>
      <c r="G891" s="4">
        <f t="shared" si="171"/>
        <v>238</v>
      </c>
      <c r="H891" t="s">
        <v>881</v>
      </c>
      <c r="I891" t="s">
        <v>89</v>
      </c>
      <c r="J891" t="s">
        <v>95</v>
      </c>
      <c r="K891" t="s">
        <v>63</v>
      </c>
      <c r="L891" t="str">
        <f t="shared" si="172"/>
        <v>West</v>
      </c>
      <c r="M891" t="s">
        <v>72</v>
      </c>
      <c r="N891" t="s">
        <v>73</v>
      </c>
      <c r="O891" t="s">
        <v>28</v>
      </c>
      <c r="P891" t="s">
        <v>124</v>
      </c>
      <c r="Q891" t="s">
        <v>2730</v>
      </c>
      <c r="R891" t="s">
        <v>50</v>
      </c>
      <c r="S891" t="str">
        <f t="shared" si="173"/>
        <v>First Class</v>
      </c>
      <c r="T891">
        <v>2</v>
      </c>
      <c r="U891">
        <v>3922.08</v>
      </c>
      <c r="V891">
        <v>0.25</v>
      </c>
      <c r="W891">
        <f t="shared" si="174"/>
        <v>0.25</v>
      </c>
      <c r="X891" t="str">
        <f t="shared" si="175"/>
        <v/>
      </c>
      <c r="Y891">
        <v>5883.12</v>
      </c>
      <c r="Z891">
        <f t="shared" si="176"/>
        <v>5883.12</v>
      </c>
      <c r="AA891">
        <v>4647.91</v>
      </c>
      <c r="AB891">
        <v>1235.21</v>
      </c>
      <c r="AC891">
        <f t="shared" si="177"/>
        <v>1961.04</v>
      </c>
      <c r="AD891" s="6">
        <f t="shared" si="178"/>
        <v>0.33333333333333331</v>
      </c>
      <c r="AE891" t="s">
        <v>32</v>
      </c>
      <c r="AF891" t="s">
        <v>103</v>
      </c>
      <c r="AG891">
        <f t="shared" si="179"/>
        <v>3</v>
      </c>
      <c r="AH891">
        <f t="shared" si="180"/>
        <v>2025</v>
      </c>
      <c r="AI891" t="str">
        <f t="shared" si="181"/>
        <v>CLEAN</v>
      </c>
    </row>
    <row r="892" spans="1:35">
      <c r="A892" t="s">
        <v>2731</v>
      </c>
      <c r="B892">
        <f t="shared" si="169"/>
        <v>1</v>
      </c>
      <c r="C892" t="str">
        <f>IF(COUNTIF($A$2:A892, A892)&gt;1, "DUPLICATE_FLAGGED_FOR_REVIEW", "")</f>
        <v/>
      </c>
      <c r="D892" s="3">
        <v>45427</v>
      </c>
      <c r="E892" s="2">
        <v>45433</v>
      </c>
      <c r="F892" s="2" t="str">
        <f t="shared" si="170"/>
        <v>OK</v>
      </c>
      <c r="G892" s="4">
        <f t="shared" si="171"/>
        <v>6</v>
      </c>
      <c r="H892" t="s">
        <v>2732</v>
      </c>
      <c r="I892" t="s">
        <v>23</v>
      </c>
      <c r="J892" t="s">
        <v>24</v>
      </c>
      <c r="K892" t="s">
        <v>63</v>
      </c>
      <c r="L892" t="str">
        <f t="shared" si="172"/>
        <v>West</v>
      </c>
      <c r="M892" t="s">
        <v>190</v>
      </c>
      <c r="N892" t="s">
        <v>191</v>
      </c>
      <c r="O892" t="s">
        <v>28</v>
      </c>
      <c r="P892" t="s">
        <v>124</v>
      </c>
      <c r="Q892" t="s">
        <v>2733</v>
      </c>
      <c r="R892" t="s">
        <v>59</v>
      </c>
      <c r="S892" t="str">
        <f t="shared" si="173"/>
        <v>Standard Class</v>
      </c>
      <c r="T892">
        <v>6</v>
      </c>
      <c r="U892">
        <v>2909.56</v>
      </c>
      <c r="V892">
        <v>0.2</v>
      </c>
      <c r="W892">
        <f t="shared" si="174"/>
        <v>0.2</v>
      </c>
      <c r="X892" t="str">
        <f t="shared" si="175"/>
        <v/>
      </c>
      <c r="Y892">
        <v>13965.89</v>
      </c>
      <c r="Z892">
        <f t="shared" si="176"/>
        <v>13965.888000000001</v>
      </c>
      <c r="AA892">
        <v>11646.12</v>
      </c>
      <c r="AB892">
        <v>2319.77</v>
      </c>
      <c r="AC892">
        <f t="shared" si="177"/>
        <v>11056.328000000001</v>
      </c>
      <c r="AD892" s="6">
        <f t="shared" si="178"/>
        <v>0.79166666666666674</v>
      </c>
      <c r="AE892" t="s">
        <v>32</v>
      </c>
      <c r="AF892" t="s">
        <v>33</v>
      </c>
      <c r="AG892">
        <f t="shared" si="179"/>
        <v>5</v>
      </c>
      <c r="AH892">
        <f t="shared" si="180"/>
        <v>2024</v>
      </c>
      <c r="AI892" t="str">
        <f t="shared" si="181"/>
        <v>CLEAN</v>
      </c>
    </row>
    <row r="893" spans="1:35">
      <c r="A893" t="s">
        <v>2734</v>
      </c>
      <c r="B893">
        <f t="shared" si="169"/>
        <v>1</v>
      </c>
      <c r="C893" t="str">
        <f>IF(COUNTIF($A$2:A893, A893)&gt;1, "DUPLICATE_FLAGGED_FOR_REVIEW", "")</f>
        <v/>
      </c>
      <c r="D893" s="3">
        <v>45573</v>
      </c>
      <c r="E893" s="2">
        <v>45574</v>
      </c>
      <c r="F893" s="2" t="str">
        <f t="shared" si="170"/>
        <v>OK</v>
      </c>
      <c r="G893" s="4">
        <f t="shared" si="171"/>
        <v>1</v>
      </c>
      <c r="H893" t="s">
        <v>2735</v>
      </c>
      <c r="I893" t="s">
        <v>264</v>
      </c>
      <c r="J893" t="s">
        <v>90</v>
      </c>
      <c r="K893" t="s">
        <v>54</v>
      </c>
      <c r="L893" t="str">
        <f t="shared" si="172"/>
        <v>South</v>
      </c>
      <c r="M893" t="s">
        <v>247</v>
      </c>
      <c r="N893" t="s">
        <v>248</v>
      </c>
      <c r="O893" t="s">
        <v>74</v>
      </c>
      <c r="P893" t="s">
        <v>274</v>
      </c>
      <c r="Q893" t="s">
        <v>2736</v>
      </c>
      <c r="R893" t="s">
        <v>44</v>
      </c>
      <c r="S893" t="str">
        <f t="shared" si="173"/>
        <v>Same Day</v>
      </c>
      <c r="T893">
        <v>5</v>
      </c>
      <c r="U893">
        <v>2407.9699999999998</v>
      </c>
      <c r="V893">
        <v>0.1</v>
      </c>
      <c r="W893">
        <f t="shared" si="174"/>
        <v>0.1</v>
      </c>
      <c r="X893" t="str">
        <f t="shared" si="175"/>
        <v/>
      </c>
      <c r="Y893">
        <v>10835.86</v>
      </c>
      <c r="Z893">
        <f t="shared" si="176"/>
        <v>10835.865</v>
      </c>
      <c r="AA893">
        <v>6419.92</v>
      </c>
      <c r="AB893">
        <v>4415.9399999999996</v>
      </c>
      <c r="AC893">
        <f t="shared" si="177"/>
        <v>8427.8950000000004</v>
      </c>
      <c r="AD893" s="6">
        <f t="shared" si="178"/>
        <v>0.77777777777777779</v>
      </c>
      <c r="AE893" t="s">
        <v>155</v>
      </c>
      <c r="AF893" t="s">
        <v>68</v>
      </c>
      <c r="AG893">
        <f t="shared" si="179"/>
        <v>10</v>
      </c>
      <c r="AH893">
        <f t="shared" si="180"/>
        <v>2024</v>
      </c>
      <c r="AI893" t="str">
        <f t="shared" si="181"/>
        <v>CLEAN</v>
      </c>
    </row>
    <row r="894" spans="1:35">
      <c r="A894" t="s">
        <v>2737</v>
      </c>
      <c r="B894">
        <f t="shared" si="169"/>
        <v>1</v>
      </c>
      <c r="C894" t="str">
        <f>IF(COUNTIF($A$2:A894, A894)&gt;1, "DUPLICATE_FLAGGED_FOR_REVIEW", "")</f>
        <v/>
      </c>
      <c r="D894" s="3">
        <v>45995</v>
      </c>
      <c r="E894" s="2">
        <v>45765</v>
      </c>
      <c r="F894" s="2" t="str">
        <f t="shared" si="170"/>
        <v>ERROR: Ship before order</v>
      </c>
      <c r="G894" s="4">
        <f t="shared" si="171"/>
        <v>-230</v>
      </c>
      <c r="H894" t="s">
        <v>2738</v>
      </c>
      <c r="I894" t="s">
        <v>47</v>
      </c>
      <c r="J894" t="s">
        <v>37</v>
      </c>
      <c r="K894" t="s">
        <v>38</v>
      </c>
      <c r="L894" t="str">
        <f t="shared" si="172"/>
        <v>East</v>
      </c>
      <c r="M894" t="s">
        <v>228</v>
      </c>
      <c r="N894" t="s">
        <v>229</v>
      </c>
      <c r="O894" t="s">
        <v>74</v>
      </c>
      <c r="P894" t="s">
        <v>80</v>
      </c>
      <c r="Q894" t="s">
        <v>2739</v>
      </c>
      <c r="R894" t="s">
        <v>44</v>
      </c>
      <c r="S894" t="str">
        <f t="shared" si="173"/>
        <v>Same Day</v>
      </c>
      <c r="T894">
        <v>1</v>
      </c>
      <c r="U894">
        <v>726.89</v>
      </c>
      <c r="V894">
        <v>0.2</v>
      </c>
      <c r="W894">
        <f t="shared" si="174"/>
        <v>0.2</v>
      </c>
      <c r="X894" t="str">
        <f t="shared" si="175"/>
        <v/>
      </c>
      <c r="Y894">
        <v>581.51</v>
      </c>
      <c r="Z894">
        <f t="shared" si="176"/>
        <v>581.51200000000006</v>
      </c>
      <c r="AA894">
        <v>423.86</v>
      </c>
      <c r="AB894">
        <v>157.65</v>
      </c>
      <c r="AC894">
        <f t="shared" si="177"/>
        <v>-145.37799999999993</v>
      </c>
      <c r="AD894" s="6">
        <f t="shared" si="178"/>
        <v>-0.24999999999999986</v>
      </c>
      <c r="AE894" t="s">
        <v>32</v>
      </c>
      <c r="AF894" t="s">
        <v>33</v>
      </c>
      <c r="AG894">
        <f t="shared" si="179"/>
        <v>12</v>
      </c>
      <c r="AH894">
        <f t="shared" si="180"/>
        <v>2025</v>
      </c>
      <c r="AI894" t="str">
        <f t="shared" si="181"/>
        <v>INVALID</v>
      </c>
    </row>
    <row r="895" spans="1:35">
      <c r="A895" t="s">
        <v>2740</v>
      </c>
      <c r="B895">
        <f t="shared" si="169"/>
        <v>1</v>
      </c>
      <c r="C895" t="str">
        <f>IF(COUNTIF($A$2:A895, A895)&gt;1, "DUPLICATE_FLAGGED_FOR_REVIEW", "")</f>
        <v/>
      </c>
      <c r="D895" s="3">
        <v>45449</v>
      </c>
      <c r="E895" s="2">
        <v>45451</v>
      </c>
      <c r="F895" s="2" t="str">
        <f t="shared" si="170"/>
        <v>OK</v>
      </c>
      <c r="G895" s="4">
        <f t="shared" si="171"/>
        <v>2</v>
      </c>
      <c r="H895" t="s">
        <v>2741</v>
      </c>
      <c r="I895" t="s">
        <v>128</v>
      </c>
      <c r="J895" t="s">
        <v>90</v>
      </c>
      <c r="K895" t="s">
        <v>54</v>
      </c>
      <c r="L895" t="str">
        <f t="shared" si="172"/>
        <v>South</v>
      </c>
      <c r="M895" t="s">
        <v>175</v>
      </c>
      <c r="N895" t="s">
        <v>176</v>
      </c>
      <c r="O895" t="s">
        <v>41</v>
      </c>
      <c r="P895" t="s">
        <v>42</v>
      </c>
      <c r="Q895" t="s">
        <v>2742</v>
      </c>
      <c r="R895" t="s">
        <v>31</v>
      </c>
      <c r="S895" t="str">
        <f t="shared" si="173"/>
        <v>Second Class</v>
      </c>
      <c r="T895">
        <v>3</v>
      </c>
      <c r="U895">
        <v>395.49</v>
      </c>
      <c r="V895">
        <v>0.05</v>
      </c>
      <c r="W895">
        <f t="shared" si="174"/>
        <v>0.05</v>
      </c>
      <c r="X895" t="str">
        <f t="shared" si="175"/>
        <v/>
      </c>
      <c r="Y895">
        <v>1127.1500000000001</v>
      </c>
      <c r="Z895">
        <f t="shared" si="176"/>
        <v>1127.1465000000001</v>
      </c>
      <c r="AA895">
        <v>845.62</v>
      </c>
      <c r="AB895">
        <v>281.52999999999997</v>
      </c>
      <c r="AC895">
        <f t="shared" si="177"/>
        <v>731.65650000000005</v>
      </c>
      <c r="AD895" s="6">
        <f t="shared" si="178"/>
        <v>0.64912280701754388</v>
      </c>
      <c r="AE895" t="s">
        <v>32</v>
      </c>
      <c r="AF895" t="s">
        <v>103</v>
      </c>
      <c r="AG895">
        <f t="shared" si="179"/>
        <v>6</v>
      </c>
      <c r="AH895">
        <f t="shared" si="180"/>
        <v>2024</v>
      </c>
      <c r="AI895" t="str">
        <f t="shared" si="181"/>
        <v>CLEAN</v>
      </c>
    </row>
    <row r="896" spans="1:35">
      <c r="A896" t="s">
        <v>2743</v>
      </c>
      <c r="B896">
        <f t="shared" si="169"/>
        <v>1</v>
      </c>
      <c r="C896" t="str">
        <f>IF(COUNTIF($A$2:A896, A896)&gt;1, "DUPLICATE_FLAGGED_FOR_REVIEW", "")</f>
        <v/>
      </c>
      <c r="D896" s="3">
        <v>45344</v>
      </c>
      <c r="E896" s="2">
        <v>45351</v>
      </c>
      <c r="F896" s="2" t="str">
        <f t="shared" si="170"/>
        <v>OK</v>
      </c>
      <c r="G896" s="4">
        <f t="shared" si="171"/>
        <v>7</v>
      </c>
      <c r="H896" t="s">
        <v>2744</v>
      </c>
      <c r="I896" t="s">
        <v>47</v>
      </c>
      <c r="J896" t="s">
        <v>95</v>
      </c>
      <c r="K896" t="s">
        <v>54</v>
      </c>
      <c r="L896" t="str">
        <f t="shared" si="172"/>
        <v>South</v>
      </c>
      <c r="M896" t="s">
        <v>55</v>
      </c>
      <c r="N896" t="s">
        <v>56</v>
      </c>
      <c r="O896" t="s">
        <v>41</v>
      </c>
      <c r="P896" t="s">
        <v>42</v>
      </c>
      <c r="Q896" t="s">
        <v>2745</v>
      </c>
      <c r="R896" t="s">
        <v>50</v>
      </c>
      <c r="S896" t="str">
        <f t="shared" si="173"/>
        <v>First Class</v>
      </c>
      <c r="T896">
        <v>6</v>
      </c>
      <c r="U896">
        <v>4254.05</v>
      </c>
      <c r="V896">
        <v>0</v>
      </c>
      <c r="W896">
        <f t="shared" si="174"/>
        <v>0</v>
      </c>
      <c r="X896" t="str">
        <f t="shared" si="175"/>
        <v/>
      </c>
      <c r="Y896">
        <v>25524.3</v>
      </c>
      <c r="Z896">
        <f t="shared" si="176"/>
        <v>25524.300000000003</v>
      </c>
      <c r="AA896">
        <v>16711.93</v>
      </c>
      <c r="AB896">
        <v>8812.3700000000008</v>
      </c>
      <c r="AC896">
        <f t="shared" si="177"/>
        <v>21270.250000000004</v>
      </c>
      <c r="AD896" s="6">
        <f t="shared" si="178"/>
        <v>0.83333333333333337</v>
      </c>
      <c r="AE896" t="s">
        <v>32</v>
      </c>
      <c r="AF896" t="s">
        <v>33</v>
      </c>
      <c r="AG896">
        <f t="shared" si="179"/>
        <v>2</v>
      </c>
      <c r="AH896">
        <f t="shared" si="180"/>
        <v>2024</v>
      </c>
      <c r="AI896" t="str">
        <f t="shared" si="181"/>
        <v>CLEAN</v>
      </c>
    </row>
    <row r="897" spans="1:35">
      <c r="A897" t="s">
        <v>2746</v>
      </c>
      <c r="B897">
        <f t="shared" si="169"/>
        <v>1</v>
      </c>
      <c r="C897" t="str">
        <f>IF(COUNTIF($A$2:A897, A897)&gt;1, "DUPLICATE_FLAGGED_FOR_REVIEW", "")</f>
        <v/>
      </c>
      <c r="D897" s="3">
        <v>45601</v>
      </c>
      <c r="E897" s="2">
        <v>45576</v>
      </c>
      <c r="F897" s="2" t="str">
        <f t="shared" si="170"/>
        <v>ERROR: Ship before order</v>
      </c>
      <c r="G897" s="4">
        <f t="shared" si="171"/>
        <v>-25</v>
      </c>
      <c r="H897" t="s">
        <v>2747</v>
      </c>
      <c r="I897" t="s">
        <v>53</v>
      </c>
      <c r="J897" t="s">
        <v>24</v>
      </c>
      <c r="K897" t="s">
        <v>54</v>
      </c>
      <c r="L897" t="str">
        <f t="shared" si="172"/>
        <v>South</v>
      </c>
      <c r="M897" t="s">
        <v>185</v>
      </c>
      <c r="N897" t="s">
        <v>186</v>
      </c>
      <c r="O897" t="s">
        <v>41</v>
      </c>
      <c r="P897" t="s">
        <v>66</v>
      </c>
      <c r="Q897" t="s">
        <v>2748</v>
      </c>
      <c r="R897" t="s">
        <v>44</v>
      </c>
      <c r="S897" t="str">
        <f t="shared" si="173"/>
        <v>Same Day</v>
      </c>
      <c r="T897">
        <v>4</v>
      </c>
      <c r="U897">
        <v>711.18</v>
      </c>
      <c r="V897">
        <v>0.15</v>
      </c>
      <c r="W897">
        <f t="shared" si="174"/>
        <v>0.15</v>
      </c>
      <c r="X897" t="str">
        <f t="shared" si="175"/>
        <v/>
      </c>
      <c r="Y897">
        <v>2418.0100000000002</v>
      </c>
      <c r="Z897">
        <f t="shared" si="176"/>
        <v>2418.0119999999997</v>
      </c>
      <c r="AA897">
        <v>1441.89</v>
      </c>
      <c r="AB897">
        <v>976.12</v>
      </c>
      <c r="AC897">
        <f t="shared" si="177"/>
        <v>1706.8319999999999</v>
      </c>
      <c r="AD897" s="6">
        <f t="shared" si="178"/>
        <v>0.70588235294117652</v>
      </c>
      <c r="AE897" t="s">
        <v>111</v>
      </c>
      <c r="AF897" t="s">
        <v>103</v>
      </c>
      <c r="AG897">
        <f t="shared" si="179"/>
        <v>11</v>
      </c>
      <c r="AH897">
        <f t="shared" si="180"/>
        <v>2024</v>
      </c>
      <c r="AI897" t="str">
        <f t="shared" si="181"/>
        <v>INVALID</v>
      </c>
    </row>
    <row r="898" spans="1:35">
      <c r="A898" t="s">
        <v>2749</v>
      </c>
      <c r="B898">
        <f t="shared" si="169"/>
        <v>1</v>
      </c>
      <c r="C898" t="str">
        <f>IF(COUNTIF($A$2:A898, A898)&gt;1, "DUPLICATE_FLAGGED_FOR_REVIEW", "")</f>
        <v/>
      </c>
      <c r="D898" s="3">
        <v>45650</v>
      </c>
      <c r="E898" s="2">
        <v>45651</v>
      </c>
      <c r="F898" s="2" t="str">
        <f t="shared" si="170"/>
        <v>OK</v>
      </c>
      <c r="G898" s="4">
        <f t="shared" si="171"/>
        <v>1</v>
      </c>
      <c r="H898" t="s">
        <v>2750</v>
      </c>
      <c r="I898" t="s">
        <v>62</v>
      </c>
      <c r="J898" t="s">
        <v>37</v>
      </c>
      <c r="K898" t="s">
        <v>54</v>
      </c>
      <c r="L898" t="str">
        <f t="shared" si="172"/>
        <v>South</v>
      </c>
      <c r="M898" t="s">
        <v>247</v>
      </c>
      <c r="N898" t="s">
        <v>248</v>
      </c>
      <c r="O898" t="s">
        <v>74</v>
      </c>
      <c r="P898" t="s">
        <v>80</v>
      </c>
      <c r="Q898" t="s">
        <v>2751</v>
      </c>
      <c r="R898" t="s">
        <v>31</v>
      </c>
      <c r="S898" t="str">
        <f t="shared" si="173"/>
        <v>Second Class</v>
      </c>
      <c r="T898">
        <v>1</v>
      </c>
      <c r="U898">
        <v>3693.03</v>
      </c>
      <c r="V898">
        <v>0.05</v>
      </c>
      <c r="W898">
        <f t="shared" si="174"/>
        <v>0.05</v>
      </c>
      <c r="X898" t="str">
        <f t="shared" si="175"/>
        <v/>
      </c>
      <c r="Y898">
        <v>3508.38</v>
      </c>
      <c r="Z898">
        <f t="shared" si="176"/>
        <v>3508.3784999999998</v>
      </c>
      <c r="AA898">
        <v>2828.06</v>
      </c>
      <c r="AB898">
        <v>680.32</v>
      </c>
      <c r="AC898">
        <f t="shared" si="177"/>
        <v>-184.6515000000004</v>
      </c>
      <c r="AD898" s="6">
        <f t="shared" si="178"/>
        <v>-5.2631578947368536E-2</v>
      </c>
      <c r="AE898" t="s">
        <v>155</v>
      </c>
      <c r="AF898" t="s">
        <v>103</v>
      </c>
      <c r="AG898">
        <f t="shared" si="179"/>
        <v>12</v>
      </c>
      <c r="AH898">
        <f t="shared" si="180"/>
        <v>2024</v>
      </c>
      <c r="AI898" t="str">
        <f t="shared" si="181"/>
        <v>CLEAN</v>
      </c>
    </row>
    <row r="899" spans="1:35">
      <c r="A899" t="s">
        <v>2752</v>
      </c>
      <c r="B899">
        <f t="shared" ref="B899:B913" si="182">COUNTIF($A$2:$A$932, A899)</f>
        <v>1</v>
      </c>
      <c r="C899" t="str">
        <f>IF(COUNTIF($A$2:A899, A899)&gt;1, "DUPLICATE_FLAGGED_FOR_REVIEW", "")</f>
        <v/>
      </c>
      <c r="D899" s="3">
        <v>45776</v>
      </c>
      <c r="E899" s="2">
        <v>45780</v>
      </c>
      <c r="F899" s="2" t="str">
        <f t="shared" ref="F899:F913" si="183">IF(E899&lt;D899, "ERROR: Ship before order", "OK")</f>
        <v>OK</v>
      </c>
      <c r="G899" s="4">
        <f t="shared" ref="G899:G913" si="184">IF(AND(ISNUMBER(E899),ISNUMBER(D899)), E899-D899, "")</f>
        <v>4</v>
      </c>
      <c r="H899" t="s">
        <v>2119</v>
      </c>
      <c r="I899" t="s">
        <v>141</v>
      </c>
      <c r="J899" t="s">
        <v>90</v>
      </c>
      <c r="K899" t="s">
        <v>25</v>
      </c>
      <c r="L899" t="str">
        <f t="shared" ref="L899:L913" si="185">IF(OR(K899="",ISBLANK(K899)), "Unknown", K899)</f>
        <v>North</v>
      </c>
      <c r="M899" t="s">
        <v>236</v>
      </c>
      <c r="N899" t="s">
        <v>237</v>
      </c>
      <c r="O899" t="s">
        <v>28</v>
      </c>
      <c r="P899" t="s">
        <v>29</v>
      </c>
      <c r="Q899" t="s">
        <v>2753</v>
      </c>
      <c r="R899" t="s">
        <v>50</v>
      </c>
      <c r="S899" t="str">
        <f t="shared" ref="S899:S913" si="186">IF(OR(R899="",ISBLANK(R899)), "Unknown", R899)</f>
        <v>First Class</v>
      </c>
      <c r="T899">
        <v>4</v>
      </c>
      <c r="U899">
        <v>1786.65</v>
      </c>
      <c r="V899">
        <v>0.05</v>
      </c>
      <c r="W899">
        <f t="shared" ref="W899:W913" si="187">IF(ISBLANK(V899), IF(AND(ISNUMBER(T899), ISNUMBER(U899)), 0, ""), IF(V899&lt;0, V899, IF(V899&gt;0.5, V899, V899)))</f>
        <v>0.05</v>
      </c>
      <c r="X899" t="str">
        <f t="shared" ref="X899:X913" si="188">IF(V899&lt;0,"INVALID_NEGATIVE_DISCOUNT",IF(V899&gt;0.5,"INVALID_DISCOUNT_ABOVE_50PCT",IF(AND(ISBLANK(V899), ISNUMBER(T899), ISNUMBER(U899)),"DISCOUNT_MISSING_SET_TO_0","")))</f>
        <v/>
      </c>
      <c r="Y899">
        <v>6789.27</v>
      </c>
      <c r="Z899">
        <f t="shared" ref="Z899:Z913" si="189">T899 * U899 * (1 - W899)</f>
        <v>6789.27</v>
      </c>
      <c r="AA899">
        <v>5626.43</v>
      </c>
      <c r="AB899">
        <v>1162.8399999999999</v>
      </c>
      <c r="AC899">
        <f t="shared" ref="AC899:AC913" si="190">Z899-U899</f>
        <v>5002.6200000000008</v>
      </c>
      <c r="AD899" s="6">
        <f t="shared" ref="AD899:AD913" si="191">IF(Z899&lt;&gt;0, AC899 / Z899, 0)</f>
        <v>0.73684210526315796</v>
      </c>
      <c r="AE899" t="s">
        <v>32</v>
      </c>
      <c r="AF899" t="s">
        <v>33</v>
      </c>
      <c r="AG899">
        <f t="shared" ref="AG899:AG913" si="192">MONTH(D899)</f>
        <v>4</v>
      </c>
      <c r="AH899">
        <f t="shared" ref="AH899:AH913" si="193">YEAR(D899)</f>
        <v>2025</v>
      </c>
      <c r="AI899" t="str">
        <f t="shared" ref="AI899:AI913" si="194">IF(OR(X899="INVALID_NEGATIVE_DISCOUNT",X899="INVALID_DISCOUNT_ABOVE_50PCT",F899="ERROR: Ship before order"),"INVALID",IF(OR(L899="Unknown",S899="Unknown",X899="DISCOUNT_MISSING_SET_TO_0"),"WARNING","CLEAN"))</f>
        <v>CLEAN</v>
      </c>
    </row>
    <row r="900" spans="1:35">
      <c r="A900" t="s">
        <v>2754</v>
      </c>
      <c r="B900">
        <f t="shared" si="182"/>
        <v>1</v>
      </c>
      <c r="C900" t="str">
        <f>IF(COUNTIF($A$2:A900, A900)&gt;1, "DUPLICATE_FLAGGED_FOR_REVIEW", "")</f>
        <v/>
      </c>
      <c r="D900" s="3">
        <v>45445</v>
      </c>
      <c r="E900" s="2">
        <v>45510</v>
      </c>
      <c r="F900" s="2" t="str">
        <f t="shared" si="183"/>
        <v>OK</v>
      </c>
      <c r="G900" s="4">
        <f t="shared" si="184"/>
        <v>65</v>
      </c>
      <c r="H900" t="s">
        <v>2755</v>
      </c>
      <c r="I900" t="s">
        <v>71</v>
      </c>
      <c r="J900" t="s">
        <v>24</v>
      </c>
      <c r="K900" t="s">
        <v>25</v>
      </c>
      <c r="L900" t="str">
        <f t="shared" si="185"/>
        <v>North</v>
      </c>
      <c r="M900" t="s">
        <v>350</v>
      </c>
      <c r="N900" t="s">
        <v>351</v>
      </c>
      <c r="O900" t="s">
        <v>41</v>
      </c>
      <c r="P900" t="s">
        <v>42</v>
      </c>
      <c r="Q900" t="s">
        <v>2756</v>
      </c>
      <c r="R900" t="s">
        <v>50</v>
      </c>
      <c r="S900" t="str">
        <f t="shared" si="186"/>
        <v>First Class</v>
      </c>
      <c r="T900">
        <v>4</v>
      </c>
      <c r="U900">
        <v>1536.7</v>
      </c>
      <c r="V900">
        <v>0.2</v>
      </c>
      <c r="W900">
        <f t="shared" si="187"/>
        <v>0.2</v>
      </c>
      <c r="X900" t="str">
        <f t="shared" si="188"/>
        <v/>
      </c>
      <c r="Y900">
        <v>4917.4399999999996</v>
      </c>
      <c r="Z900">
        <f t="shared" si="189"/>
        <v>4917.4400000000005</v>
      </c>
      <c r="AA900">
        <v>3846.77</v>
      </c>
      <c r="AB900">
        <v>1070.67</v>
      </c>
      <c r="AC900">
        <f t="shared" si="190"/>
        <v>3380.7400000000007</v>
      </c>
      <c r="AD900" s="6">
        <f t="shared" si="191"/>
        <v>0.68750000000000011</v>
      </c>
      <c r="AE900" t="s">
        <v>32</v>
      </c>
      <c r="AF900" t="s">
        <v>33</v>
      </c>
      <c r="AG900">
        <f t="shared" si="192"/>
        <v>6</v>
      </c>
      <c r="AH900">
        <f t="shared" si="193"/>
        <v>2024</v>
      </c>
      <c r="AI900" t="str">
        <f t="shared" si="194"/>
        <v>CLEAN</v>
      </c>
    </row>
    <row r="901" spans="1:35">
      <c r="A901" t="s">
        <v>2757</v>
      </c>
      <c r="B901">
        <f t="shared" si="182"/>
        <v>1</v>
      </c>
      <c r="C901" t="str">
        <f>IF(COUNTIF($A$2:A901, A901)&gt;1, "DUPLICATE_FLAGGED_FOR_REVIEW", "")</f>
        <v/>
      </c>
      <c r="D901" s="3">
        <v>45804</v>
      </c>
      <c r="E901" s="2">
        <v>45722</v>
      </c>
      <c r="F901" s="2" t="str">
        <f t="shared" si="183"/>
        <v>ERROR: Ship before order</v>
      </c>
      <c r="G901" s="4">
        <f t="shared" si="184"/>
        <v>-82</v>
      </c>
      <c r="H901" t="s">
        <v>2758</v>
      </c>
      <c r="I901" t="s">
        <v>23</v>
      </c>
      <c r="J901" t="s">
        <v>24</v>
      </c>
      <c r="K901" t="s">
        <v>25</v>
      </c>
      <c r="L901" t="str">
        <f t="shared" si="185"/>
        <v>North</v>
      </c>
      <c r="M901" t="s">
        <v>122</v>
      </c>
      <c r="N901" t="s">
        <v>123</v>
      </c>
      <c r="O901" t="s">
        <v>41</v>
      </c>
      <c r="P901" t="s">
        <v>66</v>
      </c>
      <c r="Q901" t="s">
        <v>2759</v>
      </c>
      <c r="R901" t="s">
        <v>50</v>
      </c>
      <c r="S901" t="str">
        <f t="shared" si="186"/>
        <v>First Class</v>
      </c>
      <c r="T901">
        <v>5</v>
      </c>
      <c r="U901">
        <v>881.08</v>
      </c>
      <c r="V901">
        <v>0.25</v>
      </c>
      <c r="W901">
        <f t="shared" si="187"/>
        <v>0.25</v>
      </c>
      <c r="X901" t="str">
        <f t="shared" si="188"/>
        <v/>
      </c>
      <c r="Y901">
        <v>3304.05</v>
      </c>
      <c r="Z901">
        <f t="shared" si="189"/>
        <v>3304.05</v>
      </c>
      <c r="AA901">
        <v>2279.41</v>
      </c>
      <c r="AB901">
        <v>1024.6400000000001</v>
      </c>
      <c r="AC901">
        <f t="shared" si="190"/>
        <v>2422.9700000000003</v>
      </c>
      <c r="AD901" s="6">
        <f t="shared" si="191"/>
        <v>0.73333333333333339</v>
      </c>
      <c r="AE901" t="s">
        <v>155</v>
      </c>
      <c r="AF901" t="s">
        <v>68</v>
      </c>
      <c r="AG901">
        <f t="shared" si="192"/>
        <v>5</v>
      </c>
      <c r="AH901">
        <f t="shared" si="193"/>
        <v>2025</v>
      </c>
      <c r="AI901" t="str">
        <f t="shared" si="194"/>
        <v>INVALID</v>
      </c>
    </row>
    <row r="902" spans="1:35">
      <c r="A902" t="s">
        <v>1096</v>
      </c>
      <c r="B902">
        <f t="shared" si="182"/>
        <v>2</v>
      </c>
      <c r="C902" t="str">
        <f>IF(COUNTIF($A$2:A902, A902)&gt;1, "DUPLICATE_FLAGGED_FOR_REVIEW", "")</f>
        <v>DUPLICATE_FLAGGED_FOR_REVIEW</v>
      </c>
      <c r="D902" s="3">
        <v>45630</v>
      </c>
      <c r="E902" s="2">
        <v>45632</v>
      </c>
      <c r="F902" s="2" t="str">
        <f t="shared" si="183"/>
        <v>OK</v>
      </c>
      <c r="G902" s="4">
        <f t="shared" si="184"/>
        <v>2</v>
      </c>
      <c r="H902" t="s">
        <v>1097</v>
      </c>
      <c r="I902" t="s">
        <v>132</v>
      </c>
      <c r="J902" t="s">
        <v>95</v>
      </c>
      <c r="K902" t="s">
        <v>38</v>
      </c>
      <c r="L902" t="str">
        <f t="shared" si="185"/>
        <v>East</v>
      </c>
      <c r="M902" t="s">
        <v>39</v>
      </c>
      <c r="N902" t="s">
        <v>40</v>
      </c>
      <c r="O902" t="s">
        <v>28</v>
      </c>
      <c r="P902" t="s">
        <v>153</v>
      </c>
      <c r="Q902" t="s">
        <v>1098</v>
      </c>
      <c r="R902" t="s">
        <v>31</v>
      </c>
      <c r="S902" t="str">
        <f t="shared" si="186"/>
        <v>Second Class</v>
      </c>
      <c r="T902">
        <v>4</v>
      </c>
      <c r="U902">
        <v>2685.66</v>
      </c>
      <c r="V902">
        <v>0</v>
      </c>
      <c r="W902">
        <f t="shared" si="187"/>
        <v>0</v>
      </c>
      <c r="X902" t="str">
        <f t="shared" si="188"/>
        <v/>
      </c>
      <c r="Y902">
        <v>10989.89</v>
      </c>
      <c r="Z902">
        <f t="shared" si="189"/>
        <v>10742.64</v>
      </c>
      <c r="AA902">
        <v>6477.37</v>
      </c>
      <c r="AB902">
        <v>4265.2700000000004</v>
      </c>
      <c r="AC902">
        <f t="shared" si="190"/>
        <v>8056.98</v>
      </c>
      <c r="AD902" s="6">
        <f t="shared" si="191"/>
        <v>0.75</v>
      </c>
      <c r="AE902" t="s">
        <v>32</v>
      </c>
      <c r="AF902" t="s">
        <v>33</v>
      </c>
      <c r="AG902">
        <f t="shared" si="192"/>
        <v>12</v>
      </c>
      <c r="AH902">
        <f t="shared" si="193"/>
        <v>2024</v>
      </c>
      <c r="AI902" t="str">
        <f t="shared" si="194"/>
        <v>CLEAN</v>
      </c>
    </row>
    <row r="903" spans="1:35">
      <c r="A903" t="s">
        <v>380</v>
      </c>
      <c r="B903">
        <f t="shared" si="182"/>
        <v>2</v>
      </c>
      <c r="C903" t="str">
        <f>IF(COUNTIF($A$2:A903, A903)&gt;1, "DUPLICATE_FLAGGED_FOR_REVIEW", "")</f>
        <v>DUPLICATE_FLAGGED_FOR_REVIEW</v>
      </c>
      <c r="D903" s="3">
        <v>45893</v>
      </c>
      <c r="E903" s="2">
        <v>45898</v>
      </c>
      <c r="F903" s="2" t="str">
        <f t="shared" si="183"/>
        <v>OK</v>
      </c>
      <c r="G903" s="4">
        <f t="shared" si="184"/>
        <v>5</v>
      </c>
      <c r="H903" t="s">
        <v>381</v>
      </c>
      <c r="I903" t="s">
        <v>128</v>
      </c>
      <c r="J903" t="s">
        <v>37</v>
      </c>
      <c r="K903" t="s">
        <v>38</v>
      </c>
      <c r="L903" t="str">
        <f t="shared" si="185"/>
        <v>East</v>
      </c>
      <c r="M903" t="s">
        <v>145</v>
      </c>
      <c r="N903" t="s">
        <v>146</v>
      </c>
      <c r="O903" t="s">
        <v>74</v>
      </c>
      <c r="P903" t="s">
        <v>80</v>
      </c>
      <c r="Q903" t="s">
        <v>382</v>
      </c>
      <c r="R903" t="s">
        <v>50</v>
      </c>
      <c r="S903" t="str">
        <f t="shared" si="186"/>
        <v>First Class</v>
      </c>
      <c r="T903">
        <v>3</v>
      </c>
      <c r="U903">
        <v>3703.96</v>
      </c>
      <c r="V903">
        <v>0.15</v>
      </c>
      <c r="W903">
        <f t="shared" si="187"/>
        <v>0.15</v>
      </c>
      <c r="X903" t="str">
        <f t="shared" si="188"/>
        <v/>
      </c>
      <c r="Y903">
        <v>9549.44</v>
      </c>
      <c r="Z903">
        <f t="shared" si="189"/>
        <v>9445.098</v>
      </c>
      <c r="AA903">
        <v>5586.28</v>
      </c>
      <c r="AB903">
        <v>3858.82</v>
      </c>
      <c r="AC903">
        <f t="shared" si="190"/>
        <v>5741.1379999999999</v>
      </c>
      <c r="AD903" s="6">
        <f t="shared" si="191"/>
        <v>0.60784313725490191</v>
      </c>
      <c r="AE903" t="s">
        <v>32</v>
      </c>
      <c r="AF903" t="s">
        <v>103</v>
      </c>
      <c r="AG903">
        <f t="shared" si="192"/>
        <v>8</v>
      </c>
      <c r="AH903">
        <f t="shared" si="193"/>
        <v>2025</v>
      </c>
      <c r="AI903" t="str">
        <f t="shared" si="194"/>
        <v>CLEAN</v>
      </c>
    </row>
    <row r="904" spans="1:35">
      <c r="A904" t="s">
        <v>1220</v>
      </c>
      <c r="B904">
        <f t="shared" si="182"/>
        <v>2</v>
      </c>
      <c r="C904" t="str">
        <f>IF(COUNTIF($A$2:A904, A904)&gt;1, "DUPLICATE_FLAGGED_FOR_REVIEW", "")</f>
        <v>DUPLICATE_FLAGGED_FOR_REVIEW</v>
      </c>
      <c r="D904" s="3">
        <v>45760</v>
      </c>
      <c r="E904" s="2">
        <v>45760</v>
      </c>
      <c r="F904" s="2" t="str">
        <f t="shared" si="183"/>
        <v>OK</v>
      </c>
      <c r="G904" s="4">
        <f t="shared" si="184"/>
        <v>0</v>
      </c>
      <c r="H904" t="s">
        <v>1221</v>
      </c>
      <c r="I904" t="s">
        <v>132</v>
      </c>
      <c r="J904" t="s">
        <v>37</v>
      </c>
      <c r="K904" t="s">
        <v>25</v>
      </c>
      <c r="L904" t="str">
        <f t="shared" si="185"/>
        <v>North</v>
      </c>
      <c r="M904" t="s">
        <v>136</v>
      </c>
      <c r="N904" t="s">
        <v>137</v>
      </c>
      <c r="O904" t="s">
        <v>28</v>
      </c>
      <c r="P904" t="s">
        <v>124</v>
      </c>
      <c r="Q904" t="s">
        <v>1222</v>
      </c>
      <c r="R904" t="s">
        <v>31</v>
      </c>
      <c r="S904" t="str">
        <f t="shared" si="186"/>
        <v>Second Class</v>
      </c>
      <c r="T904">
        <v>9</v>
      </c>
      <c r="U904">
        <v>1118.68</v>
      </c>
      <c r="V904">
        <v>0</v>
      </c>
      <c r="W904">
        <f t="shared" si="187"/>
        <v>0</v>
      </c>
      <c r="X904" t="str">
        <f t="shared" si="188"/>
        <v/>
      </c>
      <c r="Y904">
        <v>10348.43</v>
      </c>
      <c r="Z904">
        <f t="shared" si="189"/>
        <v>10068.120000000001</v>
      </c>
      <c r="AA904">
        <v>8595.3700000000008</v>
      </c>
      <c r="AB904">
        <v>1472.75</v>
      </c>
      <c r="AC904">
        <f t="shared" si="190"/>
        <v>8949.44</v>
      </c>
      <c r="AD904" s="6">
        <f t="shared" si="191"/>
        <v>0.88888888888888884</v>
      </c>
      <c r="AE904" t="s">
        <v>32</v>
      </c>
      <c r="AF904" t="s">
        <v>103</v>
      </c>
      <c r="AG904">
        <f t="shared" si="192"/>
        <v>4</v>
      </c>
      <c r="AH904">
        <f t="shared" si="193"/>
        <v>2025</v>
      </c>
      <c r="AI904" t="str">
        <f t="shared" si="194"/>
        <v>CLEAN</v>
      </c>
    </row>
    <row r="905" spans="1:35">
      <c r="A905" t="s">
        <v>778</v>
      </c>
      <c r="B905">
        <f t="shared" si="182"/>
        <v>2</v>
      </c>
      <c r="C905" t="str">
        <f>IF(COUNTIF($A$2:A905, A905)&gt;1, "DUPLICATE_FLAGGED_FOR_REVIEW", "")</f>
        <v>DUPLICATE_FLAGGED_FOR_REVIEW</v>
      </c>
      <c r="D905" s="3">
        <v>45698</v>
      </c>
      <c r="E905" s="2">
        <v>45938</v>
      </c>
      <c r="F905" s="2" t="str">
        <f t="shared" si="183"/>
        <v>OK</v>
      </c>
      <c r="G905" s="4">
        <f t="shared" si="184"/>
        <v>240</v>
      </c>
      <c r="H905" t="s">
        <v>779</v>
      </c>
      <c r="I905" t="s">
        <v>47</v>
      </c>
      <c r="J905" t="s">
        <v>37</v>
      </c>
      <c r="K905" t="s">
        <v>25</v>
      </c>
      <c r="L905" t="str">
        <f t="shared" si="185"/>
        <v>North</v>
      </c>
      <c r="M905" t="s">
        <v>122</v>
      </c>
      <c r="N905" t="s">
        <v>123</v>
      </c>
      <c r="O905" t="s">
        <v>41</v>
      </c>
      <c r="P905" t="s">
        <v>57</v>
      </c>
      <c r="Q905" t="s">
        <v>780</v>
      </c>
      <c r="R905" t="s">
        <v>59</v>
      </c>
      <c r="S905" t="str">
        <f t="shared" si="186"/>
        <v>Standard Class</v>
      </c>
      <c r="T905">
        <v>4</v>
      </c>
      <c r="U905">
        <v>3944.64</v>
      </c>
      <c r="V905">
        <v>0.25</v>
      </c>
      <c r="W905">
        <f t="shared" si="187"/>
        <v>0.25</v>
      </c>
      <c r="X905" t="str">
        <f t="shared" si="188"/>
        <v/>
      </c>
      <c r="Y905">
        <v>12116.89</v>
      </c>
      <c r="Z905">
        <f t="shared" si="189"/>
        <v>11833.92</v>
      </c>
      <c r="AA905">
        <v>6682.92</v>
      </c>
      <c r="AB905">
        <v>5151</v>
      </c>
      <c r="AC905">
        <f t="shared" si="190"/>
        <v>7889.2800000000007</v>
      </c>
      <c r="AD905" s="6">
        <f t="shared" si="191"/>
        <v>0.66666666666666674</v>
      </c>
      <c r="AE905" t="s">
        <v>32</v>
      </c>
      <c r="AF905" t="s">
        <v>103</v>
      </c>
      <c r="AG905">
        <f t="shared" si="192"/>
        <v>2</v>
      </c>
      <c r="AH905">
        <f t="shared" si="193"/>
        <v>2025</v>
      </c>
      <c r="AI905" t="str">
        <f t="shared" si="194"/>
        <v>CLEAN</v>
      </c>
    </row>
    <row r="906" spans="1:35">
      <c r="A906" t="s">
        <v>1046</v>
      </c>
      <c r="B906">
        <f t="shared" si="182"/>
        <v>2</v>
      </c>
      <c r="C906" t="str">
        <f>IF(COUNTIF($A$2:A906, A906)&gt;1, "DUPLICATE_FLAGGED_FOR_REVIEW", "")</f>
        <v>DUPLICATE_FLAGGED_FOR_REVIEW</v>
      </c>
      <c r="D906" s="3">
        <v>45795</v>
      </c>
      <c r="E906" s="2">
        <v>45797</v>
      </c>
      <c r="F906" s="2" t="str">
        <f t="shared" si="183"/>
        <v>OK</v>
      </c>
      <c r="G906" s="4">
        <f t="shared" si="184"/>
        <v>2</v>
      </c>
      <c r="H906" t="s">
        <v>1047</v>
      </c>
      <c r="I906" t="s">
        <v>47</v>
      </c>
      <c r="J906" t="s">
        <v>90</v>
      </c>
      <c r="K906" t="s">
        <v>63</v>
      </c>
      <c r="L906" t="str">
        <f t="shared" si="185"/>
        <v>West</v>
      </c>
      <c r="M906" t="s">
        <v>72</v>
      </c>
      <c r="N906" t="s">
        <v>73</v>
      </c>
      <c r="O906" t="s">
        <v>28</v>
      </c>
      <c r="P906" t="s">
        <v>91</v>
      </c>
      <c r="Q906" t="s">
        <v>1048</v>
      </c>
      <c r="R906" t="s">
        <v>59</v>
      </c>
      <c r="S906" t="str">
        <f t="shared" si="186"/>
        <v>Standard Class</v>
      </c>
      <c r="T906">
        <v>9</v>
      </c>
      <c r="U906">
        <v>847.76</v>
      </c>
      <c r="V906">
        <v>0.15</v>
      </c>
      <c r="W906">
        <f t="shared" si="187"/>
        <v>0.15</v>
      </c>
      <c r="X906" t="str">
        <f t="shared" si="188"/>
        <v/>
      </c>
      <c r="Y906">
        <v>6589.37</v>
      </c>
      <c r="Z906">
        <f t="shared" si="189"/>
        <v>6485.3639999999996</v>
      </c>
      <c r="AA906">
        <v>5376.17</v>
      </c>
      <c r="AB906">
        <v>1109.19</v>
      </c>
      <c r="AC906">
        <f t="shared" si="190"/>
        <v>5637.6039999999994</v>
      </c>
      <c r="AD906" s="6">
        <f t="shared" si="191"/>
        <v>0.8692810457516339</v>
      </c>
      <c r="AE906" t="s">
        <v>155</v>
      </c>
      <c r="AF906" t="s">
        <v>33</v>
      </c>
      <c r="AG906">
        <f t="shared" si="192"/>
        <v>5</v>
      </c>
      <c r="AH906">
        <f t="shared" si="193"/>
        <v>2025</v>
      </c>
      <c r="AI906" t="str">
        <f t="shared" si="194"/>
        <v>CLEAN</v>
      </c>
    </row>
    <row r="907" spans="1:35">
      <c r="A907" t="s">
        <v>618</v>
      </c>
      <c r="B907">
        <f t="shared" si="182"/>
        <v>2</v>
      </c>
      <c r="C907" t="str">
        <f>IF(COUNTIF($A$2:A907, A907)&gt;1, "DUPLICATE_FLAGGED_FOR_REVIEW", "")</f>
        <v>DUPLICATE_FLAGGED_FOR_REVIEW</v>
      </c>
      <c r="D907" s="3">
        <v>45907</v>
      </c>
      <c r="E907" s="2">
        <v>45915</v>
      </c>
      <c r="F907" s="2" t="str">
        <f t="shared" si="183"/>
        <v>OK</v>
      </c>
      <c r="G907" s="4">
        <f t="shared" si="184"/>
        <v>8</v>
      </c>
      <c r="H907" t="s">
        <v>619</v>
      </c>
      <c r="I907" t="s">
        <v>141</v>
      </c>
      <c r="J907" t="s">
        <v>90</v>
      </c>
      <c r="K907" t="s">
        <v>38</v>
      </c>
      <c r="L907" t="str">
        <f t="shared" si="185"/>
        <v>East</v>
      </c>
      <c r="M907" t="s">
        <v>145</v>
      </c>
      <c r="N907" t="s">
        <v>146</v>
      </c>
      <c r="O907" t="s">
        <v>74</v>
      </c>
      <c r="P907" t="s">
        <v>80</v>
      </c>
      <c r="Q907" t="s">
        <v>620</v>
      </c>
      <c r="R907" t="s">
        <v>59</v>
      </c>
      <c r="S907" t="str">
        <f t="shared" si="186"/>
        <v>Standard Class</v>
      </c>
      <c r="T907">
        <v>3</v>
      </c>
      <c r="U907">
        <v>1711.32</v>
      </c>
      <c r="V907">
        <v>0</v>
      </c>
      <c r="W907">
        <f t="shared" si="187"/>
        <v>0</v>
      </c>
      <c r="X907" t="str">
        <f t="shared" si="188"/>
        <v/>
      </c>
      <c r="Y907">
        <v>5206.53</v>
      </c>
      <c r="Z907">
        <f t="shared" si="189"/>
        <v>5133.96</v>
      </c>
      <c r="AA907">
        <v>3930</v>
      </c>
      <c r="AB907">
        <v>1203.96</v>
      </c>
      <c r="AC907">
        <f t="shared" si="190"/>
        <v>3422.6400000000003</v>
      </c>
      <c r="AD907" s="6">
        <f t="shared" si="191"/>
        <v>0.66666666666666674</v>
      </c>
      <c r="AE907" t="s">
        <v>32</v>
      </c>
      <c r="AF907" t="s">
        <v>103</v>
      </c>
      <c r="AG907">
        <f t="shared" si="192"/>
        <v>9</v>
      </c>
      <c r="AH907">
        <f t="shared" si="193"/>
        <v>2025</v>
      </c>
      <c r="AI907" t="str">
        <f t="shared" si="194"/>
        <v>CLEAN</v>
      </c>
    </row>
    <row r="908" spans="1:35">
      <c r="A908" t="s">
        <v>1369</v>
      </c>
      <c r="B908">
        <f t="shared" si="182"/>
        <v>2</v>
      </c>
      <c r="C908" t="str">
        <f>IF(COUNTIF($A$2:A908, A908)&gt;1, "DUPLICATE_FLAGGED_FOR_REVIEW", "")</f>
        <v>DUPLICATE_FLAGGED_FOR_REVIEW</v>
      </c>
      <c r="D908" s="3">
        <v>45342</v>
      </c>
      <c r="E908" s="2">
        <v>45349</v>
      </c>
      <c r="F908" s="2" t="str">
        <f t="shared" si="183"/>
        <v>OK</v>
      </c>
      <c r="G908" s="4">
        <f t="shared" si="184"/>
        <v>7</v>
      </c>
      <c r="H908" t="s">
        <v>1370</v>
      </c>
      <c r="I908" t="s">
        <v>162</v>
      </c>
      <c r="J908" t="s">
        <v>24</v>
      </c>
      <c r="K908" t="s">
        <v>54</v>
      </c>
      <c r="L908" t="str">
        <f t="shared" si="185"/>
        <v>South</v>
      </c>
      <c r="M908" t="s">
        <v>185</v>
      </c>
      <c r="N908" t="s">
        <v>186</v>
      </c>
      <c r="O908" t="s">
        <v>74</v>
      </c>
      <c r="P908" t="s">
        <v>75</v>
      </c>
      <c r="Q908" t="s">
        <v>1371</v>
      </c>
      <c r="R908" t="s">
        <v>50</v>
      </c>
      <c r="S908" t="str">
        <f t="shared" si="186"/>
        <v>First Class</v>
      </c>
      <c r="T908">
        <v>9</v>
      </c>
      <c r="U908">
        <v>3779.31</v>
      </c>
      <c r="V908">
        <v>0.2</v>
      </c>
      <c r="W908">
        <f t="shared" si="187"/>
        <v>0.2</v>
      </c>
      <c r="X908" t="str">
        <f t="shared" si="188"/>
        <v/>
      </c>
      <c r="Y908">
        <v>27322.9</v>
      </c>
      <c r="Z908">
        <f t="shared" si="189"/>
        <v>27211.032000000003</v>
      </c>
      <c r="AA908">
        <v>17940.43</v>
      </c>
      <c r="AB908">
        <v>9270.6</v>
      </c>
      <c r="AC908">
        <f t="shared" si="190"/>
        <v>23431.722000000002</v>
      </c>
      <c r="AD908" s="6">
        <f t="shared" si="191"/>
        <v>0.86111111111111105</v>
      </c>
      <c r="AE908" t="s">
        <v>32</v>
      </c>
      <c r="AF908" t="s">
        <v>103</v>
      </c>
      <c r="AG908">
        <f t="shared" si="192"/>
        <v>2</v>
      </c>
      <c r="AH908">
        <f t="shared" si="193"/>
        <v>2024</v>
      </c>
      <c r="AI908" t="str">
        <f t="shared" si="194"/>
        <v>CLEAN</v>
      </c>
    </row>
    <row r="909" spans="1:35">
      <c r="A909" t="s">
        <v>1807</v>
      </c>
      <c r="B909">
        <f t="shared" si="182"/>
        <v>2</v>
      </c>
      <c r="C909" t="str">
        <f>IF(COUNTIF($A$2:A909, A909)&gt;1, "DUPLICATE_FLAGGED_FOR_REVIEW", "")</f>
        <v>DUPLICATE_FLAGGED_FOR_REVIEW</v>
      </c>
      <c r="D909" s="3">
        <v>45698</v>
      </c>
      <c r="E909" s="2">
        <v>45702</v>
      </c>
      <c r="F909" s="2" t="str">
        <f t="shared" si="183"/>
        <v>OK</v>
      </c>
      <c r="G909" s="4">
        <f t="shared" si="184"/>
        <v>4</v>
      </c>
      <c r="H909" t="s">
        <v>1808</v>
      </c>
      <c r="I909" t="s">
        <v>114</v>
      </c>
      <c r="J909" t="s">
        <v>37</v>
      </c>
      <c r="K909" t="s">
        <v>25</v>
      </c>
      <c r="L909" t="str">
        <f t="shared" si="185"/>
        <v>North</v>
      </c>
      <c r="M909" t="s">
        <v>136</v>
      </c>
      <c r="N909" t="s">
        <v>137</v>
      </c>
      <c r="O909" t="s">
        <v>74</v>
      </c>
      <c r="P909" t="s">
        <v>171</v>
      </c>
      <c r="Q909" t="s">
        <v>1809</v>
      </c>
      <c r="R909" t="s">
        <v>2760</v>
      </c>
      <c r="S909" t="str">
        <f t="shared" si="186"/>
        <v>Unknown</v>
      </c>
      <c r="T909">
        <v>5</v>
      </c>
      <c r="U909">
        <v>4276.29</v>
      </c>
      <c r="V909">
        <v>0</v>
      </c>
      <c r="W909">
        <f t="shared" si="187"/>
        <v>0</v>
      </c>
      <c r="X909" t="str">
        <f t="shared" si="188"/>
        <v/>
      </c>
      <c r="Y909">
        <v>21443.63</v>
      </c>
      <c r="Z909">
        <f t="shared" si="189"/>
        <v>21381.45</v>
      </c>
      <c r="AA909">
        <v>13240.21</v>
      </c>
      <c r="AB909">
        <v>8141.24</v>
      </c>
      <c r="AC909">
        <f t="shared" si="190"/>
        <v>17105.16</v>
      </c>
      <c r="AD909" s="6">
        <f t="shared" si="191"/>
        <v>0.79999999999999993</v>
      </c>
      <c r="AE909" t="s">
        <v>155</v>
      </c>
      <c r="AF909" t="s">
        <v>33</v>
      </c>
      <c r="AG909">
        <f t="shared" si="192"/>
        <v>2</v>
      </c>
      <c r="AH909">
        <f t="shared" si="193"/>
        <v>2025</v>
      </c>
      <c r="AI909" t="str">
        <f t="shared" si="194"/>
        <v>WARNING</v>
      </c>
    </row>
    <row r="910" spans="1:35">
      <c r="A910" t="s">
        <v>535</v>
      </c>
      <c r="B910">
        <f t="shared" si="182"/>
        <v>2</v>
      </c>
      <c r="C910" t="str">
        <f>IF(COUNTIF($A$2:A910, A910)&gt;1, "DUPLICATE_FLAGGED_FOR_REVIEW", "")</f>
        <v>DUPLICATE_FLAGGED_FOR_REVIEW</v>
      </c>
      <c r="D910" s="3">
        <v>45381</v>
      </c>
      <c r="E910" s="2">
        <v>45377</v>
      </c>
      <c r="F910" s="2" t="str">
        <f t="shared" si="183"/>
        <v>ERROR: Ship before order</v>
      </c>
      <c r="G910" s="4">
        <f t="shared" si="184"/>
        <v>-4</v>
      </c>
      <c r="H910" t="s">
        <v>536</v>
      </c>
      <c r="I910" t="s">
        <v>89</v>
      </c>
      <c r="J910" t="s">
        <v>95</v>
      </c>
      <c r="K910" t="s">
        <v>25</v>
      </c>
      <c r="L910" t="str">
        <f t="shared" si="185"/>
        <v>North</v>
      </c>
      <c r="M910" t="s">
        <v>26</v>
      </c>
      <c r="N910" t="s">
        <v>27</v>
      </c>
      <c r="O910" t="s">
        <v>74</v>
      </c>
      <c r="P910" t="s">
        <v>171</v>
      </c>
      <c r="Q910" t="s">
        <v>537</v>
      </c>
      <c r="R910" t="s">
        <v>31</v>
      </c>
      <c r="S910" t="str">
        <f t="shared" si="186"/>
        <v>Second Class</v>
      </c>
      <c r="T910">
        <v>5</v>
      </c>
      <c r="U910">
        <v>907.54</v>
      </c>
      <c r="V910">
        <v>0.15</v>
      </c>
      <c r="W910">
        <f t="shared" si="187"/>
        <v>0.15</v>
      </c>
      <c r="X910" t="str">
        <f t="shared" si="188"/>
        <v/>
      </c>
      <c r="Y910">
        <v>4099.6899999999996</v>
      </c>
      <c r="Z910">
        <f t="shared" si="189"/>
        <v>3857.0449999999996</v>
      </c>
      <c r="AA910">
        <v>2769.26</v>
      </c>
      <c r="AB910">
        <v>1087.78</v>
      </c>
      <c r="AC910">
        <f t="shared" si="190"/>
        <v>2949.5049999999997</v>
      </c>
      <c r="AD910" s="6">
        <f t="shared" si="191"/>
        <v>0.76470588235294112</v>
      </c>
      <c r="AE910" t="s">
        <v>32</v>
      </c>
      <c r="AF910" t="s">
        <v>103</v>
      </c>
      <c r="AG910">
        <f t="shared" si="192"/>
        <v>3</v>
      </c>
      <c r="AH910">
        <f t="shared" si="193"/>
        <v>2024</v>
      </c>
      <c r="AI910" t="str">
        <f t="shared" si="194"/>
        <v>INVALID</v>
      </c>
    </row>
    <row r="911" spans="1:35">
      <c r="A911" t="s">
        <v>921</v>
      </c>
      <c r="B911">
        <f t="shared" si="182"/>
        <v>2</v>
      </c>
      <c r="C911" t="str">
        <f>IF(COUNTIF($A$2:A911, A911)&gt;1, "DUPLICATE_FLAGGED_FOR_REVIEW", "")</f>
        <v>DUPLICATE_FLAGGED_FOR_REVIEW</v>
      </c>
      <c r="D911" s="3">
        <v>45522</v>
      </c>
      <c r="E911" s="2">
        <v>45528</v>
      </c>
      <c r="F911" s="2" t="str">
        <f t="shared" si="183"/>
        <v>OK</v>
      </c>
      <c r="G911" s="4">
        <f t="shared" si="184"/>
        <v>6</v>
      </c>
      <c r="H911" t="s">
        <v>922</v>
      </c>
      <c r="I911" t="s">
        <v>53</v>
      </c>
      <c r="J911" t="s">
        <v>24</v>
      </c>
      <c r="K911" t="s">
        <v>54</v>
      </c>
      <c r="L911" t="str">
        <f t="shared" si="185"/>
        <v>South</v>
      </c>
      <c r="M911" t="s">
        <v>84</v>
      </c>
      <c r="N911" t="s">
        <v>85</v>
      </c>
      <c r="O911" t="s">
        <v>41</v>
      </c>
      <c r="P911" t="s">
        <v>66</v>
      </c>
      <c r="Q911" t="s">
        <v>923</v>
      </c>
      <c r="R911" t="s">
        <v>50</v>
      </c>
      <c r="S911" t="str">
        <f t="shared" si="186"/>
        <v>First Class</v>
      </c>
      <c r="T911">
        <v>7</v>
      </c>
      <c r="U911">
        <v>557.21</v>
      </c>
      <c r="V911">
        <v>0.1</v>
      </c>
      <c r="W911">
        <f t="shared" si="187"/>
        <v>0.1</v>
      </c>
      <c r="X911" t="str">
        <f t="shared" si="188"/>
        <v/>
      </c>
      <c r="Y911">
        <v>3797.79</v>
      </c>
      <c r="Z911">
        <f t="shared" si="189"/>
        <v>3510.4230000000002</v>
      </c>
      <c r="AA911">
        <v>2191.5</v>
      </c>
      <c r="AB911">
        <v>1213.48</v>
      </c>
      <c r="AC911">
        <f t="shared" si="190"/>
        <v>2953.2130000000002</v>
      </c>
      <c r="AD911" s="6">
        <f t="shared" si="191"/>
        <v>0.84126984126984128</v>
      </c>
      <c r="AE911" t="s">
        <v>32</v>
      </c>
      <c r="AF911" t="s">
        <v>103</v>
      </c>
      <c r="AG911">
        <f t="shared" si="192"/>
        <v>8</v>
      </c>
      <c r="AH911">
        <f t="shared" si="193"/>
        <v>2024</v>
      </c>
      <c r="AI911" t="str">
        <f t="shared" si="194"/>
        <v>CLEAN</v>
      </c>
    </row>
    <row r="912" spans="1:35">
      <c r="A912" t="s">
        <v>478</v>
      </c>
      <c r="B912">
        <f t="shared" si="182"/>
        <v>2</v>
      </c>
      <c r="C912" t="str">
        <f>IF(COUNTIF($A$2:A912, A912)&gt;1, "DUPLICATE_FLAGGED_FOR_REVIEW", "")</f>
        <v>DUPLICATE_FLAGGED_FOR_REVIEW</v>
      </c>
      <c r="D912" s="3">
        <v>45436</v>
      </c>
      <c r="E912" s="2">
        <v>45437</v>
      </c>
      <c r="F912" s="2" t="str">
        <f t="shared" si="183"/>
        <v>OK</v>
      </c>
      <c r="G912" s="4">
        <f t="shared" si="184"/>
        <v>1</v>
      </c>
      <c r="H912" t="s">
        <v>479</v>
      </c>
      <c r="I912" t="s">
        <v>132</v>
      </c>
      <c r="J912" t="s">
        <v>37</v>
      </c>
      <c r="K912" t="s">
        <v>25</v>
      </c>
      <c r="L912" t="str">
        <f t="shared" si="185"/>
        <v>North</v>
      </c>
      <c r="M912" t="s">
        <v>122</v>
      </c>
      <c r="N912" t="s">
        <v>123</v>
      </c>
      <c r="O912" t="s">
        <v>74</v>
      </c>
      <c r="P912" t="s">
        <v>80</v>
      </c>
      <c r="Q912" t="s">
        <v>480</v>
      </c>
      <c r="R912" t="s">
        <v>44</v>
      </c>
      <c r="S912" t="str">
        <f t="shared" si="186"/>
        <v>Same Day</v>
      </c>
      <c r="T912">
        <v>1</v>
      </c>
      <c r="U912">
        <v>634.13</v>
      </c>
      <c r="V912">
        <v>0</v>
      </c>
      <c r="W912">
        <f t="shared" si="187"/>
        <v>0</v>
      </c>
      <c r="X912" t="str">
        <f t="shared" si="188"/>
        <v/>
      </c>
      <c r="Y912">
        <v>808.67</v>
      </c>
      <c r="Z912">
        <f t="shared" si="189"/>
        <v>634.13</v>
      </c>
      <c r="AA912">
        <v>453.35</v>
      </c>
      <c r="AB912">
        <v>180.78</v>
      </c>
      <c r="AC912">
        <f t="shared" si="190"/>
        <v>0</v>
      </c>
      <c r="AD912" s="6">
        <f t="shared" si="191"/>
        <v>0</v>
      </c>
      <c r="AE912" t="s">
        <v>102</v>
      </c>
      <c r="AF912" t="s">
        <v>103</v>
      </c>
      <c r="AG912">
        <f t="shared" si="192"/>
        <v>5</v>
      </c>
      <c r="AH912">
        <f t="shared" si="193"/>
        <v>2024</v>
      </c>
      <c r="AI912" t="str">
        <f t="shared" si="194"/>
        <v>CLEAN</v>
      </c>
    </row>
    <row r="913" spans="1:35">
      <c r="A913" t="s">
        <v>1108</v>
      </c>
      <c r="B913">
        <f t="shared" si="182"/>
        <v>2</v>
      </c>
      <c r="C913" t="str">
        <f>IF(COUNTIF($A$2:A913, A913)&gt;1, "DUPLICATE_FLAGGED_FOR_REVIEW", "")</f>
        <v>DUPLICATE_FLAGGED_FOR_REVIEW</v>
      </c>
      <c r="D913" s="3">
        <v>45824</v>
      </c>
      <c r="E913" s="2">
        <v>45826</v>
      </c>
      <c r="F913" s="2" t="str">
        <f t="shared" si="183"/>
        <v>OK</v>
      </c>
      <c r="G913" s="4">
        <f t="shared" si="184"/>
        <v>2</v>
      </c>
      <c r="H913" t="s">
        <v>1109</v>
      </c>
      <c r="I913" t="s">
        <v>118</v>
      </c>
      <c r="J913" t="s">
        <v>95</v>
      </c>
      <c r="K913" t="s">
        <v>63</v>
      </c>
      <c r="L913" t="str">
        <f t="shared" si="185"/>
        <v>West</v>
      </c>
      <c r="M913" t="s">
        <v>72</v>
      </c>
      <c r="N913" t="s">
        <v>73</v>
      </c>
      <c r="O913" t="s">
        <v>28</v>
      </c>
      <c r="P913" t="s">
        <v>29</v>
      </c>
      <c r="Q913" t="s">
        <v>1110</v>
      </c>
      <c r="R913" t="s">
        <v>50</v>
      </c>
      <c r="S913" t="str">
        <f t="shared" si="186"/>
        <v>First Class</v>
      </c>
      <c r="T913">
        <v>3</v>
      </c>
      <c r="U913">
        <v>4289.37</v>
      </c>
      <c r="V913">
        <v>0.1</v>
      </c>
      <c r="W913">
        <f t="shared" si="187"/>
        <v>0.1</v>
      </c>
      <c r="X913" t="str">
        <f t="shared" si="188"/>
        <v/>
      </c>
      <c r="Y913">
        <v>11778.71</v>
      </c>
      <c r="Z913">
        <f t="shared" si="189"/>
        <v>11581.299000000001</v>
      </c>
      <c r="AA913">
        <v>6829.43</v>
      </c>
      <c r="AB913">
        <v>4751.87</v>
      </c>
      <c r="AC913">
        <f t="shared" si="190"/>
        <v>7291.929000000001</v>
      </c>
      <c r="AD913" s="6">
        <f t="shared" si="191"/>
        <v>0.62962962962962965</v>
      </c>
      <c r="AE913" t="s">
        <v>32</v>
      </c>
      <c r="AF913" t="s">
        <v>103</v>
      </c>
      <c r="AG913">
        <f t="shared" si="192"/>
        <v>6</v>
      </c>
      <c r="AH913">
        <f t="shared" si="193"/>
        <v>2025</v>
      </c>
      <c r="AI913" t="str">
        <f t="shared" si="194"/>
        <v>CLEAN</v>
      </c>
    </row>
  </sheetData>
  <autoFilter ref="AI1:AI913" xr:uid="{00000000-0001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cleaned_orders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Ayush Kumar</cp:lastModifiedBy>
  <dcterms:modified xsi:type="dcterms:W3CDTF">2026-06-28T14:41:14Z</dcterms:modified>
</cp:coreProperties>
</file>